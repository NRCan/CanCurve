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M-C-CU_ABCA\"/>
    </mc:Choice>
  </mc:AlternateContent>
  <xr:revisionPtr revIDLastSave="0" documentId="13_ncr:1_{12ECE79F-2226-47D3-9713-89DF9FBF0905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1-M-C-CU_info" sheetId="64" r:id="rId1"/>
    <sheet name="R_1-M-C-CU_ABCA_m2" sheetId="66" r:id="rId2"/>
    <sheet name="R_1-M-C-CU_ABCA_struct" sheetId="67" r:id="rId3"/>
    <sheet name="Home" sheetId="29" r:id="rId4"/>
    <sheet name="LineItems" sheetId="65" r:id="rId5"/>
    <sheet name="Rooms_Rpt" sheetId="20" r:id="rId6"/>
    <sheet name="Groups-Layout" sheetId="2" r:id="rId7"/>
    <sheet name="Pivot_Tables" sheetId="33" r:id="rId8"/>
    <sheet name="DDFwrk_grp2" sheetId="63" r:id="rId9"/>
    <sheet name="DDFwrk_grp3" sheetId="42" r:id="rId10"/>
    <sheet name="lists" sheetId="43" r:id="rId11"/>
    <sheet name="CanFlood_DDF" sheetId="48" r:id="rId12"/>
  </sheets>
  <functionGroups builtInGroupCount="19"/>
  <externalReferences>
    <externalReference r:id="rId13"/>
  </externalReferences>
  <definedNames>
    <definedName name="_xlnm._FilterDatabase" localSheetId="6" hidden="1">'Groups-Layout'!$G$2:$K$2</definedName>
    <definedName name="EstimateName">Home!$D$6</definedName>
    <definedName name="GFAcell" localSheetId="8">'[1]Groups-Layout'!$C$11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37" r:id="rId14"/>
    <pivotCache cacheId="43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545" i="65" l="1"/>
  <c r="AY545" i="65"/>
  <c r="AX545" i="65"/>
  <c r="AW545" i="65"/>
  <c r="AV545" i="65"/>
  <c r="AU545" i="65"/>
  <c r="AT545" i="65"/>
  <c r="AS545" i="65"/>
  <c r="AR545" i="65"/>
  <c r="AQ545" i="65"/>
  <c r="AP545" i="65"/>
  <c r="AO545" i="65"/>
  <c r="AN545" i="65"/>
  <c r="AM545" i="65"/>
  <c r="AL545" i="65"/>
  <c r="AK545" i="65"/>
  <c r="AJ545" i="65"/>
  <c r="AZ544" i="65"/>
  <c r="AY544" i="65"/>
  <c r="AX544" i="65"/>
  <c r="AW544" i="65"/>
  <c r="AV544" i="65"/>
  <c r="AU544" i="65"/>
  <c r="AT544" i="65"/>
  <c r="AS544" i="65"/>
  <c r="AR544" i="65"/>
  <c r="AQ544" i="65"/>
  <c r="AP544" i="65"/>
  <c r="AO544" i="65"/>
  <c r="AN544" i="65"/>
  <c r="AM544" i="65"/>
  <c r="AL544" i="65"/>
  <c r="AK544" i="65"/>
  <c r="AJ544" i="65"/>
  <c r="AZ543" i="65"/>
  <c r="AY543" i="65"/>
  <c r="AX543" i="65"/>
  <c r="AW543" i="65"/>
  <c r="AV543" i="65"/>
  <c r="AU543" i="65"/>
  <c r="AT543" i="65"/>
  <c r="AS543" i="65"/>
  <c r="AR543" i="65"/>
  <c r="AQ543" i="65"/>
  <c r="AP543" i="65"/>
  <c r="AO543" i="65"/>
  <c r="AN543" i="65"/>
  <c r="AM543" i="65"/>
  <c r="AL543" i="65"/>
  <c r="AK543" i="65"/>
  <c r="AJ543" i="65"/>
  <c r="AZ542" i="65"/>
  <c r="AY542" i="65"/>
  <c r="AX542" i="65"/>
  <c r="AW542" i="65"/>
  <c r="AV542" i="65"/>
  <c r="AU542" i="65"/>
  <c r="AT542" i="65"/>
  <c r="AS542" i="65"/>
  <c r="AR542" i="65"/>
  <c r="AQ542" i="65"/>
  <c r="AP542" i="65"/>
  <c r="AO542" i="65"/>
  <c r="AN542" i="65"/>
  <c r="AM542" i="65"/>
  <c r="AL542" i="65"/>
  <c r="AK542" i="65"/>
  <c r="AJ542" i="65"/>
  <c r="AZ541" i="65"/>
  <c r="AY541" i="65"/>
  <c r="AX541" i="65"/>
  <c r="AW541" i="65"/>
  <c r="AV541" i="65"/>
  <c r="AU541" i="65"/>
  <c r="AT541" i="65"/>
  <c r="AS541" i="65"/>
  <c r="AR541" i="65"/>
  <c r="AQ541" i="65"/>
  <c r="AP541" i="65"/>
  <c r="AO541" i="65"/>
  <c r="AN541" i="65"/>
  <c r="AM541" i="65"/>
  <c r="AL541" i="65"/>
  <c r="AK541" i="65"/>
  <c r="AJ541" i="65"/>
  <c r="AZ540" i="65"/>
  <c r="AY540" i="65"/>
  <c r="AX540" i="65"/>
  <c r="AW540" i="65"/>
  <c r="AV540" i="65"/>
  <c r="AU540" i="65"/>
  <c r="AT540" i="65"/>
  <c r="AS540" i="65"/>
  <c r="AR540" i="65"/>
  <c r="AQ540" i="65"/>
  <c r="AP540" i="65"/>
  <c r="AO540" i="65"/>
  <c r="AN540" i="65"/>
  <c r="AM540" i="65"/>
  <c r="AL540" i="65"/>
  <c r="AK540" i="65"/>
  <c r="AJ540" i="65"/>
  <c r="AZ539" i="65"/>
  <c r="AY539" i="65"/>
  <c r="AX539" i="65"/>
  <c r="AW539" i="65"/>
  <c r="AV539" i="65"/>
  <c r="AU539" i="65"/>
  <c r="AT539" i="65"/>
  <c r="AS539" i="65"/>
  <c r="AR539" i="65"/>
  <c r="AQ539" i="65"/>
  <c r="AP539" i="65"/>
  <c r="AO539" i="65"/>
  <c r="AN539" i="65"/>
  <c r="AM539" i="65"/>
  <c r="AL539" i="65"/>
  <c r="AK539" i="65"/>
  <c r="AJ539" i="65"/>
  <c r="AZ538" i="65"/>
  <c r="AY538" i="65"/>
  <c r="AX538" i="65"/>
  <c r="AW538" i="65"/>
  <c r="AV538" i="65"/>
  <c r="AU538" i="65"/>
  <c r="AT538" i="65"/>
  <c r="AS538" i="65"/>
  <c r="AR538" i="65"/>
  <c r="AQ538" i="65"/>
  <c r="AP538" i="65"/>
  <c r="AO538" i="65"/>
  <c r="AN538" i="65"/>
  <c r="AM538" i="65"/>
  <c r="AL538" i="65"/>
  <c r="AK538" i="65"/>
  <c r="AJ538" i="65"/>
  <c r="AZ537" i="65"/>
  <c r="AY537" i="65"/>
  <c r="AX537" i="65"/>
  <c r="AW537" i="65"/>
  <c r="AV537" i="65"/>
  <c r="AU537" i="65"/>
  <c r="AT537" i="65"/>
  <c r="AS537" i="65"/>
  <c r="AR537" i="65"/>
  <c r="AQ537" i="65"/>
  <c r="AP537" i="65"/>
  <c r="AO537" i="65"/>
  <c r="AN537" i="65"/>
  <c r="AM537" i="65"/>
  <c r="AL537" i="65"/>
  <c r="AK537" i="65"/>
  <c r="AJ537" i="65"/>
  <c r="AZ536" i="65"/>
  <c r="AY536" i="65"/>
  <c r="AX536" i="65"/>
  <c r="AW536" i="65"/>
  <c r="AV536" i="65"/>
  <c r="AU536" i="65"/>
  <c r="AT536" i="65"/>
  <c r="AS536" i="65"/>
  <c r="AR536" i="65"/>
  <c r="AQ536" i="65"/>
  <c r="AP536" i="65"/>
  <c r="AO536" i="65"/>
  <c r="AN536" i="65"/>
  <c r="AM536" i="65"/>
  <c r="AL536" i="65"/>
  <c r="AK536" i="65"/>
  <c r="AJ536" i="65"/>
  <c r="AZ535" i="65"/>
  <c r="AY535" i="65"/>
  <c r="AX535" i="65"/>
  <c r="AW535" i="65"/>
  <c r="AV535" i="65"/>
  <c r="AU535" i="65"/>
  <c r="AT535" i="65"/>
  <c r="AS535" i="65"/>
  <c r="AR535" i="65"/>
  <c r="AQ535" i="65"/>
  <c r="AP535" i="65"/>
  <c r="AO535" i="65"/>
  <c r="AN535" i="65"/>
  <c r="AM535" i="65"/>
  <c r="AL535" i="65"/>
  <c r="AK535" i="65"/>
  <c r="AJ535" i="65"/>
  <c r="AZ534" i="65"/>
  <c r="AY534" i="65"/>
  <c r="AX534" i="65"/>
  <c r="AW534" i="65"/>
  <c r="AV534" i="65"/>
  <c r="AU534" i="65"/>
  <c r="AT534" i="65"/>
  <c r="AS534" i="65"/>
  <c r="AR534" i="65"/>
  <c r="AQ534" i="65"/>
  <c r="AP534" i="65"/>
  <c r="AO534" i="65"/>
  <c r="AN534" i="65"/>
  <c r="AM534" i="65"/>
  <c r="AL534" i="65"/>
  <c r="AK534" i="65"/>
  <c r="AJ534" i="65"/>
  <c r="AZ533" i="65"/>
  <c r="AY533" i="65"/>
  <c r="AX533" i="65"/>
  <c r="AW533" i="65"/>
  <c r="AV533" i="65"/>
  <c r="AU533" i="65"/>
  <c r="AT533" i="65"/>
  <c r="AS533" i="65"/>
  <c r="AR533" i="65"/>
  <c r="AQ533" i="65"/>
  <c r="AP533" i="65"/>
  <c r="AO533" i="65"/>
  <c r="AN533" i="65"/>
  <c r="AM533" i="65"/>
  <c r="AL533" i="65"/>
  <c r="AK533" i="65"/>
  <c r="AJ533" i="65"/>
  <c r="AZ532" i="65"/>
  <c r="AY532" i="65"/>
  <c r="AX532" i="65"/>
  <c r="AW532" i="65"/>
  <c r="AV532" i="65"/>
  <c r="AU532" i="65"/>
  <c r="AT532" i="65"/>
  <c r="AS532" i="65"/>
  <c r="AR532" i="65"/>
  <c r="AQ532" i="65"/>
  <c r="AP532" i="65"/>
  <c r="AO532" i="65"/>
  <c r="AN532" i="65"/>
  <c r="AM532" i="65"/>
  <c r="AL532" i="65"/>
  <c r="AK532" i="65"/>
  <c r="AJ532" i="65"/>
  <c r="AZ531" i="65"/>
  <c r="AY531" i="65"/>
  <c r="AX531" i="65"/>
  <c r="AW531" i="65"/>
  <c r="AV531" i="65"/>
  <c r="AU531" i="65"/>
  <c r="AT531" i="65"/>
  <c r="AS531" i="65"/>
  <c r="AR531" i="65"/>
  <c r="AQ531" i="65"/>
  <c r="AP531" i="65"/>
  <c r="AO531" i="65"/>
  <c r="AN531" i="65"/>
  <c r="AM531" i="65"/>
  <c r="AL531" i="65"/>
  <c r="AK531" i="65"/>
  <c r="AJ531" i="65"/>
  <c r="AZ530" i="65"/>
  <c r="AY530" i="65"/>
  <c r="AX530" i="65"/>
  <c r="AW530" i="65"/>
  <c r="AV530" i="65"/>
  <c r="AU530" i="65"/>
  <c r="AT530" i="65"/>
  <c r="AS530" i="65"/>
  <c r="AR530" i="65"/>
  <c r="AQ530" i="65"/>
  <c r="AP530" i="65"/>
  <c r="AO530" i="65"/>
  <c r="AN530" i="65"/>
  <c r="AM530" i="65"/>
  <c r="AL530" i="65"/>
  <c r="AK530" i="65"/>
  <c r="AJ530" i="65"/>
  <c r="AZ529" i="65"/>
  <c r="AY529" i="65"/>
  <c r="AX529" i="65"/>
  <c r="AW529" i="65"/>
  <c r="AV529" i="65"/>
  <c r="AU529" i="65"/>
  <c r="AT529" i="65"/>
  <c r="AS529" i="65"/>
  <c r="AR529" i="65"/>
  <c r="AQ529" i="65"/>
  <c r="AP529" i="65"/>
  <c r="AO529" i="65"/>
  <c r="AN529" i="65"/>
  <c r="AM529" i="65"/>
  <c r="AL529" i="65"/>
  <c r="AK529" i="65"/>
  <c r="AJ529" i="65"/>
  <c r="AZ528" i="65"/>
  <c r="AY528" i="65"/>
  <c r="AX528" i="65"/>
  <c r="AW528" i="65"/>
  <c r="AV528" i="65"/>
  <c r="AU528" i="65"/>
  <c r="AT528" i="65"/>
  <c r="AS528" i="65"/>
  <c r="AR528" i="65"/>
  <c r="AQ528" i="65"/>
  <c r="AP528" i="65"/>
  <c r="AO528" i="65"/>
  <c r="AN528" i="65"/>
  <c r="AM528" i="65"/>
  <c r="AL528" i="65"/>
  <c r="AK528" i="65"/>
  <c r="AJ528" i="65"/>
  <c r="AZ527" i="65"/>
  <c r="AY527" i="65"/>
  <c r="AX527" i="65"/>
  <c r="AW527" i="65"/>
  <c r="AV527" i="65"/>
  <c r="AU527" i="65"/>
  <c r="AT527" i="65"/>
  <c r="AS527" i="65"/>
  <c r="AR527" i="65"/>
  <c r="AQ527" i="65"/>
  <c r="AP527" i="65"/>
  <c r="AO527" i="65"/>
  <c r="AN527" i="65"/>
  <c r="AM527" i="65"/>
  <c r="AL527" i="65"/>
  <c r="AK527" i="65"/>
  <c r="AJ527" i="65"/>
  <c r="AZ526" i="65"/>
  <c r="AY526" i="65"/>
  <c r="AX526" i="65"/>
  <c r="AW526" i="65"/>
  <c r="AV526" i="65"/>
  <c r="AU526" i="65"/>
  <c r="AT526" i="65"/>
  <c r="AS526" i="65"/>
  <c r="AR526" i="65"/>
  <c r="AQ526" i="65"/>
  <c r="AP526" i="65"/>
  <c r="AO526" i="65"/>
  <c r="AN526" i="65"/>
  <c r="AM526" i="65"/>
  <c r="AL526" i="65"/>
  <c r="AK526" i="65"/>
  <c r="AJ526" i="65"/>
  <c r="AZ525" i="65"/>
  <c r="AY525" i="65"/>
  <c r="AX525" i="65"/>
  <c r="AW525" i="65"/>
  <c r="AV525" i="65"/>
  <c r="AU525" i="65"/>
  <c r="AT525" i="65"/>
  <c r="AS525" i="65"/>
  <c r="AR525" i="65"/>
  <c r="AQ525" i="65"/>
  <c r="AP525" i="65"/>
  <c r="AO525" i="65"/>
  <c r="AN525" i="65"/>
  <c r="AM525" i="65"/>
  <c r="AL525" i="65"/>
  <c r="AK525" i="65"/>
  <c r="AJ525" i="65"/>
  <c r="AZ524" i="65"/>
  <c r="AY524" i="65"/>
  <c r="AX524" i="65"/>
  <c r="AW524" i="65"/>
  <c r="AV524" i="65"/>
  <c r="AU524" i="65"/>
  <c r="AT524" i="65"/>
  <c r="AS524" i="65"/>
  <c r="AR524" i="65"/>
  <c r="AQ524" i="65"/>
  <c r="AP524" i="65"/>
  <c r="AO524" i="65"/>
  <c r="AN524" i="65"/>
  <c r="AM524" i="65"/>
  <c r="AL524" i="65"/>
  <c r="AK524" i="65"/>
  <c r="AJ524" i="65"/>
  <c r="AZ523" i="65"/>
  <c r="AY523" i="65"/>
  <c r="AX523" i="65"/>
  <c r="AW523" i="65"/>
  <c r="AV523" i="65"/>
  <c r="AU523" i="65"/>
  <c r="AT523" i="65"/>
  <c r="AS523" i="65"/>
  <c r="AR523" i="65"/>
  <c r="AQ523" i="65"/>
  <c r="AP523" i="65"/>
  <c r="AO523" i="65"/>
  <c r="AN523" i="65"/>
  <c r="AM523" i="65"/>
  <c r="AL523" i="65"/>
  <c r="AK523" i="65"/>
  <c r="AJ523" i="65"/>
  <c r="AZ522" i="65"/>
  <c r="AY522" i="65"/>
  <c r="AX522" i="65"/>
  <c r="AW522" i="65"/>
  <c r="AV522" i="65"/>
  <c r="AU522" i="65"/>
  <c r="AT522" i="65"/>
  <c r="AS522" i="65"/>
  <c r="AR522" i="65"/>
  <c r="AQ522" i="65"/>
  <c r="AP522" i="65"/>
  <c r="AO522" i="65"/>
  <c r="AN522" i="65"/>
  <c r="AM522" i="65"/>
  <c r="AL522" i="65"/>
  <c r="AK522" i="65"/>
  <c r="AJ522" i="65"/>
  <c r="AZ521" i="65"/>
  <c r="AY521" i="65"/>
  <c r="AX521" i="65"/>
  <c r="AW521" i="65"/>
  <c r="AV521" i="65"/>
  <c r="AU521" i="65"/>
  <c r="AT521" i="65"/>
  <c r="AS521" i="65"/>
  <c r="AR521" i="65"/>
  <c r="AQ521" i="65"/>
  <c r="AP521" i="65"/>
  <c r="AO521" i="65"/>
  <c r="AN521" i="65"/>
  <c r="AM521" i="65"/>
  <c r="AL521" i="65"/>
  <c r="AK521" i="65"/>
  <c r="AJ521" i="65"/>
  <c r="AZ520" i="65"/>
  <c r="AY520" i="65"/>
  <c r="AX520" i="65"/>
  <c r="AW520" i="65"/>
  <c r="AV520" i="65"/>
  <c r="AU520" i="65"/>
  <c r="AT520" i="65"/>
  <c r="AS520" i="65"/>
  <c r="AR520" i="65"/>
  <c r="AQ520" i="65"/>
  <c r="AP520" i="65"/>
  <c r="AO520" i="65"/>
  <c r="AN520" i="65"/>
  <c r="AM520" i="65"/>
  <c r="AL520" i="65"/>
  <c r="AK520" i="65"/>
  <c r="AJ520" i="65"/>
  <c r="AZ519" i="65"/>
  <c r="AY519" i="65"/>
  <c r="AX519" i="65"/>
  <c r="AW519" i="65"/>
  <c r="AV519" i="65"/>
  <c r="AU519" i="65"/>
  <c r="AT519" i="65"/>
  <c r="AS519" i="65"/>
  <c r="AR519" i="65"/>
  <c r="AQ519" i="65"/>
  <c r="AP519" i="65"/>
  <c r="AO519" i="65"/>
  <c r="AN519" i="65"/>
  <c r="AM519" i="65"/>
  <c r="AL519" i="65"/>
  <c r="AK519" i="65"/>
  <c r="AJ519" i="65"/>
  <c r="AZ518" i="65"/>
  <c r="AY518" i="65"/>
  <c r="AX518" i="65"/>
  <c r="AW518" i="65"/>
  <c r="AV518" i="65"/>
  <c r="AU518" i="65"/>
  <c r="AT518" i="65"/>
  <c r="AS518" i="65"/>
  <c r="AR518" i="65"/>
  <c r="AQ518" i="65"/>
  <c r="AP518" i="65"/>
  <c r="AO518" i="65"/>
  <c r="AN518" i="65"/>
  <c r="AM518" i="65"/>
  <c r="AL518" i="65"/>
  <c r="AK518" i="65"/>
  <c r="AJ518" i="65"/>
  <c r="AZ517" i="65"/>
  <c r="AY517" i="65"/>
  <c r="AX517" i="65"/>
  <c r="AW517" i="65"/>
  <c r="AV517" i="65"/>
  <c r="AU517" i="65"/>
  <c r="AT517" i="65"/>
  <c r="AS517" i="65"/>
  <c r="AR517" i="65"/>
  <c r="AQ517" i="65"/>
  <c r="AP517" i="65"/>
  <c r="AO517" i="65"/>
  <c r="AN517" i="65"/>
  <c r="AM517" i="65"/>
  <c r="AL517" i="65"/>
  <c r="AK517" i="65"/>
  <c r="AJ517" i="65"/>
  <c r="AZ516" i="65"/>
  <c r="AY516" i="65"/>
  <c r="AX516" i="65"/>
  <c r="AW516" i="65"/>
  <c r="AV516" i="65"/>
  <c r="AU516" i="65"/>
  <c r="AT516" i="65"/>
  <c r="AS516" i="65"/>
  <c r="AR516" i="65"/>
  <c r="AQ516" i="65"/>
  <c r="AP516" i="65"/>
  <c r="AO516" i="65"/>
  <c r="AN516" i="65"/>
  <c r="AM516" i="65"/>
  <c r="AL516" i="65"/>
  <c r="AK516" i="65"/>
  <c r="AJ516" i="65"/>
  <c r="AZ515" i="65"/>
  <c r="AY515" i="65"/>
  <c r="AX515" i="65"/>
  <c r="AW515" i="65"/>
  <c r="AV515" i="65"/>
  <c r="AU515" i="65"/>
  <c r="AT515" i="65"/>
  <c r="AS515" i="65"/>
  <c r="AR515" i="65"/>
  <c r="AQ515" i="65"/>
  <c r="AP515" i="65"/>
  <c r="AO515" i="65"/>
  <c r="AN515" i="65"/>
  <c r="AM515" i="65"/>
  <c r="AL515" i="65"/>
  <c r="AK515" i="65"/>
  <c r="AJ515" i="65"/>
  <c r="AZ514" i="65"/>
  <c r="AY514" i="65"/>
  <c r="AX514" i="65"/>
  <c r="AW514" i="65"/>
  <c r="AV514" i="65"/>
  <c r="AU514" i="65"/>
  <c r="AT514" i="65"/>
  <c r="AS514" i="65"/>
  <c r="AR514" i="65"/>
  <c r="AQ514" i="65"/>
  <c r="AP514" i="65"/>
  <c r="AO514" i="65"/>
  <c r="AN514" i="65"/>
  <c r="AM514" i="65"/>
  <c r="AL514" i="65"/>
  <c r="AK514" i="65"/>
  <c r="AJ514" i="65"/>
  <c r="AZ513" i="65"/>
  <c r="AY513" i="65"/>
  <c r="AX513" i="65"/>
  <c r="AW513" i="65"/>
  <c r="AV513" i="65"/>
  <c r="AU513" i="65"/>
  <c r="AT513" i="65"/>
  <c r="AS513" i="65"/>
  <c r="AR513" i="65"/>
  <c r="AQ513" i="65"/>
  <c r="AP513" i="65"/>
  <c r="AO513" i="65"/>
  <c r="AN513" i="65"/>
  <c r="AM513" i="65"/>
  <c r="AL513" i="65"/>
  <c r="AK513" i="65"/>
  <c r="AJ513" i="65"/>
  <c r="AZ512" i="65"/>
  <c r="AY512" i="65"/>
  <c r="AX512" i="65"/>
  <c r="AW512" i="65"/>
  <c r="AV512" i="65"/>
  <c r="AU512" i="65"/>
  <c r="AT512" i="65"/>
  <c r="AS512" i="65"/>
  <c r="AR512" i="65"/>
  <c r="AQ512" i="65"/>
  <c r="AP512" i="65"/>
  <c r="AO512" i="65"/>
  <c r="AN512" i="65"/>
  <c r="AM512" i="65"/>
  <c r="AL512" i="65"/>
  <c r="AK512" i="65"/>
  <c r="AJ512" i="65"/>
  <c r="AZ511" i="65"/>
  <c r="AY511" i="65"/>
  <c r="AX511" i="65"/>
  <c r="AW511" i="65"/>
  <c r="AV511" i="65"/>
  <c r="AU511" i="65"/>
  <c r="AT511" i="65"/>
  <c r="AS511" i="65"/>
  <c r="AR511" i="65"/>
  <c r="AQ511" i="65"/>
  <c r="AP511" i="65"/>
  <c r="AO511" i="65"/>
  <c r="AN511" i="65"/>
  <c r="AM511" i="65"/>
  <c r="AL511" i="65"/>
  <c r="AK511" i="65"/>
  <c r="AJ511" i="65"/>
  <c r="AZ510" i="65"/>
  <c r="AY510" i="65"/>
  <c r="AX510" i="65"/>
  <c r="AW510" i="65"/>
  <c r="AV510" i="65"/>
  <c r="AU510" i="65"/>
  <c r="AT510" i="65"/>
  <c r="AS510" i="65"/>
  <c r="AR510" i="65"/>
  <c r="AQ510" i="65"/>
  <c r="AP510" i="65"/>
  <c r="AO510" i="65"/>
  <c r="AN510" i="65"/>
  <c r="AM510" i="65"/>
  <c r="AL510" i="65"/>
  <c r="AK510" i="65"/>
  <c r="AJ510" i="65"/>
  <c r="AZ509" i="65"/>
  <c r="AY509" i="65"/>
  <c r="AX509" i="65"/>
  <c r="AW509" i="65"/>
  <c r="AV509" i="65"/>
  <c r="AU509" i="65"/>
  <c r="AT509" i="65"/>
  <c r="AS509" i="65"/>
  <c r="AR509" i="65"/>
  <c r="AQ509" i="65"/>
  <c r="AP509" i="65"/>
  <c r="AO509" i="65"/>
  <c r="AN509" i="65"/>
  <c r="AM509" i="65"/>
  <c r="AL509" i="65"/>
  <c r="AK509" i="65"/>
  <c r="AJ509" i="65"/>
  <c r="AZ508" i="65"/>
  <c r="AY508" i="65"/>
  <c r="AX508" i="65"/>
  <c r="AW508" i="65"/>
  <c r="AV508" i="65"/>
  <c r="AU508" i="65"/>
  <c r="AT508" i="65"/>
  <c r="AS508" i="65"/>
  <c r="AR508" i="65"/>
  <c r="AQ508" i="65"/>
  <c r="AP508" i="65"/>
  <c r="AO508" i="65"/>
  <c r="AN508" i="65"/>
  <c r="AM508" i="65"/>
  <c r="AL508" i="65"/>
  <c r="AK508" i="65"/>
  <c r="AJ508" i="65"/>
  <c r="AZ507" i="65"/>
  <c r="AY507" i="65"/>
  <c r="AX507" i="65"/>
  <c r="AW507" i="65"/>
  <c r="AV507" i="65"/>
  <c r="AU507" i="65"/>
  <c r="AT507" i="65"/>
  <c r="AS507" i="65"/>
  <c r="AR507" i="65"/>
  <c r="AQ507" i="65"/>
  <c r="AP507" i="65"/>
  <c r="AO507" i="65"/>
  <c r="AN507" i="65"/>
  <c r="AM507" i="65"/>
  <c r="AL507" i="65"/>
  <c r="AK507" i="65"/>
  <c r="AJ507" i="65"/>
  <c r="AZ506" i="65"/>
  <c r="AY506" i="65"/>
  <c r="AX506" i="65"/>
  <c r="AW506" i="65"/>
  <c r="AV506" i="65"/>
  <c r="AU506" i="65"/>
  <c r="AT506" i="65"/>
  <c r="AS506" i="65"/>
  <c r="AR506" i="65"/>
  <c r="AQ506" i="65"/>
  <c r="AP506" i="65"/>
  <c r="AO506" i="65"/>
  <c r="AN506" i="65"/>
  <c r="AM506" i="65"/>
  <c r="AL506" i="65"/>
  <c r="AK506" i="65"/>
  <c r="AJ506" i="65"/>
  <c r="AZ505" i="65"/>
  <c r="AY505" i="65"/>
  <c r="AX505" i="65"/>
  <c r="AW505" i="65"/>
  <c r="AV505" i="65"/>
  <c r="AU505" i="65"/>
  <c r="AT505" i="65"/>
  <c r="AS505" i="65"/>
  <c r="AR505" i="65"/>
  <c r="AQ505" i="65"/>
  <c r="AP505" i="65"/>
  <c r="AO505" i="65"/>
  <c r="AN505" i="65"/>
  <c r="AM505" i="65"/>
  <c r="AL505" i="65"/>
  <c r="AK505" i="65"/>
  <c r="AJ505" i="65"/>
  <c r="AZ504" i="65"/>
  <c r="AY504" i="65"/>
  <c r="AX504" i="65"/>
  <c r="AW504" i="65"/>
  <c r="AV504" i="65"/>
  <c r="AU504" i="65"/>
  <c r="AT504" i="65"/>
  <c r="AS504" i="65"/>
  <c r="AR504" i="65"/>
  <c r="AQ504" i="65"/>
  <c r="AP504" i="65"/>
  <c r="AO504" i="65"/>
  <c r="AN504" i="65"/>
  <c r="AM504" i="65"/>
  <c r="AL504" i="65"/>
  <c r="AK504" i="65"/>
  <c r="AJ504" i="65"/>
  <c r="AZ503" i="65"/>
  <c r="AY503" i="65"/>
  <c r="AX503" i="65"/>
  <c r="AW503" i="65"/>
  <c r="AV503" i="65"/>
  <c r="AU503" i="65"/>
  <c r="AT503" i="65"/>
  <c r="AS503" i="65"/>
  <c r="AR503" i="65"/>
  <c r="AQ503" i="65"/>
  <c r="AP503" i="65"/>
  <c r="AO503" i="65"/>
  <c r="AN503" i="65"/>
  <c r="AM503" i="65"/>
  <c r="AL503" i="65"/>
  <c r="AK503" i="65"/>
  <c r="AJ503" i="65"/>
  <c r="AZ502" i="65"/>
  <c r="AY502" i="65"/>
  <c r="AX502" i="65"/>
  <c r="AW502" i="65"/>
  <c r="AV502" i="65"/>
  <c r="AU502" i="65"/>
  <c r="AT502" i="65"/>
  <c r="AS502" i="65"/>
  <c r="AR502" i="65"/>
  <c r="AQ502" i="65"/>
  <c r="AP502" i="65"/>
  <c r="AO502" i="65"/>
  <c r="AN502" i="65"/>
  <c r="AM502" i="65"/>
  <c r="AL502" i="65"/>
  <c r="AK502" i="65"/>
  <c r="AJ502" i="65"/>
  <c r="AZ501" i="65"/>
  <c r="AY501" i="65"/>
  <c r="AX501" i="65"/>
  <c r="AW501" i="65"/>
  <c r="AV501" i="65"/>
  <c r="AU501" i="65"/>
  <c r="AT501" i="65"/>
  <c r="AS501" i="65"/>
  <c r="AR501" i="65"/>
  <c r="AQ501" i="65"/>
  <c r="AP501" i="65"/>
  <c r="AO501" i="65"/>
  <c r="AN501" i="65"/>
  <c r="AM501" i="65"/>
  <c r="AL501" i="65"/>
  <c r="AK501" i="65"/>
  <c r="AJ501" i="65"/>
  <c r="AZ500" i="65"/>
  <c r="AY500" i="65"/>
  <c r="AX500" i="65"/>
  <c r="AW500" i="65"/>
  <c r="AV500" i="65"/>
  <c r="AU500" i="65"/>
  <c r="AT500" i="65"/>
  <c r="AS500" i="65"/>
  <c r="AR500" i="65"/>
  <c r="AQ500" i="65"/>
  <c r="AP500" i="65"/>
  <c r="AO500" i="65"/>
  <c r="AN500" i="65"/>
  <c r="AM500" i="65"/>
  <c r="AL500" i="65"/>
  <c r="AK500" i="65"/>
  <c r="AJ500" i="65"/>
  <c r="AZ499" i="65"/>
  <c r="AY499" i="65"/>
  <c r="AX499" i="65"/>
  <c r="AW499" i="65"/>
  <c r="AV499" i="65"/>
  <c r="AU499" i="65"/>
  <c r="AT499" i="65"/>
  <c r="AS499" i="65"/>
  <c r="AR499" i="65"/>
  <c r="AQ499" i="65"/>
  <c r="AP499" i="65"/>
  <c r="AO499" i="65"/>
  <c r="AN499" i="65"/>
  <c r="AM499" i="65"/>
  <c r="AL499" i="65"/>
  <c r="AK499" i="65"/>
  <c r="AJ499" i="65"/>
  <c r="AZ498" i="65"/>
  <c r="AY498" i="65"/>
  <c r="AX498" i="65"/>
  <c r="AW498" i="65"/>
  <c r="AV498" i="65"/>
  <c r="AU498" i="65"/>
  <c r="AT498" i="65"/>
  <c r="AS498" i="65"/>
  <c r="AR498" i="65"/>
  <c r="AQ498" i="65"/>
  <c r="AP498" i="65"/>
  <c r="AO498" i="65"/>
  <c r="AN498" i="65"/>
  <c r="AM498" i="65"/>
  <c r="AL498" i="65"/>
  <c r="AK498" i="65"/>
  <c r="AJ498" i="65"/>
  <c r="AZ497" i="65"/>
  <c r="AY497" i="65"/>
  <c r="AX497" i="65"/>
  <c r="AW497" i="65"/>
  <c r="AV497" i="65"/>
  <c r="AU497" i="65"/>
  <c r="AT497" i="65"/>
  <c r="AS497" i="65"/>
  <c r="AR497" i="65"/>
  <c r="AQ497" i="65"/>
  <c r="AP497" i="65"/>
  <c r="AO497" i="65"/>
  <c r="AN497" i="65"/>
  <c r="AM497" i="65"/>
  <c r="AL497" i="65"/>
  <c r="AK497" i="65"/>
  <c r="AJ497" i="65"/>
  <c r="AZ496" i="65"/>
  <c r="AY496" i="65"/>
  <c r="AX496" i="65"/>
  <c r="AW496" i="65"/>
  <c r="AV496" i="65"/>
  <c r="AU496" i="65"/>
  <c r="AT496" i="65"/>
  <c r="AS496" i="65"/>
  <c r="AR496" i="65"/>
  <c r="AQ496" i="65"/>
  <c r="AP496" i="65"/>
  <c r="AO496" i="65"/>
  <c r="AN496" i="65"/>
  <c r="AM496" i="65"/>
  <c r="AL496" i="65"/>
  <c r="AK496" i="65"/>
  <c r="AJ496" i="65"/>
  <c r="AZ495" i="65"/>
  <c r="AY495" i="65"/>
  <c r="AX495" i="65"/>
  <c r="AW495" i="65"/>
  <c r="AV495" i="65"/>
  <c r="AU495" i="65"/>
  <c r="AT495" i="65"/>
  <c r="AS495" i="65"/>
  <c r="AR495" i="65"/>
  <c r="AQ495" i="65"/>
  <c r="AP495" i="65"/>
  <c r="AO495" i="65"/>
  <c r="AN495" i="65"/>
  <c r="AM495" i="65"/>
  <c r="AL495" i="65"/>
  <c r="AK495" i="65"/>
  <c r="AJ495" i="65"/>
  <c r="AZ494" i="65"/>
  <c r="AY494" i="65"/>
  <c r="AX494" i="65"/>
  <c r="AW494" i="65"/>
  <c r="AV494" i="65"/>
  <c r="AU494" i="65"/>
  <c r="AT494" i="65"/>
  <c r="AS494" i="65"/>
  <c r="AR494" i="65"/>
  <c r="AQ494" i="65"/>
  <c r="AP494" i="65"/>
  <c r="AO494" i="65"/>
  <c r="AN494" i="65"/>
  <c r="AM494" i="65"/>
  <c r="AL494" i="65"/>
  <c r="AK494" i="65"/>
  <c r="AJ494" i="65"/>
  <c r="AZ493" i="65"/>
  <c r="AY493" i="65"/>
  <c r="AX493" i="65"/>
  <c r="AW493" i="65"/>
  <c r="AV493" i="65"/>
  <c r="AU493" i="65"/>
  <c r="AT493" i="65"/>
  <c r="AS493" i="65"/>
  <c r="AR493" i="65"/>
  <c r="AQ493" i="65"/>
  <c r="AP493" i="65"/>
  <c r="AO493" i="65"/>
  <c r="AN493" i="65"/>
  <c r="AM493" i="65"/>
  <c r="AL493" i="65"/>
  <c r="AK493" i="65"/>
  <c r="AJ493" i="65"/>
  <c r="AZ492" i="65"/>
  <c r="AY492" i="65"/>
  <c r="AX492" i="65"/>
  <c r="AW492" i="65"/>
  <c r="AV492" i="65"/>
  <c r="AU492" i="65"/>
  <c r="AT492" i="65"/>
  <c r="AS492" i="65"/>
  <c r="AR492" i="65"/>
  <c r="AQ492" i="65"/>
  <c r="AP492" i="65"/>
  <c r="AO492" i="65"/>
  <c r="AN492" i="65"/>
  <c r="AM492" i="65"/>
  <c r="AL492" i="65"/>
  <c r="AK492" i="65"/>
  <c r="AJ492" i="65"/>
  <c r="AZ491" i="65"/>
  <c r="AY491" i="65"/>
  <c r="AX491" i="65"/>
  <c r="AW491" i="65"/>
  <c r="AV491" i="65"/>
  <c r="AU491" i="65"/>
  <c r="AT491" i="65"/>
  <c r="AS491" i="65"/>
  <c r="AR491" i="65"/>
  <c r="AQ491" i="65"/>
  <c r="AP491" i="65"/>
  <c r="AO491" i="65"/>
  <c r="AN491" i="65"/>
  <c r="AM491" i="65"/>
  <c r="AL491" i="65"/>
  <c r="AK491" i="65"/>
  <c r="AJ491" i="65"/>
  <c r="AZ490" i="65"/>
  <c r="AY490" i="65"/>
  <c r="AX490" i="65"/>
  <c r="AW490" i="65"/>
  <c r="AV490" i="65"/>
  <c r="AU490" i="65"/>
  <c r="AT490" i="65"/>
  <c r="AS490" i="65"/>
  <c r="AR490" i="65"/>
  <c r="AQ490" i="65"/>
  <c r="AP490" i="65"/>
  <c r="AO490" i="65"/>
  <c r="AN490" i="65"/>
  <c r="AM490" i="65"/>
  <c r="AL490" i="65"/>
  <c r="AK490" i="65"/>
  <c r="AJ490" i="65"/>
  <c r="AZ489" i="65"/>
  <c r="AY489" i="65"/>
  <c r="AX489" i="65"/>
  <c r="AW489" i="65"/>
  <c r="AV489" i="65"/>
  <c r="AU489" i="65"/>
  <c r="AT489" i="65"/>
  <c r="AS489" i="65"/>
  <c r="AR489" i="65"/>
  <c r="AQ489" i="65"/>
  <c r="AP489" i="65"/>
  <c r="AO489" i="65"/>
  <c r="AN489" i="65"/>
  <c r="AM489" i="65"/>
  <c r="AL489" i="65"/>
  <c r="AK489" i="65"/>
  <c r="AJ489" i="65"/>
  <c r="AZ488" i="65"/>
  <c r="AY488" i="65"/>
  <c r="AX488" i="65"/>
  <c r="AW488" i="65"/>
  <c r="AV488" i="65"/>
  <c r="AU488" i="65"/>
  <c r="AT488" i="65"/>
  <c r="AS488" i="65"/>
  <c r="AR488" i="65"/>
  <c r="AQ488" i="65"/>
  <c r="AP488" i="65"/>
  <c r="AO488" i="65"/>
  <c r="AN488" i="65"/>
  <c r="AM488" i="65"/>
  <c r="AL488" i="65"/>
  <c r="AK488" i="65"/>
  <c r="AJ488" i="65"/>
  <c r="AZ487" i="65"/>
  <c r="AY487" i="65"/>
  <c r="AX487" i="65"/>
  <c r="AW487" i="65"/>
  <c r="AV487" i="65"/>
  <c r="AU487" i="65"/>
  <c r="AT487" i="65"/>
  <c r="AS487" i="65"/>
  <c r="AR487" i="65"/>
  <c r="AQ487" i="65"/>
  <c r="AP487" i="65"/>
  <c r="AO487" i="65"/>
  <c r="AN487" i="65"/>
  <c r="AM487" i="65"/>
  <c r="AL487" i="65"/>
  <c r="AK487" i="65"/>
  <c r="AJ487" i="65"/>
  <c r="AZ486" i="65"/>
  <c r="AY486" i="65"/>
  <c r="AX486" i="65"/>
  <c r="AW486" i="65"/>
  <c r="AV486" i="65"/>
  <c r="AU486" i="65"/>
  <c r="AT486" i="65"/>
  <c r="AS486" i="65"/>
  <c r="AR486" i="65"/>
  <c r="AQ486" i="65"/>
  <c r="AP486" i="65"/>
  <c r="AO486" i="65"/>
  <c r="AN486" i="65"/>
  <c r="AM486" i="65"/>
  <c r="AL486" i="65"/>
  <c r="AK486" i="65"/>
  <c r="AJ486" i="65"/>
  <c r="AZ485" i="65"/>
  <c r="AY485" i="65"/>
  <c r="AX485" i="65"/>
  <c r="AW485" i="65"/>
  <c r="AV485" i="65"/>
  <c r="AU485" i="65"/>
  <c r="AT485" i="65"/>
  <c r="AS485" i="65"/>
  <c r="AR485" i="65"/>
  <c r="AQ485" i="65"/>
  <c r="AP485" i="65"/>
  <c r="AO485" i="65"/>
  <c r="AN485" i="65"/>
  <c r="AM485" i="65"/>
  <c r="AL485" i="65"/>
  <c r="AK485" i="65"/>
  <c r="AJ485" i="65"/>
  <c r="AZ484" i="65"/>
  <c r="AY484" i="65"/>
  <c r="AX484" i="65"/>
  <c r="AW484" i="65"/>
  <c r="AV484" i="65"/>
  <c r="AU484" i="65"/>
  <c r="AT484" i="65"/>
  <c r="AS484" i="65"/>
  <c r="AR484" i="65"/>
  <c r="AQ484" i="65"/>
  <c r="AP484" i="65"/>
  <c r="AO484" i="65"/>
  <c r="AN484" i="65"/>
  <c r="AM484" i="65"/>
  <c r="AL484" i="65"/>
  <c r="AK484" i="65"/>
  <c r="AJ484" i="65"/>
  <c r="AZ483" i="65"/>
  <c r="AY483" i="65"/>
  <c r="AX483" i="65"/>
  <c r="AW483" i="65"/>
  <c r="AV483" i="65"/>
  <c r="AU483" i="65"/>
  <c r="AT483" i="65"/>
  <c r="AS483" i="65"/>
  <c r="AR483" i="65"/>
  <c r="AQ483" i="65"/>
  <c r="AP483" i="65"/>
  <c r="AO483" i="65"/>
  <c r="AN483" i="65"/>
  <c r="AM483" i="65"/>
  <c r="AL483" i="65"/>
  <c r="AK483" i="65"/>
  <c r="AJ483" i="65"/>
  <c r="AZ482" i="65"/>
  <c r="AY482" i="65"/>
  <c r="AX482" i="65"/>
  <c r="AW482" i="65"/>
  <c r="AV482" i="65"/>
  <c r="AU482" i="65"/>
  <c r="AT482" i="65"/>
  <c r="AS482" i="65"/>
  <c r="AR482" i="65"/>
  <c r="AQ482" i="65"/>
  <c r="AP482" i="65"/>
  <c r="AO482" i="65"/>
  <c r="AN482" i="65"/>
  <c r="AM482" i="65"/>
  <c r="AL482" i="65"/>
  <c r="AK482" i="65"/>
  <c r="AJ482" i="65"/>
  <c r="AZ481" i="65"/>
  <c r="AY481" i="65"/>
  <c r="AX481" i="65"/>
  <c r="AW481" i="65"/>
  <c r="AV481" i="65"/>
  <c r="AU481" i="65"/>
  <c r="AT481" i="65"/>
  <c r="AS481" i="65"/>
  <c r="AR481" i="65"/>
  <c r="AQ481" i="65"/>
  <c r="AP481" i="65"/>
  <c r="AO481" i="65"/>
  <c r="AN481" i="65"/>
  <c r="AM481" i="65"/>
  <c r="AL481" i="65"/>
  <c r="AK481" i="65"/>
  <c r="AJ481" i="65"/>
  <c r="AZ480" i="65"/>
  <c r="AY480" i="65"/>
  <c r="AX480" i="65"/>
  <c r="AW480" i="65"/>
  <c r="AV480" i="65"/>
  <c r="AU480" i="65"/>
  <c r="AT480" i="65"/>
  <c r="AS480" i="65"/>
  <c r="AR480" i="65"/>
  <c r="AQ480" i="65"/>
  <c r="AP480" i="65"/>
  <c r="AO480" i="65"/>
  <c r="AN480" i="65"/>
  <c r="AM480" i="65"/>
  <c r="AL480" i="65"/>
  <c r="AK480" i="65"/>
  <c r="AJ480" i="65"/>
  <c r="AZ479" i="65"/>
  <c r="AY479" i="65"/>
  <c r="AX479" i="65"/>
  <c r="AW479" i="65"/>
  <c r="AV479" i="65"/>
  <c r="AU479" i="65"/>
  <c r="AT479" i="65"/>
  <c r="AS479" i="65"/>
  <c r="AR479" i="65"/>
  <c r="AQ479" i="65"/>
  <c r="AP479" i="65"/>
  <c r="AO479" i="65"/>
  <c r="AN479" i="65"/>
  <c r="AM479" i="65"/>
  <c r="AL479" i="65"/>
  <c r="AK479" i="65"/>
  <c r="AJ479" i="65"/>
  <c r="AZ478" i="65"/>
  <c r="AY478" i="65"/>
  <c r="AX478" i="65"/>
  <c r="AW478" i="65"/>
  <c r="AV478" i="65"/>
  <c r="AU478" i="65"/>
  <c r="AT478" i="65"/>
  <c r="AS478" i="65"/>
  <c r="AR478" i="65"/>
  <c r="AQ478" i="65"/>
  <c r="AP478" i="65"/>
  <c r="AO478" i="65"/>
  <c r="AN478" i="65"/>
  <c r="AM478" i="65"/>
  <c r="AL478" i="65"/>
  <c r="AK478" i="65"/>
  <c r="AJ478" i="65"/>
  <c r="AZ477" i="65"/>
  <c r="AY477" i="65"/>
  <c r="AX477" i="65"/>
  <c r="AW477" i="65"/>
  <c r="AV477" i="65"/>
  <c r="AU477" i="65"/>
  <c r="AT477" i="65"/>
  <c r="AS477" i="65"/>
  <c r="AR477" i="65"/>
  <c r="AQ477" i="65"/>
  <c r="AP477" i="65"/>
  <c r="AO477" i="65"/>
  <c r="AN477" i="65"/>
  <c r="AM477" i="65"/>
  <c r="AL477" i="65"/>
  <c r="AK477" i="65"/>
  <c r="AJ477" i="65"/>
  <c r="AZ476" i="65"/>
  <c r="AY476" i="65"/>
  <c r="AX476" i="65"/>
  <c r="AW476" i="65"/>
  <c r="AV476" i="65"/>
  <c r="AU476" i="65"/>
  <c r="AT476" i="65"/>
  <c r="AS476" i="65"/>
  <c r="AR476" i="65"/>
  <c r="AQ476" i="65"/>
  <c r="AP476" i="65"/>
  <c r="AO476" i="65"/>
  <c r="AN476" i="65"/>
  <c r="AM476" i="65"/>
  <c r="AL476" i="65"/>
  <c r="AK476" i="65"/>
  <c r="AJ476" i="65"/>
  <c r="AZ475" i="65"/>
  <c r="AY475" i="65"/>
  <c r="AX475" i="65"/>
  <c r="AW475" i="65"/>
  <c r="AV475" i="65"/>
  <c r="AU475" i="65"/>
  <c r="AT475" i="65"/>
  <c r="AS475" i="65"/>
  <c r="AR475" i="65"/>
  <c r="AQ475" i="65"/>
  <c r="AP475" i="65"/>
  <c r="AO475" i="65"/>
  <c r="AN475" i="65"/>
  <c r="AM475" i="65"/>
  <c r="AL475" i="65"/>
  <c r="AK475" i="65"/>
  <c r="AJ475" i="65"/>
  <c r="AZ474" i="65"/>
  <c r="AY474" i="65"/>
  <c r="AX474" i="65"/>
  <c r="AW474" i="65"/>
  <c r="AV474" i="65"/>
  <c r="AU474" i="65"/>
  <c r="AT474" i="65"/>
  <c r="AS474" i="65"/>
  <c r="AR474" i="65"/>
  <c r="AQ474" i="65"/>
  <c r="AP474" i="65"/>
  <c r="AO474" i="65"/>
  <c r="AN474" i="65"/>
  <c r="AM474" i="65"/>
  <c r="AL474" i="65"/>
  <c r="AK474" i="65"/>
  <c r="AJ474" i="65"/>
  <c r="AZ473" i="65"/>
  <c r="AY473" i="65"/>
  <c r="AX473" i="65"/>
  <c r="AW473" i="65"/>
  <c r="AV473" i="65"/>
  <c r="AU473" i="65"/>
  <c r="AT473" i="65"/>
  <c r="AS473" i="65"/>
  <c r="AR473" i="65"/>
  <c r="AQ473" i="65"/>
  <c r="AP473" i="65"/>
  <c r="AO473" i="65"/>
  <c r="AN473" i="65"/>
  <c r="AM473" i="65"/>
  <c r="AL473" i="65"/>
  <c r="AK473" i="65"/>
  <c r="AJ473" i="65"/>
  <c r="AZ472" i="65"/>
  <c r="AY472" i="65"/>
  <c r="AX472" i="65"/>
  <c r="AW472" i="65"/>
  <c r="AV472" i="65"/>
  <c r="AU472" i="65"/>
  <c r="AT472" i="65"/>
  <c r="AS472" i="65"/>
  <c r="AR472" i="65"/>
  <c r="AQ472" i="65"/>
  <c r="AP472" i="65"/>
  <c r="AO472" i="65"/>
  <c r="AN472" i="65"/>
  <c r="AM472" i="65"/>
  <c r="AL472" i="65"/>
  <c r="AK472" i="65"/>
  <c r="AJ472" i="65"/>
  <c r="AZ471" i="65"/>
  <c r="AY471" i="65"/>
  <c r="AX471" i="65"/>
  <c r="AW471" i="65"/>
  <c r="AV471" i="65"/>
  <c r="AU471" i="65"/>
  <c r="AT471" i="65"/>
  <c r="AS471" i="65"/>
  <c r="AR471" i="65"/>
  <c r="AQ471" i="65"/>
  <c r="AP471" i="65"/>
  <c r="AO471" i="65"/>
  <c r="AN471" i="65"/>
  <c r="AM471" i="65"/>
  <c r="AL471" i="65"/>
  <c r="AK471" i="65"/>
  <c r="AJ471" i="65"/>
  <c r="AZ470" i="65"/>
  <c r="AY470" i="65"/>
  <c r="AX470" i="65"/>
  <c r="AW470" i="65"/>
  <c r="AV470" i="65"/>
  <c r="AU470" i="65"/>
  <c r="AT470" i="65"/>
  <c r="AS470" i="65"/>
  <c r="AR470" i="65"/>
  <c r="AQ470" i="65"/>
  <c r="AP470" i="65"/>
  <c r="AO470" i="65"/>
  <c r="AN470" i="65"/>
  <c r="AM470" i="65"/>
  <c r="AL470" i="65"/>
  <c r="AK470" i="65"/>
  <c r="AJ470" i="65"/>
  <c r="AZ469" i="65"/>
  <c r="AY469" i="65"/>
  <c r="AX469" i="65"/>
  <c r="AW469" i="65"/>
  <c r="AV469" i="65"/>
  <c r="AU469" i="65"/>
  <c r="AT469" i="65"/>
  <c r="AS469" i="65"/>
  <c r="AR469" i="65"/>
  <c r="AQ469" i="65"/>
  <c r="AP469" i="65"/>
  <c r="AO469" i="65"/>
  <c r="AN469" i="65"/>
  <c r="AM469" i="65"/>
  <c r="AL469" i="65"/>
  <c r="AK469" i="65"/>
  <c r="AJ469" i="65"/>
  <c r="AZ468" i="65"/>
  <c r="AY468" i="65"/>
  <c r="AX468" i="65"/>
  <c r="AW468" i="65"/>
  <c r="AV468" i="65"/>
  <c r="AU468" i="65"/>
  <c r="AT468" i="65"/>
  <c r="AS468" i="65"/>
  <c r="AR468" i="65"/>
  <c r="AQ468" i="65"/>
  <c r="AP468" i="65"/>
  <c r="AO468" i="65"/>
  <c r="AN468" i="65"/>
  <c r="AM468" i="65"/>
  <c r="AL468" i="65"/>
  <c r="AK468" i="65"/>
  <c r="AJ468" i="65"/>
  <c r="AZ467" i="65"/>
  <c r="AY467" i="65"/>
  <c r="AX467" i="65"/>
  <c r="AW467" i="65"/>
  <c r="AV467" i="65"/>
  <c r="AU467" i="65"/>
  <c r="AT467" i="65"/>
  <c r="AS467" i="65"/>
  <c r="AR467" i="65"/>
  <c r="AQ467" i="65"/>
  <c r="AP467" i="65"/>
  <c r="AO467" i="65"/>
  <c r="AN467" i="65"/>
  <c r="AM467" i="65"/>
  <c r="AL467" i="65"/>
  <c r="AK467" i="65"/>
  <c r="AJ467" i="65"/>
  <c r="AZ466" i="65"/>
  <c r="AY466" i="65"/>
  <c r="AX466" i="65"/>
  <c r="AW466" i="65"/>
  <c r="AV466" i="65"/>
  <c r="AU466" i="65"/>
  <c r="AT466" i="65"/>
  <c r="AS466" i="65"/>
  <c r="AR466" i="65"/>
  <c r="AQ466" i="65"/>
  <c r="AP466" i="65"/>
  <c r="AO466" i="65"/>
  <c r="AN466" i="65"/>
  <c r="AM466" i="65"/>
  <c r="AL466" i="65"/>
  <c r="AK466" i="65"/>
  <c r="AJ466" i="65"/>
  <c r="AZ465" i="65"/>
  <c r="AY465" i="65"/>
  <c r="AX465" i="65"/>
  <c r="AW465" i="65"/>
  <c r="AV465" i="65"/>
  <c r="AU465" i="65"/>
  <c r="AT465" i="65"/>
  <c r="AS465" i="65"/>
  <c r="AR465" i="65"/>
  <c r="AQ465" i="65"/>
  <c r="AP465" i="65"/>
  <c r="AO465" i="65"/>
  <c r="AN465" i="65"/>
  <c r="AM465" i="65"/>
  <c r="AL465" i="65"/>
  <c r="AK465" i="65"/>
  <c r="AJ465" i="65"/>
  <c r="AZ464" i="65"/>
  <c r="AY464" i="65"/>
  <c r="AX464" i="65"/>
  <c r="AW464" i="65"/>
  <c r="AV464" i="65"/>
  <c r="AU464" i="65"/>
  <c r="AT464" i="65"/>
  <c r="AS464" i="65"/>
  <c r="AR464" i="65"/>
  <c r="AQ464" i="65"/>
  <c r="AP464" i="65"/>
  <c r="AO464" i="65"/>
  <c r="AN464" i="65"/>
  <c r="AM464" i="65"/>
  <c r="AL464" i="65"/>
  <c r="AK464" i="65"/>
  <c r="AJ464" i="65"/>
  <c r="AZ463" i="65"/>
  <c r="AY463" i="65"/>
  <c r="AX463" i="65"/>
  <c r="AW463" i="65"/>
  <c r="AV463" i="65"/>
  <c r="AU463" i="65"/>
  <c r="AT463" i="65"/>
  <c r="AS463" i="65"/>
  <c r="AR463" i="65"/>
  <c r="AQ463" i="65"/>
  <c r="AP463" i="65"/>
  <c r="AO463" i="65"/>
  <c r="AN463" i="65"/>
  <c r="AM463" i="65"/>
  <c r="AL463" i="65"/>
  <c r="AK463" i="65"/>
  <c r="AJ463" i="65"/>
  <c r="AZ462" i="65"/>
  <c r="AY462" i="65"/>
  <c r="AX462" i="65"/>
  <c r="AW462" i="65"/>
  <c r="AV462" i="65"/>
  <c r="AU462" i="65"/>
  <c r="AT462" i="65"/>
  <c r="AS462" i="65"/>
  <c r="AR462" i="65"/>
  <c r="AQ462" i="65"/>
  <c r="AP462" i="65"/>
  <c r="AO462" i="65"/>
  <c r="AN462" i="65"/>
  <c r="AM462" i="65"/>
  <c r="AL462" i="65"/>
  <c r="AK462" i="65"/>
  <c r="AJ462" i="65"/>
  <c r="AZ461" i="65"/>
  <c r="AY461" i="65"/>
  <c r="AX461" i="65"/>
  <c r="AW461" i="65"/>
  <c r="AV461" i="65"/>
  <c r="AU461" i="65"/>
  <c r="AT461" i="65"/>
  <c r="AS461" i="65"/>
  <c r="AR461" i="65"/>
  <c r="AQ461" i="65"/>
  <c r="AP461" i="65"/>
  <c r="AO461" i="65"/>
  <c r="AN461" i="65"/>
  <c r="AM461" i="65"/>
  <c r="AL461" i="65"/>
  <c r="AK461" i="65"/>
  <c r="AJ461" i="65"/>
  <c r="AZ460" i="65"/>
  <c r="AY460" i="65"/>
  <c r="AX460" i="65"/>
  <c r="AW460" i="65"/>
  <c r="AV460" i="65"/>
  <c r="AU460" i="65"/>
  <c r="AT460" i="65"/>
  <c r="AS460" i="65"/>
  <c r="AR460" i="65"/>
  <c r="AQ460" i="65"/>
  <c r="AP460" i="65"/>
  <c r="AO460" i="65"/>
  <c r="AN460" i="65"/>
  <c r="AM460" i="65"/>
  <c r="AL460" i="65"/>
  <c r="AK460" i="65"/>
  <c r="AJ460" i="65"/>
  <c r="AZ459" i="65"/>
  <c r="AY459" i="65"/>
  <c r="AX459" i="65"/>
  <c r="AW459" i="65"/>
  <c r="AV459" i="65"/>
  <c r="AU459" i="65"/>
  <c r="AT459" i="65"/>
  <c r="AS459" i="65"/>
  <c r="AR459" i="65"/>
  <c r="AQ459" i="65"/>
  <c r="AP459" i="65"/>
  <c r="AO459" i="65"/>
  <c r="AN459" i="65"/>
  <c r="AM459" i="65"/>
  <c r="AL459" i="65"/>
  <c r="AK459" i="65"/>
  <c r="AJ459" i="65"/>
  <c r="AZ458" i="65"/>
  <c r="AY458" i="65"/>
  <c r="AX458" i="65"/>
  <c r="AW458" i="65"/>
  <c r="AV458" i="65"/>
  <c r="AU458" i="65"/>
  <c r="AT458" i="65"/>
  <c r="AS458" i="65"/>
  <c r="AR458" i="65"/>
  <c r="AQ458" i="65"/>
  <c r="AP458" i="65"/>
  <c r="AO458" i="65"/>
  <c r="AN458" i="65"/>
  <c r="AM458" i="65"/>
  <c r="AL458" i="65"/>
  <c r="AK458" i="65"/>
  <c r="AJ458" i="65"/>
  <c r="AZ457" i="65"/>
  <c r="AY457" i="65"/>
  <c r="AX457" i="65"/>
  <c r="AW457" i="65"/>
  <c r="AV457" i="65"/>
  <c r="AU457" i="65"/>
  <c r="AT457" i="65"/>
  <c r="AS457" i="65"/>
  <c r="AR457" i="65"/>
  <c r="AQ457" i="65"/>
  <c r="AP457" i="65"/>
  <c r="AO457" i="65"/>
  <c r="AN457" i="65"/>
  <c r="AM457" i="65"/>
  <c r="AL457" i="65"/>
  <c r="AK457" i="65"/>
  <c r="AJ457" i="65"/>
  <c r="AZ456" i="65"/>
  <c r="AY456" i="65"/>
  <c r="AX456" i="65"/>
  <c r="AW456" i="65"/>
  <c r="AV456" i="65"/>
  <c r="AU456" i="65"/>
  <c r="AT456" i="65"/>
  <c r="AS456" i="65"/>
  <c r="AR456" i="65"/>
  <c r="AQ456" i="65"/>
  <c r="AP456" i="65"/>
  <c r="AO456" i="65"/>
  <c r="AN456" i="65"/>
  <c r="AM456" i="65"/>
  <c r="AL456" i="65"/>
  <c r="AK456" i="65"/>
  <c r="AJ456" i="65"/>
  <c r="AZ455" i="65"/>
  <c r="AY455" i="65"/>
  <c r="AX455" i="65"/>
  <c r="AW455" i="65"/>
  <c r="AV455" i="65"/>
  <c r="AU455" i="65"/>
  <c r="AT455" i="65"/>
  <c r="AS455" i="65"/>
  <c r="AR455" i="65"/>
  <c r="AQ455" i="65"/>
  <c r="AP455" i="65"/>
  <c r="AO455" i="65"/>
  <c r="AN455" i="65"/>
  <c r="AM455" i="65"/>
  <c r="AL455" i="65"/>
  <c r="AK455" i="65"/>
  <c r="AJ455" i="65"/>
  <c r="AZ454" i="65"/>
  <c r="AY454" i="65"/>
  <c r="AX454" i="65"/>
  <c r="AW454" i="65"/>
  <c r="AV454" i="65"/>
  <c r="AU454" i="65"/>
  <c r="AT454" i="65"/>
  <c r="AS454" i="65"/>
  <c r="AR454" i="65"/>
  <c r="AQ454" i="65"/>
  <c r="AP454" i="65"/>
  <c r="AO454" i="65"/>
  <c r="AN454" i="65"/>
  <c r="AM454" i="65"/>
  <c r="AL454" i="65"/>
  <c r="AK454" i="65"/>
  <c r="AJ454" i="65"/>
  <c r="AZ453" i="65"/>
  <c r="AY453" i="65"/>
  <c r="AX453" i="65"/>
  <c r="AW453" i="65"/>
  <c r="AV453" i="65"/>
  <c r="AU453" i="65"/>
  <c r="AT453" i="65"/>
  <c r="AS453" i="65"/>
  <c r="AR453" i="65"/>
  <c r="AQ453" i="65"/>
  <c r="AP453" i="65"/>
  <c r="AO453" i="65"/>
  <c r="AN453" i="65"/>
  <c r="AM453" i="65"/>
  <c r="AL453" i="65"/>
  <c r="AK453" i="65"/>
  <c r="AJ453" i="65"/>
  <c r="AZ452" i="65"/>
  <c r="AY452" i="65"/>
  <c r="AX452" i="65"/>
  <c r="AW452" i="65"/>
  <c r="AV452" i="65"/>
  <c r="AU452" i="65"/>
  <c r="AT452" i="65"/>
  <c r="AS452" i="65"/>
  <c r="AR452" i="65"/>
  <c r="AQ452" i="65"/>
  <c r="AP452" i="65"/>
  <c r="AO452" i="65"/>
  <c r="AN452" i="65"/>
  <c r="AM452" i="65"/>
  <c r="AL452" i="65"/>
  <c r="AK452" i="65"/>
  <c r="AJ452" i="65"/>
  <c r="AZ451" i="65"/>
  <c r="AY451" i="65"/>
  <c r="AX451" i="65"/>
  <c r="AW451" i="65"/>
  <c r="AV451" i="65"/>
  <c r="AU451" i="65"/>
  <c r="AT451" i="65"/>
  <c r="AS451" i="65"/>
  <c r="AR451" i="65"/>
  <c r="AQ451" i="65"/>
  <c r="AP451" i="65"/>
  <c r="AO451" i="65"/>
  <c r="AN451" i="65"/>
  <c r="AM451" i="65"/>
  <c r="AL451" i="65"/>
  <c r="AK451" i="65"/>
  <c r="AJ451" i="65"/>
  <c r="AZ450" i="65"/>
  <c r="AY450" i="65"/>
  <c r="AX450" i="65"/>
  <c r="AW450" i="65"/>
  <c r="AV450" i="65"/>
  <c r="AU450" i="65"/>
  <c r="AT450" i="65"/>
  <c r="AS450" i="65"/>
  <c r="AR450" i="65"/>
  <c r="AQ450" i="65"/>
  <c r="AP450" i="65"/>
  <c r="AO450" i="65"/>
  <c r="AN450" i="65"/>
  <c r="AM450" i="65"/>
  <c r="AL450" i="65"/>
  <c r="AK450" i="65"/>
  <c r="AJ450" i="65"/>
  <c r="AZ449" i="65"/>
  <c r="AY449" i="65"/>
  <c r="AX449" i="65"/>
  <c r="AW449" i="65"/>
  <c r="AV449" i="65"/>
  <c r="AU449" i="65"/>
  <c r="AT449" i="65"/>
  <c r="AS449" i="65"/>
  <c r="AR449" i="65"/>
  <c r="AQ449" i="65"/>
  <c r="AP449" i="65"/>
  <c r="AO449" i="65"/>
  <c r="AN449" i="65"/>
  <c r="AM449" i="65"/>
  <c r="AL449" i="65"/>
  <c r="AK449" i="65"/>
  <c r="AJ449" i="65"/>
  <c r="AZ448" i="65"/>
  <c r="AY448" i="65"/>
  <c r="AX448" i="65"/>
  <c r="AW448" i="65"/>
  <c r="AV448" i="65"/>
  <c r="AU448" i="65"/>
  <c r="AT448" i="65"/>
  <c r="AS448" i="65"/>
  <c r="AR448" i="65"/>
  <c r="AQ448" i="65"/>
  <c r="AP448" i="65"/>
  <c r="AO448" i="65"/>
  <c r="AN448" i="65"/>
  <c r="AM448" i="65"/>
  <c r="AL448" i="65"/>
  <c r="AK448" i="65"/>
  <c r="AJ448" i="65"/>
  <c r="AZ447" i="65"/>
  <c r="AY447" i="65"/>
  <c r="AX447" i="65"/>
  <c r="AW447" i="65"/>
  <c r="AV447" i="65"/>
  <c r="AU447" i="65"/>
  <c r="AT447" i="65"/>
  <c r="AS447" i="65"/>
  <c r="AR447" i="65"/>
  <c r="AQ447" i="65"/>
  <c r="AP447" i="65"/>
  <c r="AO447" i="65"/>
  <c r="AN447" i="65"/>
  <c r="AM447" i="65"/>
  <c r="AL447" i="65"/>
  <c r="AK447" i="65"/>
  <c r="AJ447" i="65"/>
  <c r="AZ446" i="65"/>
  <c r="AY446" i="65"/>
  <c r="AX446" i="65"/>
  <c r="AW446" i="65"/>
  <c r="AV446" i="65"/>
  <c r="AU446" i="65"/>
  <c r="AT446" i="65"/>
  <c r="AS446" i="65"/>
  <c r="AR446" i="65"/>
  <c r="AQ446" i="65"/>
  <c r="AP446" i="65"/>
  <c r="AO446" i="65"/>
  <c r="AN446" i="65"/>
  <c r="AM446" i="65"/>
  <c r="AL446" i="65"/>
  <c r="AK446" i="65"/>
  <c r="AJ446" i="65"/>
  <c r="AZ445" i="65"/>
  <c r="AY445" i="65"/>
  <c r="AX445" i="65"/>
  <c r="AW445" i="65"/>
  <c r="AV445" i="65"/>
  <c r="AU445" i="65"/>
  <c r="AT445" i="65"/>
  <c r="AS445" i="65"/>
  <c r="AR445" i="65"/>
  <c r="AQ445" i="65"/>
  <c r="AP445" i="65"/>
  <c r="AO445" i="65"/>
  <c r="AN445" i="65"/>
  <c r="AM445" i="65"/>
  <c r="AL445" i="65"/>
  <c r="AK445" i="65"/>
  <c r="AJ445" i="65"/>
  <c r="AZ444" i="65"/>
  <c r="AY444" i="65"/>
  <c r="AX444" i="65"/>
  <c r="AW444" i="65"/>
  <c r="AV444" i="65"/>
  <c r="AU444" i="65"/>
  <c r="AT444" i="65"/>
  <c r="AS444" i="65"/>
  <c r="AR444" i="65"/>
  <c r="AQ444" i="65"/>
  <c r="AP444" i="65"/>
  <c r="AO444" i="65"/>
  <c r="AN444" i="65"/>
  <c r="AM444" i="65"/>
  <c r="AL444" i="65"/>
  <c r="AK444" i="65"/>
  <c r="AJ444" i="65"/>
  <c r="AZ443" i="65"/>
  <c r="AY443" i="65"/>
  <c r="AX443" i="65"/>
  <c r="AW443" i="65"/>
  <c r="AV443" i="65"/>
  <c r="AU443" i="65"/>
  <c r="AT443" i="65"/>
  <c r="AS443" i="65"/>
  <c r="AR443" i="65"/>
  <c r="AQ443" i="65"/>
  <c r="AP443" i="65"/>
  <c r="AO443" i="65"/>
  <c r="AN443" i="65"/>
  <c r="AM443" i="65"/>
  <c r="AL443" i="65"/>
  <c r="AK443" i="65"/>
  <c r="AJ443" i="65"/>
  <c r="AZ442" i="65"/>
  <c r="AY442" i="65"/>
  <c r="AX442" i="65"/>
  <c r="AW442" i="65"/>
  <c r="AV442" i="65"/>
  <c r="AU442" i="65"/>
  <c r="AT442" i="65"/>
  <c r="AS442" i="65"/>
  <c r="AR442" i="65"/>
  <c r="AQ442" i="65"/>
  <c r="AP442" i="65"/>
  <c r="AO442" i="65"/>
  <c r="AN442" i="65"/>
  <c r="AM442" i="65"/>
  <c r="AL442" i="65"/>
  <c r="AK442" i="65"/>
  <c r="AJ442" i="65"/>
  <c r="AZ441" i="65"/>
  <c r="AY441" i="65"/>
  <c r="AX441" i="65"/>
  <c r="AW441" i="65"/>
  <c r="AV441" i="65"/>
  <c r="AU441" i="65"/>
  <c r="AT441" i="65"/>
  <c r="AS441" i="65"/>
  <c r="AR441" i="65"/>
  <c r="AQ441" i="65"/>
  <c r="AP441" i="65"/>
  <c r="AO441" i="65"/>
  <c r="AN441" i="65"/>
  <c r="AM441" i="65"/>
  <c r="AL441" i="65"/>
  <c r="AK441" i="65"/>
  <c r="AJ441" i="65"/>
  <c r="AZ440" i="65"/>
  <c r="AY440" i="65"/>
  <c r="AX440" i="65"/>
  <c r="AW440" i="65"/>
  <c r="AV440" i="65"/>
  <c r="AU440" i="65"/>
  <c r="AT440" i="65"/>
  <c r="AS440" i="65"/>
  <c r="AR440" i="65"/>
  <c r="AQ440" i="65"/>
  <c r="AP440" i="65"/>
  <c r="AO440" i="65"/>
  <c r="AN440" i="65"/>
  <c r="AM440" i="65"/>
  <c r="AL440" i="65"/>
  <c r="AK440" i="65"/>
  <c r="AJ440" i="65"/>
  <c r="AZ439" i="65"/>
  <c r="AY439" i="65"/>
  <c r="AX439" i="65"/>
  <c r="AW439" i="65"/>
  <c r="AV439" i="65"/>
  <c r="AU439" i="65"/>
  <c r="AT439" i="65"/>
  <c r="AS439" i="65"/>
  <c r="AR439" i="65"/>
  <c r="AQ439" i="65"/>
  <c r="AP439" i="65"/>
  <c r="AO439" i="65"/>
  <c r="AN439" i="65"/>
  <c r="AM439" i="65"/>
  <c r="AL439" i="65"/>
  <c r="AK439" i="65"/>
  <c r="AJ439" i="65"/>
  <c r="AZ438" i="65"/>
  <c r="AY438" i="65"/>
  <c r="AX438" i="65"/>
  <c r="AW438" i="65"/>
  <c r="AV438" i="65"/>
  <c r="AU438" i="65"/>
  <c r="AT438" i="65"/>
  <c r="AS438" i="65"/>
  <c r="AR438" i="65"/>
  <c r="AQ438" i="65"/>
  <c r="AP438" i="65"/>
  <c r="AO438" i="65"/>
  <c r="AN438" i="65"/>
  <c r="AM438" i="65"/>
  <c r="AL438" i="65"/>
  <c r="AK438" i="65"/>
  <c r="AJ438" i="65"/>
  <c r="AZ437" i="65"/>
  <c r="AY437" i="65"/>
  <c r="AX437" i="65"/>
  <c r="AW437" i="65"/>
  <c r="AV437" i="65"/>
  <c r="AU437" i="65"/>
  <c r="AT437" i="65"/>
  <c r="AS437" i="65"/>
  <c r="AR437" i="65"/>
  <c r="AQ437" i="65"/>
  <c r="AP437" i="65"/>
  <c r="AO437" i="65"/>
  <c r="AN437" i="65"/>
  <c r="AM437" i="65"/>
  <c r="AL437" i="65"/>
  <c r="AK437" i="65"/>
  <c r="AJ437" i="65"/>
  <c r="AZ436" i="65"/>
  <c r="AY436" i="65"/>
  <c r="AX436" i="65"/>
  <c r="AW436" i="65"/>
  <c r="AV436" i="65"/>
  <c r="AU436" i="65"/>
  <c r="AT436" i="65"/>
  <c r="AS436" i="65"/>
  <c r="AR436" i="65"/>
  <c r="AQ436" i="65"/>
  <c r="AP436" i="65"/>
  <c r="AO436" i="65"/>
  <c r="AN436" i="65"/>
  <c r="AM436" i="65"/>
  <c r="AL436" i="65"/>
  <c r="AK436" i="65"/>
  <c r="AJ436" i="65"/>
  <c r="AZ435" i="65"/>
  <c r="AY435" i="65"/>
  <c r="AX435" i="65"/>
  <c r="AW435" i="65"/>
  <c r="AV435" i="65"/>
  <c r="AU435" i="65"/>
  <c r="AT435" i="65"/>
  <c r="AS435" i="65"/>
  <c r="AR435" i="65"/>
  <c r="AQ435" i="65"/>
  <c r="AP435" i="65"/>
  <c r="AO435" i="65"/>
  <c r="AN435" i="65"/>
  <c r="AM435" i="65"/>
  <c r="AL435" i="65"/>
  <c r="AK435" i="65"/>
  <c r="AJ435" i="65"/>
  <c r="AZ434" i="65"/>
  <c r="AY434" i="65"/>
  <c r="AX434" i="65"/>
  <c r="AW434" i="65"/>
  <c r="AV434" i="65"/>
  <c r="AU434" i="65"/>
  <c r="AT434" i="65"/>
  <c r="AS434" i="65"/>
  <c r="AR434" i="65"/>
  <c r="AQ434" i="65"/>
  <c r="AP434" i="65"/>
  <c r="AO434" i="65"/>
  <c r="AN434" i="65"/>
  <c r="AM434" i="65"/>
  <c r="AL434" i="65"/>
  <c r="AK434" i="65"/>
  <c r="AJ434" i="65"/>
  <c r="AZ433" i="65"/>
  <c r="AY433" i="65"/>
  <c r="AX433" i="65"/>
  <c r="AW433" i="65"/>
  <c r="AV433" i="65"/>
  <c r="AU433" i="65"/>
  <c r="AT433" i="65"/>
  <c r="AS433" i="65"/>
  <c r="AR433" i="65"/>
  <c r="AQ433" i="65"/>
  <c r="AP433" i="65"/>
  <c r="AO433" i="65"/>
  <c r="AN433" i="65"/>
  <c r="AM433" i="65"/>
  <c r="AL433" i="65"/>
  <c r="AK433" i="65"/>
  <c r="AJ433" i="65"/>
  <c r="AZ432" i="65"/>
  <c r="AY432" i="65"/>
  <c r="AX432" i="65"/>
  <c r="AW432" i="65"/>
  <c r="AV432" i="65"/>
  <c r="AU432" i="65"/>
  <c r="AT432" i="65"/>
  <c r="AS432" i="65"/>
  <c r="AR432" i="65"/>
  <c r="AQ432" i="65"/>
  <c r="AP432" i="65"/>
  <c r="AO432" i="65"/>
  <c r="AN432" i="65"/>
  <c r="AM432" i="65"/>
  <c r="AL432" i="65"/>
  <c r="AK432" i="65"/>
  <c r="AJ432" i="65"/>
  <c r="AZ431" i="65"/>
  <c r="AY431" i="65"/>
  <c r="AX431" i="65"/>
  <c r="AW431" i="65"/>
  <c r="AV431" i="65"/>
  <c r="AU431" i="65"/>
  <c r="AT431" i="65"/>
  <c r="AS431" i="65"/>
  <c r="AR431" i="65"/>
  <c r="AQ431" i="65"/>
  <c r="AP431" i="65"/>
  <c r="AO431" i="65"/>
  <c r="AN431" i="65"/>
  <c r="AM431" i="65"/>
  <c r="AL431" i="65"/>
  <c r="AK431" i="65"/>
  <c r="AJ431" i="65"/>
  <c r="AZ430" i="65"/>
  <c r="AY430" i="65"/>
  <c r="AX430" i="65"/>
  <c r="AW430" i="65"/>
  <c r="AV430" i="65"/>
  <c r="AU430" i="65"/>
  <c r="AT430" i="65"/>
  <c r="AS430" i="65"/>
  <c r="AR430" i="65"/>
  <c r="AQ430" i="65"/>
  <c r="AP430" i="65"/>
  <c r="AO430" i="65"/>
  <c r="AN430" i="65"/>
  <c r="AM430" i="65"/>
  <c r="AL430" i="65"/>
  <c r="AK430" i="65"/>
  <c r="AJ430" i="65"/>
  <c r="AZ429" i="65"/>
  <c r="AY429" i="65"/>
  <c r="AX429" i="65"/>
  <c r="AW429" i="65"/>
  <c r="AV429" i="65"/>
  <c r="AU429" i="65"/>
  <c r="AT429" i="65"/>
  <c r="AS429" i="65"/>
  <c r="AR429" i="65"/>
  <c r="AQ429" i="65"/>
  <c r="AP429" i="65"/>
  <c r="AO429" i="65"/>
  <c r="AN429" i="65"/>
  <c r="AM429" i="65"/>
  <c r="AL429" i="65"/>
  <c r="AK429" i="65"/>
  <c r="AJ429" i="65"/>
  <c r="AZ428" i="65"/>
  <c r="AY428" i="65"/>
  <c r="AX428" i="65"/>
  <c r="AW428" i="65"/>
  <c r="AV428" i="65"/>
  <c r="AU428" i="65"/>
  <c r="AT428" i="65"/>
  <c r="AS428" i="65"/>
  <c r="AR428" i="65"/>
  <c r="AQ428" i="65"/>
  <c r="AP428" i="65"/>
  <c r="AO428" i="65"/>
  <c r="AN428" i="65"/>
  <c r="AM428" i="65"/>
  <c r="AL428" i="65"/>
  <c r="AK428" i="65"/>
  <c r="AJ428" i="65"/>
  <c r="AZ427" i="65"/>
  <c r="AY427" i="65"/>
  <c r="AX427" i="65"/>
  <c r="AW427" i="65"/>
  <c r="AV427" i="65"/>
  <c r="AU427" i="65"/>
  <c r="AT427" i="65"/>
  <c r="AS427" i="65"/>
  <c r="AR427" i="65"/>
  <c r="AQ427" i="65"/>
  <c r="AP427" i="65"/>
  <c r="AO427" i="65"/>
  <c r="AN427" i="65"/>
  <c r="AM427" i="65"/>
  <c r="AL427" i="65"/>
  <c r="AK427" i="65"/>
  <c r="AJ427" i="65"/>
  <c r="AZ426" i="65"/>
  <c r="AY426" i="65"/>
  <c r="AX426" i="65"/>
  <c r="AW426" i="65"/>
  <c r="AV426" i="65"/>
  <c r="AU426" i="65"/>
  <c r="AT426" i="65"/>
  <c r="AS426" i="65"/>
  <c r="AR426" i="65"/>
  <c r="AQ426" i="65"/>
  <c r="AP426" i="65"/>
  <c r="AO426" i="65"/>
  <c r="AN426" i="65"/>
  <c r="AM426" i="65"/>
  <c r="AL426" i="65"/>
  <c r="AK426" i="65"/>
  <c r="AJ426" i="65"/>
  <c r="AZ425" i="65"/>
  <c r="AY425" i="65"/>
  <c r="AX425" i="65"/>
  <c r="AW425" i="65"/>
  <c r="AV425" i="65"/>
  <c r="AU425" i="65"/>
  <c r="AT425" i="65"/>
  <c r="AS425" i="65"/>
  <c r="AR425" i="65"/>
  <c r="AQ425" i="65"/>
  <c r="AP425" i="65"/>
  <c r="AO425" i="65"/>
  <c r="AN425" i="65"/>
  <c r="AM425" i="65"/>
  <c r="AL425" i="65"/>
  <c r="AK425" i="65"/>
  <c r="AJ425" i="65"/>
  <c r="AZ424" i="65"/>
  <c r="AY424" i="65"/>
  <c r="AX424" i="65"/>
  <c r="AW424" i="65"/>
  <c r="AV424" i="65"/>
  <c r="AU424" i="65"/>
  <c r="AT424" i="65"/>
  <c r="AS424" i="65"/>
  <c r="AR424" i="65"/>
  <c r="AQ424" i="65"/>
  <c r="AP424" i="65"/>
  <c r="AO424" i="65"/>
  <c r="AN424" i="65"/>
  <c r="AM424" i="65"/>
  <c r="AL424" i="65"/>
  <c r="AK424" i="65"/>
  <c r="AJ424" i="65"/>
  <c r="AZ423" i="65"/>
  <c r="AY423" i="65"/>
  <c r="AX423" i="65"/>
  <c r="AW423" i="65"/>
  <c r="AV423" i="65"/>
  <c r="AU423" i="65"/>
  <c r="AT423" i="65"/>
  <c r="AS423" i="65"/>
  <c r="AR423" i="65"/>
  <c r="AQ423" i="65"/>
  <c r="AP423" i="65"/>
  <c r="AO423" i="65"/>
  <c r="AN423" i="65"/>
  <c r="AM423" i="65"/>
  <c r="AL423" i="65"/>
  <c r="AK423" i="65"/>
  <c r="AJ423" i="65"/>
  <c r="AZ422" i="65"/>
  <c r="AY422" i="65"/>
  <c r="AX422" i="65"/>
  <c r="AW422" i="65"/>
  <c r="AV422" i="65"/>
  <c r="AU422" i="65"/>
  <c r="AT422" i="65"/>
  <c r="AS422" i="65"/>
  <c r="AR422" i="65"/>
  <c r="AQ422" i="65"/>
  <c r="AP422" i="65"/>
  <c r="AO422" i="65"/>
  <c r="AN422" i="65"/>
  <c r="AM422" i="65"/>
  <c r="AL422" i="65"/>
  <c r="AK422" i="65"/>
  <c r="AJ422" i="65"/>
  <c r="AZ421" i="65"/>
  <c r="AY421" i="65"/>
  <c r="AX421" i="65"/>
  <c r="AW421" i="65"/>
  <c r="AV421" i="65"/>
  <c r="AU421" i="65"/>
  <c r="AT421" i="65"/>
  <c r="AS421" i="65"/>
  <c r="AR421" i="65"/>
  <c r="AQ421" i="65"/>
  <c r="AP421" i="65"/>
  <c r="AO421" i="65"/>
  <c r="AN421" i="65"/>
  <c r="AM421" i="65"/>
  <c r="AL421" i="65"/>
  <c r="AK421" i="65"/>
  <c r="AJ421" i="65"/>
  <c r="AZ420" i="65"/>
  <c r="AY420" i="65"/>
  <c r="AX420" i="65"/>
  <c r="AW420" i="65"/>
  <c r="AV420" i="65"/>
  <c r="AU420" i="65"/>
  <c r="AT420" i="65"/>
  <c r="AS420" i="65"/>
  <c r="AR420" i="65"/>
  <c r="AQ420" i="65"/>
  <c r="AP420" i="65"/>
  <c r="AO420" i="65"/>
  <c r="AN420" i="65"/>
  <c r="AM420" i="65"/>
  <c r="AL420" i="65"/>
  <c r="AK420" i="65"/>
  <c r="AJ420" i="65"/>
  <c r="AZ419" i="65"/>
  <c r="AY419" i="65"/>
  <c r="AX419" i="65"/>
  <c r="AW419" i="65"/>
  <c r="AV419" i="65"/>
  <c r="AU419" i="65"/>
  <c r="AT419" i="65"/>
  <c r="AS419" i="65"/>
  <c r="AR419" i="65"/>
  <c r="AQ419" i="65"/>
  <c r="AP419" i="65"/>
  <c r="AO419" i="65"/>
  <c r="AN419" i="65"/>
  <c r="AM419" i="65"/>
  <c r="AL419" i="65"/>
  <c r="AK419" i="65"/>
  <c r="AJ419" i="65"/>
  <c r="AZ418" i="65"/>
  <c r="AY418" i="65"/>
  <c r="AX418" i="65"/>
  <c r="AW418" i="65"/>
  <c r="AV418" i="65"/>
  <c r="AU418" i="65"/>
  <c r="AT418" i="65"/>
  <c r="AS418" i="65"/>
  <c r="AR418" i="65"/>
  <c r="AQ418" i="65"/>
  <c r="AP418" i="65"/>
  <c r="AO418" i="65"/>
  <c r="AN418" i="65"/>
  <c r="AM418" i="65"/>
  <c r="AL418" i="65"/>
  <c r="AK418" i="65"/>
  <c r="AJ418" i="65"/>
  <c r="AZ417" i="65"/>
  <c r="AY417" i="65"/>
  <c r="AX417" i="65"/>
  <c r="AW417" i="65"/>
  <c r="AV417" i="65"/>
  <c r="AU417" i="65"/>
  <c r="AT417" i="65"/>
  <c r="AS417" i="65"/>
  <c r="AR417" i="65"/>
  <c r="AQ417" i="65"/>
  <c r="AP417" i="65"/>
  <c r="AO417" i="65"/>
  <c r="AN417" i="65"/>
  <c r="AM417" i="65"/>
  <c r="AL417" i="65"/>
  <c r="AK417" i="65"/>
  <c r="AJ417" i="65"/>
  <c r="AZ416" i="65"/>
  <c r="AY416" i="65"/>
  <c r="AX416" i="65"/>
  <c r="AW416" i="65"/>
  <c r="AV416" i="65"/>
  <c r="AU416" i="65"/>
  <c r="AT416" i="65"/>
  <c r="AS416" i="65"/>
  <c r="AR416" i="65"/>
  <c r="AQ416" i="65"/>
  <c r="AP416" i="65"/>
  <c r="AO416" i="65"/>
  <c r="AN416" i="65"/>
  <c r="AM416" i="65"/>
  <c r="AL416" i="65"/>
  <c r="AK416" i="65"/>
  <c r="AJ416" i="65"/>
  <c r="AZ415" i="65"/>
  <c r="AY415" i="65"/>
  <c r="AX415" i="65"/>
  <c r="AW415" i="65"/>
  <c r="AV415" i="65"/>
  <c r="AU415" i="65"/>
  <c r="AT415" i="65"/>
  <c r="AS415" i="65"/>
  <c r="AR415" i="65"/>
  <c r="AQ415" i="65"/>
  <c r="AP415" i="65"/>
  <c r="AO415" i="65"/>
  <c r="AN415" i="65"/>
  <c r="AM415" i="65"/>
  <c r="AL415" i="65"/>
  <c r="AK415" i="65"/>
  <c r="AJ415" i="65"/>
  <c r="AZ414" i="65"/>
  <c r="AY414" i="65"/>
  <c r="AX414" i="65"/>
  <c r="AW414" i="65"/>
  <c r="AV414" i="65"/>
  <c r="AU414" i="65"/>
  <c r="AT414" i="65"/>
  <c r="AS414" i="65"/>
  <c r="AR414" i="65"/>
  <c r="AQ414" i="65"/>
  <c r="AP414" i="65"/>
  <c r="AO414" i="65"/>
  <c r="AN414" i="65"/>
  <c r="AM414" i="65"/>
  <c r="AL414" i="65"/>
  <c r="AK414" i="65"/>
  <c r="AJ414" i="65"/>
  <c r="AZ413" i="65"/>
  <c r="AY413" i="65"/>
  <c r="AX413" i="65"/>
  <c r="AW413" i="65"/>
  <c r="AV413" i="65"/>
  <c r="AU413" i="65"/>
  <c r="AT413" i="65"/>
  <c r="AS413" i="65"/>
  <c r="AR413" i="65"/>
  <c r="AQ413" i="65"/>
  <c r="AP413" i="65"/>
  <c r="AO413" i="65"/>
  <c r="AN413" i="65"/>
  <c r="AM413" i="65"/>
  <c r="AL413" i="65"/>
  <c r="AK413" i="65"/>
  <c r="AJ413" i="65"/>
  <c r="AZ412" i="65"/>
  <c r="AY412" i="65"/>
  <c r="AX412" i="65"/>
  <c r="AW412" i="65"/>
  <c r="AV412" i="65"/>
  <c r="AU412" i="65"/>
  <c r="AT412" i="65"/>
  <c r="AS412" i="65"/>
  <c r="AR412" i="65"/>
  <c r="AQ412" i="65"/>
  <c r="AP412" i="65"/>
  <c r="AO412" i="65"/>
  <c r="AN412" i="65"/>
  <c r="AM412" i="65"/>
  <c r="AL412" i="65"/>
  <c r="AK412" i="65"/>
  <c r="AJ412" i="65"/>
  <c r="AZ411" i="65"/>
  <c r="AY411" i="65"/>
  <c r="AX411" i="65"/>
  <c r="AW411" i="65"/>
  <c r="AV411" i="65"/>
  <c r="AU411" i="65"/>
  <c r="AT411" i="65"/>
  <c r="AS411" i="65"/>
  <c r="AR411" i="65"/>
  <c r="AQ411" i="65"/>
  <c r="AP411" i="65"/>
  <c r="AO411" i="65"/>
  <c r="AN411" i="65"/>
  <c r="AM411" i="65"/>
  <c r="AL411" i="65"/>
  <c r="AK411" i="65"/>
  <c r="AJ411" i="65"/>
  <c r="AZ410" i="65"/>
  <c r="AY410" i="65"/>
  <c r="AX410" i="65"/>
  <c r="AW410" i="65"/>
  <c r="AV410" i="65"/>
  <c r="AU410" i="65"/>
  <c r="AT410" i="65"/>
  <c r="AS410" i="65"/>
  <c r="AR410" i="65"/>
  <c r="AQ410" i="65"/>
  <c r="AP410" i="65"/>
  <c r="AO410" i="65"/>
  <c r="AN410" i="65"/>
  <c r="AM410" i="65"/>
  <c r="AL410" i="65"/>
  <c r="AK410" i="65"/>
  <c r="AJ410" i="65"/>
  <c r="AZ409" i="65"/>
  <c r="AY409" i="65"/>
  <c r="AX409" i="65"/>
  <c r="AW409" i="65"/>
  <c r="AV409" i="65"/>
  <c r="AU409" i="65"/>
  <c r="AT409" i="65"/>
  <c r="AS409" i="65"/>
  <c r="AR409" i="65"/>
  <c r="AQ409" i="65"/>
  <c r="AP409" i="65"/>
  <c r="AO409" i="65"/>
  <c r="AN409" i="65"/>
  <c r="AM409" i="65"/>
  <c r="AL409" i="65"/>
  <c r="AK409" i="65"/>
  <c r="AJ409" i="65"/>
  <c r="AZ408" i="65"/>
  <c r="AY408" i="65"/>
  <c r="AX408" i="65"/>
  <c r="AW408" i="65"/>
  <c r="AV408" i="65"/>
  <c r="AU408" i="65"/>
  <c r="AT408" i="65"/>
  <c r="AS408" i="65"/>
  <c r="AR408" i="65"/>
  <c r="AQ408" i="65"/>
  <c r="AP408" i="65"/>
  <c r="AO408" i="65"/>
  <c r="AN408" i="65"/>
  <c r="AM408" i="65"/>
  <c r="AL408" i="65"/>
  <c r="AK408" i="65"/>
  <c r="AJ408" i="65"/>
  <c r="AZ407" i="65"/>
  <c r="AY407" i="65"/>
  <c r="AX407" i="65"/>
  <c r="AW407" i="65"/>
  <c r="AV407" i="65"/>
  <c r="AU407" i="65"/>
  <c r="AT407" i="65"/>
  <c r="AS407" i="65"/>
  <c r="AR407" i="65"/>
  <c r="AQ407" i="65"/>
  <c r="AP407" i="65"/>
  <c r="AO407" i="65"/>
  <c r="AN407" i="65"/>
  <c r="AM407" i="65"/>
  <c r="AL407" i="65"/>
  <c r="AK407" i="65"/>
  <c r="AJ407" i="65"/>
  <c r="AZ406" i="65"/>
  <c r="AY406" i="65"/>
  <c r="AX406" i="65"/>
  <c r="AW406" i="65"/>
  <c r="AV406" i="65"/>
  <c r="AU406" i="65"/>
  <c r="AT406" i="65"/>
  <c r="AS406" i="65"/>
  <c r="AR406" i="65"/>
  <c r="AQ406" i="65"/>
  <c r="AP406" i="65"/>
  <c r="AO406" i="65"/>
  <c r="AN406" i="65"/>
  <c r="AM406" i="65"/>
  <c r="AL406" i="65"/>
  <c r="AK406" i="65"/>
  <c r="AJ406" i="65"/>
  <c r="AZ405" i="65"/>
  <c r="AY405" i="65"/>
  <c r="AX405" i="65"/>
  <c r="AW405" i="65"/>
  <c r="AV405" i="65"/>
  <c r="AU405" i="65"/>
  <c r="AT405" i="65"/>
  <c r="AS405" i="65"/>
  <c r="AR405" i="65"/>
  <c r="AQ405" i="65"/>
  <c r="AP405" i="65"/>
  <c r="AO405" i="65"/>
  <c r="AN405" i="65"/>
  <c r="AM405" i="65"/>
  <c r="AL405" i="65"/>
  <c r="AK405" i="65"/>
  <c r="AJ405" i="65"/>
  <c r="AZ404" i="65"/>
  <c r="AY404" i="65"/>
  <c r="AX404" i="65"/>
  <c r="AW404" i="65"/>
  <c r="AV404" i="65"/>
  <c r="AU404" i="65"/>
  <c r="AT404" i="65"/>
  <c r="AS404" i="65"/>
  <c r="AR404" i="65"/>
  <c r="AQ404" i="65"/>
  <c r="AP404" i="65"/>
  <c r="AO404" i="65"/>
  <c r="AN404" i="65"/>
  <c r="AM404" i="65"/>
  <c r="AL404" i="65"/>
  <c r="AK404" i="65"/>
  <c r="AJ404" i="65"/>
  <c r="AZ403" i="65"/>
  <c r="AY403" i="65"/>
  <c r="AX403" i="65"/>
  <c r="AW403" i="65"/>
  <c r="AV403" i="65"/>
  <c r="AU403" i="65"/>
  <c r="AT403" i="65"/>
  <c r="AS403" i="65"/>
  <c r="AR403" i="65"/>
  <c r="AQ403" i="65"/>
  <c r="AP403" i="65"/>
  <c r="AO403" i="65"/>
  <c r="AN403" i="65"/>
  <c r="AM403" i="65"/>
  <c r="AL403" i="65"/>
  <c r="AK403" i="65"/>
  <c r="AJ403" i="65"/>
  <c r="AZ402" i="65"/>
  <c r="AY402" i="65"/>
  <c r="AX402" i="65"/>
  <c r="AW402" i="65"/>
  <c r="AV402" i="65"/>
  <c r="AU402" i="65"/>
  <c r="AT402" i="65"/>
  <c r="AS402" i="65"/>
  <c r="AR402" i="65"/>
  <c r="AQ402" i="65"/>
  <c r="AP402" i="65"/>
  <c r="AO402" i="65"/>
  <c r="AN402" i="65"/>
  <c r="AM402" i="65"/>
  <c r="AL402" i="65"/>
  <c r="AK402" i="65"/>
  <c r="AJ402" i="65"/>
  <c r="AZ401" i="65"/>
  <c r="AY401" i="65"/>
  <c r="AX401" i="65"/>
  <c r="AW401" i="65"/>
  <c r="AV401" i="65"/>
  <c r="AU401" i="65"/>
  <c r="AT401" i="65"/>
  <c r="AS401" i="65"/>
  <c r="AR401" i="65"/>
  <c r="AQ401" i="65"/>
  <c r="AP401" i="65"/>
  <c r="AO401" i="65"/>
  <c r="AN401" i="65"/>
  <c r="AM401" i="65"/>
  <c r="AL401" i="65"/>
  <c r="AK401" i="65"/>
  <c r="AJ401" i="65"/>
  <c r="AZ400" i="65"/>
  <c r="AY400" i="65"/>
  <c r="AX400" i="65"/>
  <c r="AW400" i="65"/>
  <c r="AV400" i="65"/>
  <c r="AU400" i="65"/>
  <c r="AT400" i="65"/>
  <c r="AS400" i="65"/>
  <c r="AR400" i="65"/>
  <c r="AQ400" i="65"/>
  <c r="AP400" i="65"/>
  <c r="AO400" i="65"/>
  <c r="AN400" i="65"/>
  <c r="AM400" i="65"/>
  <c r="AL400" i="65"/>
  <c r="AK400" i="65"/>
  <c r="AJ400" i="65"/>
  <c r="AZ399" i="65"/>
  <c r="AY399" i="65"/>
  <c r="AX399" i="65"/>
  <c r="AW399" i="65"/>
  <c r="AV399" i="65"/>
  <c r="AU399" i="65"/>
  <c r="AT399" i="65"/>
  <c r="AS399" i="65"/>
  <c r="AR399" i="65"/>
  <c r="AQ399" i="65"/>
  <c r="AP399" i="65"/>
  <c r="AO399" i="65"/>
  <c r="AN399" i="65"/>
  <c r="AM399" i="65"/>
  <c r="AL399" i="65"/>
  <c r="AK399" i="65"/>
  <c r="AJ399" i="65"/>
  <c r="AZ398" i="65"/>
  <c r="AY398" i="65"/>
  <c r="AX398" i="65"/>
  <c r="AW398" i="65"/>
  <c r="AV398" i="65"/>
  <c r="AU398" i="65"/>
  <c r="AT398" i="65"/>
  <c r="AS398" i="65"/>
  <c r="AR398" i="65"/>
  <c r="AQ398" i="65"/>
  <c r="AP398" i="65"/>
  <c r="AO398" i="65"/>
  <c r="AN398" i="65"/>
  <c r="AM398" i="65"/>
  <c r="AL398" i="65"/>
  <c r="AK398" i="65"/>
  <c r="AJ398" i="65"/>
  <c r="AZ397" i="65"/>
  <c r="AY397" i="65"/>
  <c r="AX397" i="65"/>
  <c r="AW397" i="65"/>
  <c r="AV397" i="65"/>
  <c r="AU397" i="65"/>
  <c r="AT397" i="65"/>
  <c r="AS397" i="65"/>
  <c r="AR397" i="65"/>
  <c r="AQ397" i="65"/>
  <c r="AP397" i="65"/>
  <c r="AO397" i="65"/>
  <c r="AN397" i="65"/>
  <c r="AM397" i="65"/>
  <c r="AL397" i="65"/>
  <c r="AK397" i="65"/>
  <c r="AJ397" i="65"/>
  <c r="AZ396" i="65"/>
  <c r="AY396" i="65"/>
  <c r="AX396" i="65"/>
  <c r="AW396" i="65"/>
  <c r="AV396" i="65"/>
  <c r="AU396" i="65"/>
  <c r="AT396" i="65"/>
  <c r="AS396" i="65"/>
  <c r="AR396" i="65"/>
  <c r="AQ396" i="65"/>
  <c r="AP396" i="65"/>
  <c r="AO396" i="65"/>
  <c r="AN396" i="65"/>
  <c r="AM396" i="65"/>
  <c r="AL396" i="65"/>
  <c r="AK396" i="65"/>
  <c r="AJ396" i="65"/>
  <c r="AZ395" i="65"/>
  <c r="AY395" i="65"/>
  <c r="AX395" i="65"/>
  <c r="AW395" i="65"/>
  <c r="AV395" i="65"/>
  <c r="AU395" i="65"/>
  <c r="AT395" i="65"/>
  <c r="AS395" i="65"/>
  <c r="AR395" i="65"/>
  <c r="AQ395" i="65"/>
  <c r="AP395" i="65"/>
  <c r="AO395" i="65"/>
  <c r="AN395" i="65"/>
  <c r="AM395" i="65"/>
  <c r="AL395" i="65"/>
  <c r="AK395" i="65"/>
  <c r="AJ395" i="65"/>
  <c r="AZ394" i="65"/>
  <c r="AY394" i="65"/>
  <c r="AX394" i="65"/>
  <c r="AW394" i="65"/>
  <c r="AV394" i="65"/>
  <c r="AU394" i="65"/>
  <c r="AT394" i="65"/>
  <c r="AS394" i="65"/>
  <c r="AR394" i="65"/>
  <c r="AQ394" i="65"/>
  <c r="AP394" i="65"/>
  <c r="AO394" i="65"/>
  <c r="AN394" i="65"/>
  <c r="AM394" i="65"/>
  <c r="AL394" i="65"/>
  <c r="AK394" i="65"/>
  <c r="AJ394" i="65"/>
  <c r="AZ393" i="65"/>
  <c r="AY393" i="65"/>
  <c r="AX393" i="65"/>
  <c r="AW393" i="65"/>
  <c r="AV393" i="65"/>
  <c r="AU393" i="65"/>
  <c r="AT393" i="65"/>
  <c r="AS393" i="65"/>
  <c r="AR393" i="65"/>
  <c r="AQ393" i="65"/>
  <c r="AP393" i="65"/>
  <c r="AO393" i="65"/>
  <c r="AN393" i="65"/>
  <c r="AM393" i="65"/>
  <c r="AL393" i="65"/>
  <c r="AK393" i="65"/>
  <c r="AJ393" i="65"/>
  <c r="AZ392" i="65"/>
  <c r="AY392" i="65"/>
  <c r="AX392" i="65"/>
  <c r="AW392" i="65"/>
  <c r="AV392" i="65"/>
  <c r="AU392" i="65"/>
  <c r="AT392" i="65"/>
  <c r="AS392" i="65"/>
  <c r="AR392" i="65"/>
  <c r="AQ392" i="65"/>
  <c r="AP392" i="65"/>
  <c r="AO392" i="65"/>
  <c r="AN392" i="65"/>
  <c r="AM392" i="65"/>
  <c r="AL392" i="65"/>
  <c r="AK392" i="65"/>
  <c r="AJ392" i="65"/>
  <c r="AZ391" i="65"/>
  <c r="AY391" i="65"/>
  <c r="AX391" i="65"/>
  <c r="AW391" i="65"/>
  <c r="AV391" i="65"/>
  <c r="AU391" i="65"/>
  <c r="AT391" i="65"/>
  <c r="AS391" i="65"/>
  <c r="AR391" i="65"/>
  <c r="AQ391" i="65"/>
  <c r="AP391" i="65"/>
  <c r="AO391" i="65"/>
  <c r="AN391" i="65"/>
  <c r="AM391" i="65"/>
  <c r="AL391" i="65"/>
  <c r="AK391" i="65"/>
  <c r="AJ391" i="65"/>
  <c r="AZ390" i="65"/>
  <c r="AY390" i="65"/>
  <c r="AX390" i="65"/>
  <c r="AW390" i="65"/>
  <c r="AV390" i="65"/>
  <c r="AU390" i="65"/>
  <c r="AT390" i="65"/>
  <c r="AS390" i="65"/>
  <c r="AR390" i="65"/>
  <c r="AQ390" i="65"/>
  <c r="AP390" i="65"/>
  <c r="AO390" i="65"/>
  <c r="AN390" i="65"/>
  <c r="AM390" i="65"/>
  <c r="AL390" i="65"/>
  <c r="AK390" i="65"/>
  <c r="AJ390" i="65"/>
  <c r="AZ389" i="65"/>
  <c r="AY389" i="65"/>
  <c r="AX389" i="65"/>
  <c r="AW389" i="65"/>
  <c r="AV389" i="65"/>
  <c r="AU389" i="65"/>
  <c r="AT389" i="65"/>
  <c r="AS389" i="65"/>
  <c r="AR389" i="65"/>
  <c r="AQ389" i="65"/>
  <c r="AP389" i="65"/>
  <c r="AO389" i="65"/>
  <c r="AN389" i="65"/>
  <c r="AM389" i="65"/>
  <c r="AL389" i="65"/>
  <c r="AK389" i="65"/>
  <c r="AJ389" i="65"/>
  <c r="AZ388" i="65"/>
  <c r="AY388" i="65"/>
  <c r="AX388" i="65"/>
  <c r="AW388" i="65"/>
  <c r="AV388" i="65"/>
  <c r="AU388" i="65"/>
  <c r="AT388" i="65"/>
  <c r="AS388" i="65"/>
  <c r="AR388" i="65"/>
  <c r="AQ388" i="65"/>
  <c r="AP388" i="65"/>
  <c r="AO388" i="65"/>
  <c r="AN388" i="65"/>
  <c r="AM388" i="65"/>
  <c r="AL388" i="65"/>
  <c r="AK388" i="65"/>
  <c r="AJ388" i="65"/>
  <c r="AZ387" i="65"/>
  <c r="AY387" i="65"/>
  <c r="AX387" i="65"/>
  <c r="AW387" i="65"/>
  <c r="AV387" i="65"/>
  <c r="AU387" i="65"/>
  <c r="AT387" i="65"/>
  <c r="AS387" i="65"/>
  <c r="AR387" i="65"/>
  <c r="AQ387" i="65"/>
  <c r="AP387" i="65"/>
  <c r="AO387" i="65"/>
  <c r="AN387" i="65"/>
  <c r="AM387" i="65"/>
  <c r="AL387" i="65"/>
  <c r="AK387" i="65"/>
  <c r="AJ387" i="65"/>
  <c r="AZ386" i="65"/>
  <c r="AY386" i="65"/>
  <c r="AX386" i="65"/>
  <c r="AW386" i="65"/>
  <c r="AV386" i="65"/>
  <c r="AU386" i="65"/>
  <c r="AT386" i="65"/>
  <c r="AS386" i="65"/>
  <c r="AR386" i="65"/>
  <c r="AQ386" i="65"/>
  <c r="AP386" i="65"/>
  <c r="AO386" i="65"/>
  <c r="AN386" i="65"/>
  <c r="AM386" i="65"/>
  <c r="AL386" i="65"/>
  <c r="AK386" i="65"/>
  <c r="AJ386" i="65"/>
  <c r="AZ385" i="65"/>
  <c r="AY385" i="65"/>
  <c r="AX385" i="65"/>
  <c r="AW385" i="65"/>
  <c r="AV385" i="65"/>
  <c r="AU385" i="65"/>
  <c r="AT385" i="65"/>
  <c r="AS385" i="65"/>
  <c r="AR385" i="65"/>
  <c r="AQ385" i="65"/>
  <c r="AP385" i="65"/>
  <c r="AO385" i="65"/>
  <c r="AN385" i="65"/>
  <c r="AM385" i="65"/>
  <c r="AL385" i="65"/>
  <c r="AK385" i="65"/>
  <c r="AJ385" i="65"/>
  <c r="AZ384" i="65"/>
  <c r="AY384" i="65"/>
  <c r="AX384" i="65"/>
  <c r="AW384" i="65"/>
  <c r="AV384" i="65"/>
  <c r="AU384" i="65"/>
  <c r="AT384" i="65"/>
  <c r="AS384" i="65"/>
  <c r="AR384" i="65"/>
  <c r="AQ384" i="65"/>
  <c r="AP384" i="65"/>
  <c r="AO384" i="65"/>
  <c r="AN384" i="65"/>
  <c r="AM384" i="65"/>
  <c r="AL384" i="65"/>
  <c r="AK384" i="65"/>
  <c r="AJ384" i="65"/>
  <c r="AZ383" i="65"/>
  <c r="AY383" i="65"/>
  <c r="AX383" i="65"/>
  <c r="AW383" i="65"/>
  <c r="AV383" i="65"/>
  <c r="AU383" i="65"/>
  <c r="AT383" i="65"/>
  <c r="AS383" i="65"/>
  <c r="AR383" i="65"/>
  <c r="AQ383" i="65"/>
  <c r="AP383" i="65"/>
  <c r="AO383" i="65"/>
  <c r="AN383" i="65"/>
  <c r="AM383" i="65"/>
  <c r="AL383" i="65"/>
  <c r="AK383" i="65"/>
  <c r="AJ383" i="65"/>
  <c r="AZ382" i="65"/>
  <c r="AY382" i="65"/>
  <c r="AX382" i="65"/>
  <c r="AW382" i="65"/>
  <c r="AV382" i="65"/>
  <c r="AU382" i="65"/>
  <c r="AT382" i="65"/>
  <c r="AS382" i="65"/>
  <c r="AR382" i="65"/>
  <c r="AQ382" i="65"/>
  <c r="AP382" i="65"/>
  <c r="AO382" i="65"/>
  <c r="AN382" i="65"/>
  <c r="AM382" i="65"/>
  <c r="AL382" i="65"/>
  <c r="AK382" i="65"/>
  <c r="AJ382" i="65"/>
  <c r="AZ381" i="65"/>
  <c r="AY381" i="65"/>
  <c r="AX381" i="65"/>
  <c r="AW381" i="65"/>
  <c r="AV381" i="65"/>
  <c r="AU381" i="65"/>
  <c r="AT381" i="65"/>
  <c r="AS381" i="65"/>
  <c r="AR381" i="65"/>
  <c r="AQ381" i="65"/>
  <c r="AP381" i="65"/>
  <c r="AO381" i="65"/>
  <c r="AN381" i="65"/>
  <c r="AM381" i="65"/>
  <c r="AL381" i="65"/>
  <c r="AK381" i="65"/>
  <c r="AJ381" i="65"/>
  <c r="AZ380" i="65"/>
  <c r="AY380" i="65"/>
  <c r="AX380" i="65"/>
  <c r="AW380" i="65"/>
  <c r="AV380" i="65"/>
  <c r="AU380" i="65"/>
  <c r="AT380" i="65"/>
  <c r="AS380" i="65"/>
  <c r="AR380" i="65"/>
  <c r="AQ380" i="65"/>
  <c r="AP380" i="65"/>
  <c r="AO380" i="65"/>
  <c r="AN380" i="65"/>
  <c r="AM380" i="65"/>
  <c r="AL380" i="65"/>
  <c r="AK380" i="65"/>
  <c r="AJ380" i="65"/>
  <c r="AZ379" i="65"/>
  <c r="AY379" i="65"/>
  <c r="AX379" i="65"/>
  <c r="AW379" i="65"/>
  <c r="AV379" i="65"/>
  <c r="AU379" i="65"/>
  <c r="AT379" i="65"/>
  <c r="AS379" i="65"/>
  <c r="AR379" i="65"/>
  <c r="AQ379" i="65"/>
  <c r="AP379" i="65"/>
  <c r="AO379" i="65"/>
  <c r="AN379" i="65"/>
  <c r="AM379" i="65"/>
  <c r="AL379" i="65"/>
  <c r="AK379" i="65"/>
  <c r="AJ379" i="65"/>
  <c r="AZ378" i="65"/>
  <c r="AY378" i="65"/>
  <c r="AX378" i="65"/>
  <c r="AW378" i="65"/>
  <c r="AV378" i="65"/>
  <c r="AU378" i="65"/>
  <c r="AT378" i="65"/>
  <c r="AS378" i="65"/>
  <c r="AR378" i="65"/>
  <c r="AQ378" i="65"/>
  <c r="AP378" i="65"/>
  <c r="AO378" i="65"/>
  <c r="AN378" i="65"/>
  <c r="AM378" i="65"/>
  <c r="AL378" i="65"/>
  <c r="AK378" i="65"/>
  <c r="AJ378" i="65"/>
  <c r="AZ377" i="65"/>
  <c r="AY377" i="65"/>
  <c r="AX377" i="65"/>
  <c r="AW377" i="65"/>
  <c r="AV377" i="65"/>
  <c r="AU377" i="65"/>
  <c r="AT377" i="65"/>
  <c r="AS377" i="65"/>
  <c r="AR377" i="65"/>
  <c r="AQ377" i="65"/>
  <c r="AP377" i="65"/>
  <c r="AO377" i="65"/>
  <c r="AN377" i="65"/>
  <c r="AM377" i="65"/>
  <c r="AL377" i="65"/>
  <c r="AK377" i="65"/>
  <c r="AJ377" i="65"/>
  <c r="AZ376" i="65"/>
  <c r="AY376" i="65"/>
  <c r="AX376" i="65"/>
  <c r="AW376" i="65"/>
  <c r="AV376" i="65"/>
  <c r="AU376" i="65"/>
  <c r="AT376" i="65"/>
  <c r="AS376" i="65"/>
  <c r="AR376" i="65"/>
  <c r="AQ376" i="65"/>
  <c r="AP376" i="65"/>
  <c r="AO376" i="65"/>
  <c r="AN376" i="65"/>
  <c r="AM376" i="65"/>
  <c r="AL376" i="65"/>
  <c r="AK376" i="65"/>
  <c r="AJ376" i="65"/>
  <c r="AZ375" i="65"/>
  <c r="AY375" i="65"/>
  <c r="AX375" i="65"/>
  <c r="AW375" i="65"/>
  <c r="AV375" i="65"/>
  <c r="AU375" i="65"/>
  <c r="AT375" i="65"/>
  <c r="AS375" i="65"/>
  <c r="AR375" i="65"/>
  <c r="AQ375" i="65"/>
  <c r="AP375" i="65"/>
  <c r="AO375" i="65"/>
  <c r="AN375" i="65"/>
  <c r="AM375" i="65"/>
  <c r="AL375" i="65"/>
  <c r="AK375" i="65"/>
  <c r="AJ375" i="65"/>
  <c r="AZ374" i="65"/>
  <c r="AY374" i="65"/>
  <c r="AX374" i="65"/>
  <c r="AW374" i="65"/>
  <c r="AV374" i="65"/>
  <c r="AU374" i="65"/>
  <c r="AT374" i="65"/>
  <c r="AS374" i="65"/>
  <c r="AR374" i="65"/>
  <c r="AQ374" i="65"/>
  <c r="AP374" i="65"/>
  <c r="AO374" i="65"/>
  <c r="AN374" i="65"/>
  <c r="AM374" i="65"/>
  <c r="AL374" i="65"/>
  <c r="AK374" i="65"/>
  <c r="AJ374" i="65"/>
  <c r="AZ373" i="65"/>
  <c r="AY373" i="65"/>
  <c r="AX373" i="65"/>
  <c r="AW373" i="65"/>
  <c r="AV373" i="65"/>
  <c r="AU373" i="65"/>
  <c r="AT373" i="65"/>
  <c r="AS373" i="65"/>
  <c r="AR373" i="65"/>
  <c r="AQ373" i="65"/>
  <c r="AP373" i="65"/>
  <c r="AO373" i="65"/>
  <c r="AN373" i="65"/>
  <c r="AM373" i="65"/>
  <c r="AL373" i="65"/>
  <c r="AK373" i="65"/>
  <c r="AJ373" i="65"/>
  <c r="AZ372" i="65"/>
  <c r="AY372" i="65"/>
  <c r="AX372" i="65"/>
  <c r="AW372" i="65"/>
  <c r="AV372" i="65"/>
  <c r="AU372" i="65"/>
  <c r="AT372" i="65"/>
  <c r="AS372" i="65"/>
  <c r="AR372" i="65"/>
  <c r="AQ372" i="65"/>
  <c r="AP372" i="65"/>
  <c r="AO372" i="65"/>
  <c r="AN372" i="65"/>
  <c r="AM372" i="65"/>
  <c r="AL372" i="65"/>
  <c r="AK372" i="65"/>
  <c r="AJ372" i="65"/>
  <c r="AZ371" i="65"/>
  <c r="AY371" i="65"/>
  <c r="AX371" i="65"/>
  <c r="AW371" i="65"/>
  <c r="AV371" i="65"/>
  <c r="AU371" i="65"/>
  <c r="AT371" i="65"/>
  <c r="AS371" i="65"/>
  <c r="AR371" i="65"/>
  <c r="AQ371" i="65"/>
  <c r="AP371" i="65"/>
  <c r="AO371" i="65"/>
  <c r="AN371" i="65"/>
  <c r="AM371" i="65"/>
  <c r="AL371" i="65"/>
  <c r="AK371" i="65"/>
  <c r="AJ371" i="65"/>
  <c r="AZ370" i="65"/>
  <c r="AY370" i="65"/>
  <c r="AX370" i="65"/>
  <c r="AW370" i="65"/>
  <c r="AV370" i="65"/>
  <c r="AU370" i="65"/>
  <c r="AT370" i="65"/>
  <c r="AS370" i="65"/>
  <c r="AR370" i="65"/>
  <c r="AQ370" i="65"/>
  <c r="AP370" i="65"/>
  <c r="AO370" i="65"/>
  <c r="AN370" i="65"/>
  <c r="AM370" i="65"/>
  <c r="AL370" i="65"/>
  <c r="AK370" i="65"/>
  <c r="AJ370" i="65"/>
  <c r="AZ369" i="65"/>
  <c r="AY369" i="65"/>
  <c r="AX369" i="65"/>
  <c r="AW369" i="65"/>
  <c r="AV369" i="65"/>
  <c r="AU369" i="65"/>
  <c r="AT369" i="65"/>
  <c r="AS369" i="65"/>
  <c r="AR369" i="65"/>
  <c r="AQ369" i="65"/>
  <c r="AP369" i="65"/>
  <c r="AO369" i="65"/>
  <c r="AN369" i="65"/>
  <c r="AM369" i="65"/>
  <c r="AL369" i="65"/>
  <c r="AK369" i="65"/>
  <c r="AJ369" i="65"/>
  <c r="AZ368" i="65"/>
  <c r="AY368" i="65"/>
  <c r="AX368" i="65"/>
  <c r="AW368" i="65"/>
  <c r="AV368" i="65"/>
  <c r="AU368" i="65"/>
  <c r="AT368" i="65"/>
  <c r="AS368" i="65"/>
  <c r="AR368" i="65"/>
  <c r="AQ368" i="65"/>
  <c r="AP368" i="65"/>
  <c r="AO368" i="65"/>
  <c r="AN368" i="65"/>
  <c r="AM368" i="65"/>
  <c r="AL368" i="65"/>
  <c r="AK368" i="65"/>
  <c r="AJ368" i="65"/>
  <c r="AZ367" i="65"/>
  <c r="AY367" i="65"/>
  <c r="AX367" i="65"/>
  <c r="AW367" i="65"/>
  <c r="AV367" i="65"/>
  <c r="AU367" i="65"/>
  <c r="AT367" i="65"/>
  <c r="AS367" i="65"/>
  <c r="AR367" i="65"/>
  <c r="AQ367" i="65"/>
  <c r="AP367" i="65"/>
  <c r="AO367" i="65"/>
  <c r="AN367" i="65"/>
  <c r="AM367" i="65"/>
  <c r="AL367" i="65"/>
  <c r="AK367" i="65"/>
  <c r="AJ367" i="65"/>
  <c r="AZ366" i="65"/>
  <c r="AY366" i="65"/>
  <c r="AX366" i="65"/>
  <c r="AW366" i="65"/>
  <c r="AV366" i="65"/>
  <c r="AU366" i="65"/>
  <c r="AT366" i="65"/>
  <c r="AS366" i="65"/>
  <c r="AR366" i="65"/>
  <c r="AQ366" i="65"/>
  <c r="AP366" i="65"/>
  <c r="AO366" i="65"/>
  <c r="AN366" i="65"/>
  <c r="AM366" i="65"/>
  <c r="AL366" i="65"/>
  <c r="AK366" i="65"/>
  <c r="AJ366" i="65"/>
  <c r="AZ365" i="65"/>
  <c r="AY365" i="65"/>
  <c r="AX365" i="65"/>
  <c r="AW365" i="65"/>
  <c r="AV365" i="65"/>
  <c r="AU365" i="65"/>
  <c r="AT365" i="65"/>
  <c r="AS365" i="65"/>
  <c r="AR365" i="65"/>
  <c r="AQ365" i="65"/>
  <c r="AP365" i="65"/>
  <c r="AO365" i="65"/>
  <c r="AN365" i="65"/>
  <c r="AM365" i="65"/>
  <c r="AL365" i="65"/>
  <c r="AK365" i="65"/>
  <c r="AJ365" i="65"/>
  <c r="AZ364" i="65"/>
  <c r="AY364" i="65"/>
  <c r="AX364" i="65"/>
  <c r="AW364" i="65"/>
  <c r="AV364" i="65"/>
  <c r="AU364" i="65"/>
  <c r="AT364" i="65"/>
  <c r="AS364" i="65"/>
  <c r="AR364" i="65"/>
  <c r="AQ364" i="65"/>
  <c r="AP364" i="65"/>
  <c r="AO364" i="65"/>
  <c r="AN364" i="65"/>
  <c r="AM364" i="65"/>
  <c r="AL364" i="65"/>
  <c r="AK364" i="65"/>
  <c r="AJ364" i="65"/>
  <c r="AZ363" i="65"/>
  <c r="AY363" i="65"/>
  <c r="AX363" i="65"/>
  <c r="AW363" i="65"/>
  <c r="AV363" i="65"/>
  <c r="AU363" i="65"/>
  <c r="AT363" i="65"/>
  <c r="AS363" i="65"/>
  <c r="AR363" i="65"/>
  <c r="AQ363" i="65"/>
  <c r="AP363" i="65"/>
  <c r="AO363" i="65"/>
  <c r="AN363" i="65"/>
  <c r="AM363" i="65"/>
  <c r="AL363" i="65"/>
  <c r="AK363" i="65"/>
  <c r="AJ363" i="65"/>
  <c r="AZ362" i="65"/>
  <c r="AY362" i="65"/>
  <c r="AX362" i="65"/>
  <c r="AW362" i="65"/>
  <c r="AV362" i="65"/>
  <c r="AU362" i="65"/>
  <c r="AT362" i="65"/>
  <c r="AS362" i="65"/>
  <c r="AR362" i="65"/>
  <c r="AQ362" i="65"/>
  <c r="AP362" i="65"/>
  <c r="AO362" i="65"/>
  <c r="AN362" i="65"/>
  <c r="AM362" i="65"/>
  <c r="AL362" i="65"/>
  <c r="AK362" i="65"/>
  <c r="AJ362" i="65"/>
  <c r="AZ361" i="65"/>
  <c r="AY361" i="65"/>
  <c r="AX361" i="65"/>
  <c r="AW361" i="65"/>
  <c r="AV361" i="65"/>
  <c r="AU361" i="65"/>
  <c r="AT361" i="65"/>
  <c r="AS361" i="65"/>
  <c r="AR361" i="65"/>
  <c r="AQ361" i="65"/>
  <c r="AP361" i="65"/>
  <c r="AO361" i="65"/>
  <c r="AN361" i="65"/>
  <c r="AM361" i="65"/>
  <c r="AL361" i="65"/>
  <c r="AK361" i="65"/>
  <c r="AJ361" i="65"/>
  <c r="AZ360" i="65"/>
  <c r="AY360" i="65"/>
  <c r="AX360" i="65"/>
  <c r="AW360" i="65"/>
  <c r="AV360" i="65"/>
  <c r="AU360" i="65"/>
  <c r="AT360" i="65"/>
  <c r="AS360" i="65"/>
  <c r="AR360" i="65"/>
  <c r="AQ360" i="65"/>
  <c r="AP360" i="65"/>
  <c r="AO360" i="65"/>
  <c r="AN360" i="65"/>
  <c r="AM360" i="65"/>
  <c r="AL360" i="65"/>
  <c r="AK360" i="65"/>
  <c r="AJ360" i="65"/>
  <c r="AZ359" i="65"/>
  <c r="AY359" i="65"/>
  <c r="AX359" i="65"/>
  <c r="AW359" i="65"/>
  <c r="AV359" i="65"/>
  <c r="AU359" i="65"/>
  <c r="AT359" i="65"/>
  <c r="AS359" i="65"/>
  <c r="AR359" i="65"/>
  <c r="AQ359" i="65"/>
  <c r="AP359" i="65"/>
  <c r="AO359" i="65"/>
  <c r="AN359" i="65"/>
  <c r="AM359" i="65"/>
  <c r="AL359" i="65"/>
  <c r="AK359" i="65"/>
  <c r="AJ359" i="65"/>
  <c r="AZ358" i="65"/>
  <c r="AY358" i="65"/>
  <c r="AX358" i="65"/>
  <c r="AW358" i="65"/>
  <c r="AV358" i="65"/>
  <c r="AU358" i="65"/>
  <c r="AT358" i="65"/>
  <c r="AS358" i="65"/>
  <c r="AR358" i="65"/>
  <c r="AQ358" i="65"/>
  <c r="AP358" i="65"/>
  <c r="AO358" i="65"/>
  <c r="AN358" i="65"/>
  <c r="AM358" i="65"/>
  <c r="AL358" i="65"/>
  <c r="AK358" i="65"/>
  <c r="AJ358" i="65"/>
  <c r="AZ357" i="65"/>
  <c r="AY357" i="65"/>
  <c r="AX357" i="65"/>
  <c r="AW357" i="65"/>
  <c r="AV357" i="65"/>
  <c r="AU357" i="65"/>
  <c r="AT357" i="65"/>
  <c r="AS357" i="65"/>
  <c r="AR357" i="65"/>
  <c r="AQ357" i="65"/>
  <c r="AP357" i="65"/>
  <c r="AO357" i="65"/>
  <c r="AN357" i="65"/>
  <c r="AM357" i="65"/>
  <c r="AL357" i="65"/>
  <c r="AK357" i="65"/>
  <c r="AJ357" i="65"/>
  <c r="AZ356" i="65"/>
  <c r="AY356" i="65"/>
  <c r="AX356" i="65"/>
  <c r="AW356" i="65"/>
  <c r="AV356" i="65"/>
  <c r="AU356" i="65"/>
  <c r="AT356" i="65"/>
  <c r="AS356" i="65"/>
  <c r="AR356" i="65"/>
  <c r="AQ356" i="65"/>
  <c r="AP356" i="65"/>
  <c r="AO356" i="65"/>
  <c r="AN356" i="65"/>
  <c r="AM356" i="65"/>
  <c r="AL356" i="65"/>
  <c r="AK356" i="65"/>
  <c r="AJ356" i="65"/>
  <c r="AZ355" i="65"/>
  <c r="AY355" i="65"/>
  <c r="AX355" i="65"/>
  <c r="AW355" i="65"/>
  <c r="AV355" i="65"/>
  <c r="AU355" i="65"/>
  <c r="AT355" i="65"/>
  <c r="AS355" i="65"/>
  <c r="AR355" i="65"/>
  <c r="AQ355" i="65"/>
  <c r="AP355" i="65"/>
  <c r="AO355" i="65"/>
  <c r="AN355" i="65"/>
  <c r="AM355" i="65"/>
  <c r="AL355" i="65"/>
  <c r="AK355" i="65"/>
  <c r="AJ355" i="65"/>
  <c r="AZ354" i="65"/>
  <c r="AY354" i="65"/>
  <c r="AX354" i="65"/>
  <c r="AW354" i="65"/>
  <c r="AV354" i="65"/>
  <c r="AU354" i="65"/>
  <c r="AT354" i="65"/>
  <c r="AS354" i="65"/>
  <c r="AR354" i="65"/>
  <c r="AQ354" i="65"/>
  <c r="AP354" i="65"/>
  <c r="AO354" i="65"/>
  <c r="AN354" i="65"/>
  <c r="AM354" i="65"/>
  <c r="AL354" i="65"/>
  <c r="AK354" i="65"/>
  <c r="AJ354" i="65"/>
  <c r="AZ353" i="65"/>
  <c r="AY353" i="65"/>
  <c r="AX353" i="65"/>
  <c r="AW353" i="65"/>
  <c r="AV353" i="65"/>
  <c r="AU353" i="65"/>
  <c r="AT353" i="65"/>
  <c r="AS353" i="65"/>
  <c r="AR353" i="65"/>
  <c r="AQ353" i="65"/>
  <c r="AP353" i="65"/>
  <c r="AO353" i="65"/>
  <c r="AN353" i="65"/>
  <c r="AM353" i="65"/>
  <c r="AL353" i="65"/>
  <c r="AK353" i="65"/>
  <c r="AJ353" i="65"/>
  <c r="AZ352" i="65"/>
  <c r="AY352" i="65"/>
  <c r="AX352" i="65"/>
  <c r="AW352" i="65"/>
  <c r="AV352" i="65"/>
  <c r="AU352" i="65"/>
  <c r="AT352" i="65"/>
  <c r="AS352" i="65"/>
  <c r="AR352" i="65"/>
  <c r="AQ352" i="65"/>
  <c r="AP352" i="65"/>
  <c r="AO352" i="65"/>
  <c r="AN352" i="65"/>
  <c r="AM352" i="65"/>
  <c r="AL352" i="65"/>
  <c r="AK352" i="65"/>
  <c r="AJ352" i="65"/>
  <c r="AZ351" i="65"/>
  <c r="AY351" i="65"/>
  <c r="AX351" i="65"/>
  <c r="AW351" i="65"/>
  <c r="AV351" i="65"/>
  <c r="AU351" i="65"/>
  <c r="AT351" i="65"/>
  <c r="AS351" i="65"/>
  <c r="AR351" i="65"/>
  <c r="AQ351" i="65"/>
  <c r="AP351" i="65"/>
  <c r="AO351" i="65"/>
  <c r="AN351" i="65"/>
  <c r="AM351" i="65"/>
  <c r="AL351" i="65"/>
  <c r="AK351" i="65"/>
  <c r="AJ351" i="65"/>
  <c r="AZ350" i="65"/>
  <c r="AY350" i="65"/>
  <c r="AX350" i="65"/>
  <c r="AW350" i="65"/>
  <c r="AV350" i="65"/>
  <c r="AU350" i="65"/>
  <c r="AT350" i="65"/>
  <c r="AS350" i="65"/>
  <c r="AR350" i="65"/>
  <c r="AQ350" i="65"/>
  <c r="AP350" i="65"/>
  <c r="AO350" i="65"/>
  <c r="AN350" i="65"/>
  <c r="AM350" i="65"/>
  <c r="AL350" i="65"/>
  <c r="AK350" i="65"/>
  <c r="AJ350" i="65"/>
  <c r="AZ349" i="65"/>
  <c r="AY349" i="65"/>
  <c r="AX349" i="65"/>
  <c r="AW349" i="65"/>
  <c r="AV349" i="65"/>
  <c r="AU349" i="65"/>
  <c r="AT349" i="65"/>
  <c r="AS349" i="65"/>
  <c r="AR349" i="65"/>
  <c r="AQ349" i="65"/>
  <c r="AP349" i="65"/>
  <c r="AO349" i="65"/>
  <c r="AN349" i="65"/>
  <c r="AM349" i="65"/>
  <c r="AL349" i="65"/>
  <c r="AK349" i="65"/>
  <c r="AJ349" i="65"/>
  <c r="AZ348" i="65"/>
  <c r="AY348" i="65"/>
  <c r="AX348" i="65"/>
  <c r="AW348" i="65"/>
  <c r="AV348" i="65"/>
  <c r="AU348" i="65"/>
  <c r="AT348" i="65"/>
  <c r="AS348" i="65"/>
  <c r="AR348" i="65"/>
  <c r="AQ348" i="65"/>
  <c r="AP348" i="65"/>
  <c r="AO348" i="65"/>
  <c r="AN348" i="65"/>
  <c r="AM348" i="65"/>
  <c r="AL348" i="65"/>
  <c r="AK348" i="65"/>
  <c r="AJ348" i="65"/>
  <c r="AZ347" i="65"/>
  <c r="AY347" i="65"/>
  <c r="AX347" i="65"/>
  <c r="AW347" i="65"/>
  <c r="AV347" i="65"/>
  <c r="AU347" i="65"/>
  <c r="AT347" i="65"/>
  <c r="AS347" i="65"/>
  <c r="AR347" i="65"/>
  <c r="AQ347" i="65"/>
  <c r="AP347" i="65"/>
  <c r="AO347" i="65"/>
  <c r="AN347" i="65"/>
  <c r="AM347" i="65"/>
  <c r="AL347" i="65"/>
  <c r="AK347" i="65"/>
  <c r="AJ347" i="65"/>
  <c r="AZ346" i="65"/>
  <c r="AY346" i="65"/>
  <c r="AX346" i="65"/>
  <c r="AW346" i="65"/>
  <c r="AV346" i="65"/>
  <c r="AU346" i="65"/>
  <c r="AT346" i="65"/>
  <c r="AS346" i="65"/>
  <c r="AR346" i="65"/>
  <c r="AQ346" i="65"/>
  <c r="AP346" i="65"/>
  <c r="AO346" i="65"/>
  <c r="AN346" i="65"/>
  <c r="AM346" i="65"/>
  <c r="AL346" i="65"/>
  <c r="AK346" i="65"/>
  <c r="AJ346" i="65"/>
  <c r="AZ345" i="65"/>
  <c r="AY345" i="65"/>
  <c r="AX345" i="65"/>
  <c r="AW345" i="65"/>
  <c r="AV345" i="65"/>
  <c r="AU345" i="65"/>
  <c r="AT345" i="65"/>
  <c r="AS345" i="65"/>
  <c r="AR345" i="65"/>
  <c r="AQ345" i="65"/>
  <c r="AP345" i="65"/>
  <c r="AO345" i="65"/>
  <c r="AN345" i="65"/>
  <c r="AM345" i="65"/>
  <c r="AL345" i="65"/>
  <c r="AK345" i="65"/>
  <c r="AJ345" i="65"/>
  <c r="AZ344" i="65"/>
  <c r="AY344" i="65"/>
  <c r="AX344" i="65"/>
  <c r="AW344" i="65"/>
  <c r="AV344" i="65"/>
  <c r="AU344" i="65"/>
  <c r="AT344" i="65"/>
  <c r="AS344" i="65"/>
  <c r="AR344" i="65"/>
  <c r="AQ344" i="65"/>
  <c r="AP344" i="65"/>
  <c r="AO344" i="65"/>
  <c r="AN344" i="65"/>
  <c r="AM344" i="65"/>
  <c r="AL344" i="65"/>
  <c r="AK344" i="65"/>
  <c r="AJ344" i="65"/>
  <c r="AZ343" i="65"/>
  <c r="AY343" i="65"/>
  <c r="AX343" i="65"/>
  <c r="AW343" i="65"/>
  <c r="AV343" i="65"/>
  <c r="AU343" i="65"/>
  <c r="AT343" i="65"/>
  <c r="AS343" i="65"/>
  <c r="AR343" i="65"/>
  <c r="AQ343" i="65"/>
  <c r="AP343" i="65"/>
  <c r="AO343" i="65"/>
  <c r="AN343" i="65"/>
  <c r="AM343" i="65"/>
  <c r="AL343" i="65"/>
  <c r="AK343" i="65"/>
  <c r="AJ343" i="65"/>
  <c r="AZ342" i="65"/>
  <c r="AY342" i="65"/>
  <c r="AX342" i="65"/>
  <c r="AW342" i="65"/>
  <c r="AV342" i="65"/>
  <c r="AU342" i="65"/>
  <c r="AT342" i="65"/>
  <c r="AS342" i="65"/>
  <c r="AR342" i="65"/>
  <c r="AQ342" i="65"/>
  <c r="AP342" i="65"/>
  <c r="AO342" i="65"/>
  <c r="AN342" i="65"/>
  <c r="AM342" i="65"/>
  <c r="AL342" i="65"/>
  <c r="AK342" i="65"/>
  <c r="AJ342" i="65"/>
  <c r="AZ341" i="65"/>
  <c r="AY341" i="65"/>
  <c r="AX341" i="65"/>
  <c r="AW341" i="65"/>
  <c r="AV341" i="65"/>
  <c r="AU341" i="65"/>
  <c r="AT341" i="65"/>
  <c r="AS341" i="65"/>
  <c r="AR341" i="65"/>
  <c r="AQ341" i="65"/>
  <c r="AP341" i="65"/>
  <c r="AO341" i="65"/>
  <c r="AN341" i="65"/>
  <c r="AM341" i="65"/>
  <c r="AL341" i="65"/>
  <c r="AK341" i="65"/>
  <c r="AJ341" i="65"/>
  <c r="AZ340" i="65"/>
  <c r="AY340" i="65"/>
  <c r="AX340" i="65"/>
  <c r="AW340" i="65"/>
  <c r="AV340" i="65"/>
  <c r="AU340" i="65"/>
  <c r="AT340" i="65"/>
  <c r="AS340" i="65"/>
  <c r="AR340" i="65"/>
  <c r="AQ340" i="65"/>
  <c r="AP340" i="65"/>
  <c r="AO340" i="65"/>
  <c r="AN340" i="65"/>
  <c r="AM340" i="65"/>
  <c r="AL340" i="65"/>
  <c r="AK340" i="65"/>
  <c r="AJ340" i="65"/>
  <c r="AZ339" i="65"/>
  <c r="AY339" i="65"/>
  <c r="AX339" i="65"/>
  <c r="AW339" i="65"/>
  <c r="AV339" i="65"/>
  <c r="AU339" i="65"/>
  <c r="AT339" i="65"/>
  <c r="AS339" i="65"/>
  <c r="AR339" i="65"/>
  <c r="AQ339" i="65"/>
  <c r="AP339" i="65"/>
  <c r="AO339" i="65"/>
  <c r="AN339" i="65"/>
  <c r="AM339" i="65"/>
  <c r="AL339" i="65"/>
  <c r="AK339" i="65"/>
  <c r="AJ339" i="65"/>
  <c r="AZ338" i="65"/>
  <c r="AY338" i="65"/>
  <c r="AX338" i="65"/>
  <c r="AW338" i="65"/>
  <c r="AV338" i="65"/>
  <c r="AU338" i="65"/>
  <c r="AT338" i="65"/>
  <c r="AS338" i="65"/>
  <c r="AR338" i="65"/>
  <c r="AQ338" i="65"/>
  <c r="AP338" i="65"/>
  <c r="AO338" i="65"/>
  <c r="AN338" i="65"/>
  <c r="AM338" i="65"/>
  <c r="AL338" i="65"/>
  <c r="AK338" i="65"/>
  <c r="AJ338" i="65"/>
  <c r="AZ337" i="65"/>
  <c r="AY337" i="65"/>
  <c r="AX337" i="65"/>
  <c r="AW337" i="65"/>
  <c r="AV337" i="65"/>
  <c r="AU337" i="65"/>
  <c r="AT337" i="65"/>
  <c r="AS337" i="65"/>
  <c r="AR337" i="65"/>
  <c r="AQ337" i="65"/>
  <c r="AP337" i="65"/>
  <c r="AO337" i="65"/>
  <c r="AN337" i="65"/>
  <c r="AM337" i="65"/>
  <c r="AL337" i="65"/>
  <c r="AK337" i="65"/>
  <c r="AJ337" i="65"/>
  <c r="AZ336" i="65"/>
  <c r="AY336" i="65"/>
  <c r="AX336" i="65"/>
  <c r="AW336" i="65"/>
  <c r="AV336" i="65"/>
  <c r="AU336" i="65"/>
  <c r="AT336" i="65"/>
  <c r="AS336" i="65"/>
  <c r="AR336" i="65"/>
  <c r="AQ336" i="65"/>
  <c r="AP336" i="65"/>
  <c r="AO336" i="65"/>
  <c r="AN336" i="65"/>
  <c r="AM336" i="65"/>
  <c r="AL336" i="65"/>
  <c r="AK336" i="65"/>
  <c r="AJ336" i="65"/>
  <c r="AZ335" i="65"/>
  <c r="AY335" i="65"/>
  <c r="AX335" i="65"/>
  <c r="AW335" i="65"/>
  <c r="AV335" i="65"/>
  <c r="AU335" i="65"/>
  <c r="AT335" i="65"/>
  <c r="AS335" i="65"/>
  <c r="AR335" i="65"/>
  <c r="AQ335" i="65"/>
  <c r="AP335" i="65"/>
  <c r="AO335" i="65"/>
  <c r="AN335" i="65"/>
  <c r="AM335" i="65"/>
  <c r="AL335" i="65"/>
  <c r="AK335" i="65"/>
  <c r="AJ335" i="65"/>
  <c r="AZ334" i="65"/>
  <c r="AY334" i="65"/>
  <c r="AX334" i="65"/>
  <c r="AW334" i="65"/>
  <c r="AV334" i="65"/>
  <c r="AU334" i="65"/>
  <c r="AT334" i="65"/>
  <c r="AS334" i="65"/>
  <c r="AR334" i="65"/>
  <c r="AQ334" i="65"/>
  <c r="AP334" i="65"/>
  <c r="AO334" i="65"/>
  <c r="AN334" i="65"/>
  <c r="AM334" i="65"/>
  <c r="AL334" i="65"/>
  <c r="AK334" i="65"/>
  <c r="AJ334" i="65"/>
  <c r="AZ333" i="65"/>
  <c r="AY333" i="65"/>
  <c r="AX333" i="65"/>
  <c r="AW333" i="65"/>
  <c r="AV333" i="65"/>
  <c r="AU333" i="65"/>
  <c r="AT333" i="65"/>
  <c r="AS333" i="65"/>
  <c r="AR333" i="65"/>
  <c r="AQ333" i="65"/>
  <c r="AP333" i="65"/>
  <c r="AO333" i="65"/>
  <c r="AN333" i="65"/>
  <c r="AM333" i="65"/>
  <c r="AL333" i="65"/>
  <c r="AK333" i="65"/>
  <c r="AJ333" i="65"/>
  <c r="AZ332" i="65"/>
  <c r="AY332" i="65"/>
  <c r="AX332" i="65"/>
  <c r="AW332" i="65"/>
  <c r="AV332" i="65"/>
  <c r="AU332" i="65"/>
  <c r="AT332" i="65"/>
  <c r="AS332" i="65"/>
  <c r="AR332" i="65"/>
  <c r="AQ332" i="65"/>
  <c r="AP332" i="65"/>
  <c r="AO332" i="65"/>
  <c r="AN332" i="65"/>
  <c r="AM332" i="65"/>
  <c r="AL332" i="65"/>
  <c r="AK332" i="65"/>
  <c r="AJ332" i="65"/>
  <c r="AZ331" i="65"/>
  <c r="AY331" i="65"/>
  <c r="AX331" i="65"/>
  <c r="AW331" i="65"/>
  <c r="AV331" i="65"/>
  <c r="AU331" i="65"/>
  <c r="AT331" i="65"/>
  <c r="AS331" i="65"/>
  <c r="AR331" i="65"/>
  <c r="AQ331" i="65"/>
  <c r="AP331" i="65"/>
  <c r="AO331" i="65"/>
  <c r="AN331" i="65"/>
  <c r="AM331" i="65"/>
  <c r="AL331" i="65"/>
  <c r="AK331" i="65"/>
  <c r="AJ331" i="65"/>
  <c r="AZ330" i="65"/>
  <c r="AY330" i="65"/>
  <c r="AX330" i="65"/>
  <c r="AW330" i="65"/>
  <c r="AV330" i="65"/>
  <c r="AU330" i="65"/>
  <c r="AT330" i="65"/>
  <c r="AS330" i="65"/>
  <c r="AR330" i="65"/>
  <c r="AQ330" i="65"/>
  <c r="AP330" i="65"/>
  <c r="AO330" i="65"/>
  <c r="AN330" i="65"/>
  <c r="AM330" i="65"/>
  <c r="AL330" i="65"/>
  <c r="AK330" i="65"/>
  <c r="AJ330" i="65"/>
  <c r="AZ329" i="65"/>
  <c r="AY329" i="65"/>
  <c r="AX329" i="65"/>
  <c r="AW329" i="65"/>
  <c r="AV329" i="65"/>
  <c r="AU329" i="65"/>
  <c r="AT329" i="65"/>
  <c r="AS329" i="65"/>
  <c r="AR329" i="65"/>
  <c r="AQ329" i="65"/>
  <c r="AP329" i="65"/>
  <c r="AO329" i="65"/>
  <c r="AN329" i="65"/>
  <c r="AM329" i="65"/>
  <c r="AL329" i="65"/>
  <c r="AK329" i="65"/>
  <c r="AJ329" i="65"/>
  <c r="AZ328" i="65"/>
  <c r="AY328" i="65"/>
  <c r="AX328" i="65"/>
  <c r="AW328" i="65"/>
  <c r="AV328" i="65"/>
  <c r="AU328" i="65"/>
  <c r="AT328" i="65"/>
  <c r="AS328" i="65"/>
  <c r="AR328" i="65"/>
  <c r="AQ328" i="65"/>
  <c r="AP328" i="65"/>
  <c r="AO328" i="65"/>
  <c r="AN328" i="65"/>
  <c r="AM328" i="65"/>
  <c r="AL328" i="65"/>
  <c r="AK328" i="65"/>
  <c r="AJ328" i="65"/>
  <c r="AZ327" i="65"/>
  <c r="AY327" i="65"/>
  <c r="AX327" i="65"/>
  <c r="AW327" i="65"/>
  <c r="AV327" i="65"/>
  <c r="AU327" i="65"/>
  <c r="AT327" i="65"/>
  <c r="AS327" i="65"/>
  <c r="AR327" i="65"/>
  <c r="AQ327" i="65"/>
  <c r="AP327" i="65"/>
  <c r="AO327" i="65"/>
  <c r="AN327" i="65"/>
  <c r="AM327" i="65"/>
  <c r="AL327" i="65"/>
  <c r="AK327" i="65"/>
  <c r="AJ327" i="65"/>
  <c r="AZ326" i="65"/>
  <c r="AY326" i="65"/>
  <c r="AX326" i="65"/>
  <c r="AW326" i="65"/>
  <c r="AV326" i="65"/>
  <c r="AU326" i="65"/>
  <c r="AT326" i="65"/>
  <c r="AS326" i="65"/>
  <c r="AR326" i="65"/>
  <c r="AQ326" i="65"/>
  <c r="AP326" i="65"/>
  <c r="AO326" i="65"/>
  <c r="AN326" i="65"/>
  <c r="AM326" i="65"/>
  <c r="AL326" i="65"/>
  <c r="AK326" i="65"/>
  <c r="AJ326" i="65"/>
  <c r="AZ325" i="65"/>
  <c r="AY325" i="65"/>
  <c r="AX325" i="65"/>
  <c r="AW325" i="65"/>
  <c r="AV325" i="65"/>
  <c r="AU325" i="65"/>
  <c r="AT325" i="65"/>
  <c r="AS325" i="65"/>
  <c r="AR325" i="65"/>
  <c r="AQ325" i="65"/>
  <c r="AP325" i="65"/>
  <c r="AO325" i="65"/>
  <c r="AN325" i="65"/>
  <c r="AM325" i="65"/>
  <c r="AL325" i="65"/>
  <c r="AK325" i="65"/>
  <c r="AJ325" i="65"/>
  <c r="AZ324" i="65"/>
  <c r="AY324" i="65"/>
  <c r="AX324" i="65"/>
  <c r="AW324" i="65"/>
  <c r="AV324" i="65"/>
  <c r="AU324" i="65"/>
  <c r="AT324" i="65"/>
  <c r="AS324" i="65"/>
  <c r="AR324" i="65"/>
  <c r="AQ324" i="65"/>
  <c r="AP324" i="65"/>
  <c r="AO324" i="65"/>
  <c r="AN324" i="65"/>
  <c r="AM324" i="65"/>
  <c r="AL324" i="65"/>
  <c r="AK324" i="65"/>
  <c r="AJ324" i="65"/>
  <c r="AZ323" i="65"/>
  <c r="AY323" i="65"/>
  <c r="AX323" i="65"/>
  <c r="AW323" i="65"/>
  <c r="AV323" i="65"/>
  <c r="AU323" i="65"/>
  <c r="AT323" i="65"/>
  <c r="AS323" i="65"/>
  <c r="AR323" i="65"/>
  <c r="AQ323" i="65"/>
  <c r="AP323" i="65"/>
  <c r="AO323" i="65"/>
  <c r="AN323" i="65"/>
  <c r="AM323" i="65"/>
  <c r="AL323" i="65"/>
  <c r="AK323" i="65"/>
  <c r="AJ323" i="65"/>
  <c r="AZ322" i="65"/>
  <c r="AY322" i="65"/>
  <c r="AX322" i="65"/>
  <c r="AW322" i="65"/>
  <c r="AV322" i="65"/>
  <c r="AU322" i="65"/>
  <c r="AT322" i="65"/>
  <c r="AS322" i="65"/>
  <c r="AR322" i="65"/>
  <c r="AQ322" i="65"/>
  <c r="AP322" i="65"/>
  <c r="AO322" i="65"/>
  <c r="AN322" i="65"/>
  <c r="AM322" i="65"/>
  <c r="AL322" i="65"/>
  <c r="AK322" i="65"/>
  <c r="AJ322" i="65"/>
  <c r="AZ321" i="65"/>
  <c r="AY321" i="65"/>
  <c r="AX321" i="65"/>
  <c r="AW321" i="65"/>
  <c r="AV321" i="65"/>
  <c r="AU321" i="65"/>
  <c r="AT321" i="65"/>
  <c r="AS321" i="65"/>
  <c r="AR321" i="65"/>
  <c r="AQ321" i="65"/>
  <c r="AP321" i="65"/>
  <c r="AO321" i="65"/>
  <c r="AN321" i="65"/>
  <c r="AM321" i="65"/>
  <c r="AL321" i="65"/>
  <c r="AK321" i="65"/>
  <c r="AJ321" i="65"/>
  <c r="AZ320" i="65"/>
  <c r="AY320" i="65"/>
  <c r="AX320" i="65"/>
  <c r="AW320" i="65"/>
  <c r="AV320" i="65"/>
  <c r="AU320" i="65"/>
  <c r="AT320" i="65"/>
  <c r="AS320" i="65"/>
  <c r="AR320" i="65"/>
  <c r="AQ320" i="65"/>
  <c r="AP320" i="65"/>
  <c r="AO320" i="65"/>
  <c r="AN320" i="65"/>
  <c r="AM320" i="65"/>
  <c r="AL320" i="65"/>
  <c r="AK320" i="65"/>
  <c r="AJ320" i="65"/>
  <c r="AZ319" i="65"/>
  <c r="AY319" i="65"/>
  <c r="AX319" i="65"/>
  <c r="AW319" i="65"/>
  <c r="AV319" i="65"/>
  <c r="AU319" i="65"/>
  <c r="AT319" i="65"/>
  <c r="AS319" i="65"/>
  <c r="AR319" i="65"/>
  <c r="AQ319" i="65"/>
  <c r="AP319" i="65"/>
  <c r="AO319" i="65"/>
  <c r="AN319" i="65"/>
  <c r="AM319" i="65"/>
  <c r="AL319" i="65"/>
  <c r="AK319" i="65"/>
  <c r="AJ319" i="65"/>
  <c r="AZ318" i="65"/>
  <c r="AY318" i="65"/>
  <c r="AX318" i="65"/>
  <c r="AW318" i="65"/>
  <c r="AV318" i="65"/>
  <c r="AU318" i="65"/>
  <c r="AT318" i="65"/>
  <c r="AS318" i="65"/>
  <c r="AR318" i="65"/>
  <c r="AQ318" i="65"/>
  <c r="AP318" i="65"/>
  <c r="AO318" i="65"/>
  <c r="AN318" i="65"/>
  <c r="AM318" i="65"/>
  <c r="AL318" i="65"/>
  <c r="AK318" i="65"/>
  <c r="AJ318" i="65"/>
  <c r="AZ317" i="65"/>
  <c r="AY317" i="65"/>
  <c r="AX317" i="65"/>
  <c r="AW317" i="65"/>
  <c r="AV317" i="65"/>
  <c r="AU317" i="65"/>
  <c r="AT317" i="65"/>
  <c r="AS317" i="65"/>
  <c r="AR317" i="65"/>
  <c r="AQ317" i="65"/>
  <c r="AP317" i="65"/>
  <c r="AO317" i="65"/>
  <c r="AN317" i="65"/>
  <c r="AM317" i="65"/>
  <c r="AL317" i="65"/>
  <c r="AK317" i="65"/>
  <c r="AJ317" i="65"/>
  <c r="AZ316" i="65"/>
  <c r="AY316" i="65"/>
  <c r="AX316" i="65"/>
  <c r="AW316" i="65"/>
  <c r="AV316" i="65"/>
  <c r="AU316" i="65"/>
  <c r="AT316" i="65"/>
  <c r="AS316" i="65"/>
  <c r="AR316" i="65"/>
  <c r="AQ316" i="65"/>
  <c r="AP316" i="65"/>
  <c r="AO316" i="65"/>
  <c r="AN316" i="65"/>
  <c r="AM316" i="65"/>
  <c r="AL316" i="65"/>
  <c r="AK316" i="65"/>
  <c r="AJ316" i="65"/>
  <c r="AZ315" i="65"/>
  <c r="AY315" i="65"/>
  <c r="AX315" i="65"/>
  <c r="AW315" i="65"/>
  <c r="AV315" i="65"/>
  <c r="AU315" i="65"/>
  <c r="AT315" i="65"/>
  <c r="AS315" i="65"/>
  <c r="AR315" i="65"/>
  <c r="AQ315" i="65"/>
  <c r="AP315" i="65"/>
  <c r="AO315" i="65"/>
  <c r="AN315" i="65"/>
  <c r="AM315" i="65"/>
  <c r="AL315" i="65"/>
  <c r="AK315" i="65"/>
  <c r="AJ315" i="65"/>
  <c r="AZ314" i="65"/>
  <c r="AY314" i="65"/>
  <c r="AX314" i="65"/>
  <c r="AW314" i="65"/>
  <c r="AV314" i="65"/>
  <c r="AU314" i="65"/>
  <c r="AT314" i="65"/>
  <c r="AS314" i="65"/>
  <c r="AR314" i="65"/>
  <c r="AQ314" i="65"/>
  <c r="AP314" i="65"/>
  <c r="AO314" i="65"/>
  <c r="AN314" i="65"/>
  <c r="AM314" i="65"/>
  <c r="AL314" i="65"/>
  <c r="AK314" i="65"/>
  <c r="AJ314" i="65"/>
  <c r="AZ313" i="65"/>
  <c r="AY313" i="65"/>
  <c r="AX313" i="65"/>
  <c r="AW313" i="65"/>
  <c r="AV313" i="65"/>
  <c r="AU313" i="65"/>
  <c r="AT313" i="65"/>
  <c r="AS313" i="65"/>
  <c r="AR313" i="65"/>
  <c r="AQ313" i="65"/>
  <c r="AP313" i="65"/>
  <c r="AO313" i="65"/>
  <c r="AN313" i="65"/>
  <c r="AM313" i="65"/>
  <c r="AL313" i="65"/>
  <c r="AK313" i="65"/>
  <c r="AJ313" i="65"/>
  <c r="AZ312" i="65"/>
  <c r="AY312" i="65"/>
  <c r="AX312" i="65"/>
  <c r="AW312" i="65"/>
  <c r="AV312" i="65"/>
  <c r="AU312" i="65"/>
  <c r="AT312" i="65"/>
  <c r="AS312" i="65"/>
  <c r="AR312" i="65"/>
  <c r="AQ312" i="65"/>
  <c r="AP312" i="65"/>
  <c r="AO312" i="65"/>
  <c r="AN312" i="65"/>
  <c r="AM312" i="65"/>
  <c r="AL312" i="65"/>
  <c r="AK312" i="65"/>
  <c r="AJ312" i="65"/>
  <c r="AZ311" i="65"/>
  <c r="AY311" i="65"/>
  <c r="AX311" i="65"/>
  <c r="AW311" i="65"/>
  <c r="AV311" i="65"/>
  <c r="AU311" i="65"/>
  <c r="AT311" i="65"/>
  <c r="AS311" i="65"/>
  <c r="AR311" i="65"/>
  <c r="AQ311" i="65"/>
  <c r="AP311" i="65"/>
  <c r="AO311" i="65"/>
  <c r="AN311" i="65"/>
  <c r="AM311" i="65"/>
  <c r="AL311" i="65"/>
  <c r="AK311" i="65"/>
  <c r="AJ311" i="65"/>
  <c r="AZ310" i="65"/>
  <c r="AY310" i="65"/>
  <c r="AX310" i="65"/>
  <c r="AW310" i="65"/>
  <c r="AV310" i="65"/>
  <c r="AU310" i="65"/>
  <c r="AT310" i="65"/>
  <c r="AS310" i="65"/>
  <c r="AR310" i="65"/>
  <c r="AQ310" i="65"/>
  <c r="AP310" i="65"/>
  <c r="AO310" i="65"/>
  <c r="AN310" i="65"/>
  <c r="AM310" i="65"/>
  <c r="AL310" i="65"/>
  <c r="AK310" i="65"/>
  <c r="AJ310" i="65"/>
  <c r="AZ309" i="65"/>
  <c r="AY309" i="65"/>
  <c r="AX309" i="65"/>
  <c r="AW309" i="65"/>
  <c r="AV309" i="65"/>
  <c r="AU309" i="65"/>
  <c r="AT309" i="65"/>
  <c r="AS309" i="65"/>
  <c r="AR309" i="65"/>
  <c r="AQ309" i="65"/>
  <c r="AP309" i="65"/>
  <c r="AO309" i="65"/>
  <c r="AN309" i="65"/>
  <c r="AM309" i="65"/>
  <c r="AL309" i="65"/>
  <c r="AK309" i="65"/>
  <c r="AJ309" i="65"/>
  <c r="AZ308" i="65"/>
  <c r="AY308" i="65"/>
  <c r="AX308" i="65"/>
  <c r="AW308" i="65"/>
  <c r="AV308" i="65"/>
  <c r="AU308" i="65"/>
  <c r="AT308" i="65"/>
  <c r="AS308" i="65"/>
  <c r="AR308" i="65"/>
  <c r="AQ308" i="65"/>
  <c r="AP308" i="65"/>
  <c r="AO308" i="65"/>
  <c r="AN308" i="65"/>
  <c r="AM308" i="65"/>
  <c r="AL308" i="65"/>
  <c r="AK308" i="65"/>
  <c r="AJ308" i="65"/>
  <c r="AZ307" i="65"/>
  <c r="AY307" i="65"/>
  <c r="AX307" i="65"/>
  <c r="AW307" i="65"/>
  <c r="AV307" i="65"/>
  <c r="AU307" i="65"/>
  <c r="AT307" i="65"/>
  <c r="AS307" i="65"/>
  <c r="AR307" i="65"/>
  <c r="AQ307" i="65"/>
  <c r="AP307" i="65"/>
  <c r="AO307" i="65"/>
  <c r="AN307" i="65"/>
  <c r="AM307" i="65"/>
  <c r="AL307" i="65"/>
  <c r="AK307" i="65"/>
  <c r="AJ307" i="65"/>
  <c r="AZ306" i="65"/>
  <c r="AY306" i="65"/>
  <c r="AX306" i="65"/>
  <c r="AW306" i="65"/>
  <c r="AV306" i="65"/>
  <c r="AU306" i="65"/>
  <c r="AT306" i="65"/>
  <c r="AS306" i="65"/>
  <c r="AR306" i="65"/>
  <c r="AQ306" i="65"/>
  <c r="AP306" i="65"/>
  <c r="AO306" i="65"/>
  <c r="AN306" i="65"/>
  <c r="AM306" i="65"/>
  <c r="AL306" i="65"/>
  <c r="AK306" i="65"/>
  <c r="AJ306" i="65"/>
  <c r="AZ305" i="65"/>
  <c r="AY305" i="65"/>
  <c r="AX305" i="65"/>
  <c r="AW305" i="65"/>
  <c r="AV305" i="65"/>
  <c r="AU305" i="65"/>
  <c r="AT305" i="65"/>
  <c r="AS305" i="65"/>
  <c r="AR305" i="65"/>
  <c r="AQ305" i="65"/>
  <c r="AP305" i="65"/>
  <c r="AO305" i="65"/>
  <c r="AN305" i="65"/>
  <c r="AM305" i="65"/>
  <c r="AL305" i="65"/>
  <c r="AK305" i="65"/>
  <c r="AJ305" i="65"/>
  <c r="AZ304" i="65"/>
  <c r="AY304" i="65"/>
  <c r="AX304" i="65"/>
  <c r="AW304" i="65"/>
  <c r="AV304" i="65"/>
  <c r="AU304" i="65"/>
  <c r="AT304" i="65"/>
  <c r="AS304" i="65"/>
  <c r="AR304" i="65"/>
  <c r="AQ304" i="65"/>
  <c r="AP304" i="65"/>
  <c r="AO304" i="65"/>
  <c r="AN304" i="65"/>
  <c r="AM304" i="65"/>
  <c r="AL304" i="65"/>
  <c r="AK304" i="65"/>
  <c r="AJ304" i="65"/>
  <c r="AZ303" i="65"/>
  <c r="AY303" i="65"/>
  <c r="AX303" i="65"/>
  <c r="AW303" i="65"/>
  <c r="AV303" i="65"/>
  <c r="AU303" i="65"/>
  <c r="AT303" i="65"/>
  <c r="AS303" i="65"/>
  <c r="AR303" i="65"/>
  <c r="AQ303" i="65"/>
  <c r="AP303" i="65"/>
  <c r="AO303" i="65"/>
  <c r="AN303" i="65"/>
  <c r="AM303" i="65"/>
  <c r="AL303" i="65"/>
  <c r="AK303" i="65"/>
  <c r="AJ303" i="65"/>
  <c r="AZ302" i="65"/>
  <c r="AY302" i="65"/>
  <c r="AX302" i="65"/>
  <c r="AW302" i="65"/>
  <c r="AV302" i="65"/>
  <c r="AU302" i="65"/>
  <c r="AT302" i="65"/>
  <c r="AS302" i="65"/>
  <c r="AR302" i="65"/>
  <c r="AQ302" i="65"/>
  <c r="AP302" i="65"/>
  <c r="AO302" i="65"/>
  <c r="AN302" i="65"/>
  <c r="AM302" i="65"/>
  <c r="AL302" i="65"/>
  <c r="AK302" i="65"/>
  <c r="AJ302" i="65"/>
  <c r="AZ301" i="65"/>
  <c r="AY301" i="65"/>
  <c r="AX301" i="65"/>
  <c r="AW301" i="65"/>
  <c r="AV301" i="65"/>
  <c r="AU301" i="65"/>
  <c r="AT301" i="65"/>
  <c r="AS301" i="65"/>
  <c r="AR301" i="65"/>
  <c r="AQ301" i="65"/>
  <c r="AP301" i="65"/>
  <c r="AO301" i="65"/>
  <c r="AN301" i="65"/>
  <c r="AM301" i="65"/>
  <c r="AL301" i="65"/>
  <c r="AK301" i="65"/>
  <c r="AJ301" i="65"/>
  <c r="AZ300" i="65"/>
  <c r="AY300" i="65"/>
  <c r="AX300" i="65"/>
  <c r="AW300" i="65"/>
  <c r="AV300" i="65"/>
  <c r="AU300" i="65"/>
  <c r="AT300" i="65"/>
  <c r="AS300" i="65"/>
  <c r="AR300" i="65"/>
  <c r="AQ300" i="65"/>
  <c r="AP300" i="65"/>
  <c r="AO300" i="65"/>
  <c r="AN300" i="65"/>
  <c r="AM300" i="65"/>
  <c r="AL300" i="65"/>
  <c r="AK300" i="65"/>
  <c r="AJ300" i="65"/>
  <c r="AZ299" i="65"/>
  <c r="AY299" i="65"/>
  <c r="AX299" i="65"/>
  <c r="AW299" i="65"/>
  <c r="AV299" i="65"/>
  <c r="AU299" i="65"/>
  <c r="AT299" i="65"/>
  <c r="AS299" i="65"/>
  <c r="AR299" i="65"/>
  <c r="AQ299" i="65"/>
  <c r="AP299" i="65"/>
  <c r="AO299" i="65"/>
  <c r="AN299" i="65"/>
  <c r="AM299" i="65"/>
  <c r="AL299" i="65"/>
  <c r="AK299" i="65"/>
  <c r="AJ299" i="65"/>
  <c r="AZ298" i="65"/>
  <c r="AY298" i="65"/>
  <c r="AX298" i="65"/>
  <c r="AW298" i="65"/>
  <c r="AV298" i="65"/>
  <c r="AU298" i="65"/>
  <c r="AT298" i="65"/>
  <c r="AS298" i="65"/>
  <c r="AR298" i="65"/>
  <c r="AQ298" i="65"/>
  <c r="AP298" i="65"/>
  <c r="AO298" i="65"/>
  <c r="AN298" i="65"/>
  <c r="AM298" i="65"/>
  <c r="AL298" i="65"/>
  <c r="AK298" i="65"/>
  <c r="AJ298" i="65"/>
  <c r="AZ297" i="65"/>
  <c r="AY297" i="65"/>
  <c r="AX297" i="65"/>
  <c r="AW297" i="65"/>
  <c r="AV297" i="65"/>
  <c r="AU297" i="65"/>
  <c r="AT297" i="65"/>
  <c r="AS297" i="65"/>
  <c r="AR297" i="65"/>
  <c r="AQ297" i="65"/>
  <c r="AP297" i="65"/>
  <c r="AO297" i="65"/>
  <c r="AN297" i="65"/>
  <c r="AM297" i="65"/>
  <c r="AL297" i="65"/>
  <c r="AK297" i="65"/>
  <c r="AJ297" i="65"/>
  <c r="AZ296" i="65"/>
  <c r="AY296" i="65"/>
  <c r="AX296" i="65"/>
  <c r="AW296" i="65"/>
  <c r="AV296" i="65"/>
  <c r="AU296" i="65"/>
  <c r="AT296" i="65"/>
  <c r="AS296" i="65"/>
  <c r="AR296" i="65"/>
  <c r="AQ296" i="65"/>
  <c r="AP296" i="65"/>
  <c r="AO296" i="65"/>
  <c r="AN296" i="65"/>
  <c r="AM296" i="65"/>
  <c r="AL296" i="65"/>
  <c r="AK296" i="65"/>
  <c r="AJ296" i="65"/>
  <c r="AZ295" i="65"/>
  <c r="AY295" i="65"/>
  <c r="AX295" i="65"/>
  <c r="AW295" i="65"/>
  <c r="AV295" i="65"/>
  <c r="AU295" i="65"/>
  <c r="AT295" i="65"/>
  <c r="AS295" i="65"/>
  <c r="AR295" i="65"/>
  <c r="AQ295" i="65"/>
  <c r="AP295" i="65"/>
  <c r="AO295" i="65"/>
  <c r="AN295" i="65"/>
  <c r="AM295" i="65"/>
  <c r="AL295" i="65"/>
  <c r="AK295" i="65"/>
  <c r="AJ295" i="65"/>
  <c r="AZ294" i="65"/>
  <c r="AY294" i="65"/>
  <c r="AX294" i="65"/>
  <c r="AW294" i="65"/>
  <c r="AV294" i="65"/>
  <c r="AU294" i="65"/>
  <c r="AT294" i="65"/>
  <c r="AS294" i="65"/>
  <c r="AR294" i="65"/>
  <c r="AQ294" i="65"/>
  <c r="AP294" i="65"/>
  <c r="AO294" i="65"/>
  <c r="AN294" i="65"/>
  <c r="AM294" i="65"/>
  <c r="AL294" i="65"/>
  <c r="AK294" i="65"/>
  <c r="AJ294" i="65"/>
  <c r="AZ293" i="65"/>
  <c r="AY293" i="65"/>
  <c r="AX293" i="65"/>
  <c r="AW293" i="65"/>
  <c r="AV293" i="65"/>
  <c r="AU293" i="65"/>
  <c r="AT293" i="65"/>
  <c r="AS293" i="65"/>
  <c r="AR293" i="65"/>
  <c r="AQ293" i="65"/>
  <c r="AP293" i="65"/>
  <c r="AO293" i="65"/>
  <c r="AN293" i="65"/>
  <c r="AM293" i="65"/>
  <c r="AL293" i="65"/>
  <c r="AK293" i="65"/>
  <c r="AJ293" i="65"/>
  <c r="AZ292" i="65"/>
  <c r="AY292" i="65"/>
  <c r="AX292" i="65"/>
  <c r="AW292" i="65"/>
  <c r="AV292" i="65"/>
  <c r="AU292" i="65"/>
  <c r="AT292" i="65"/>
  <c r="AS292" i="65"/>
  <c r="AR292" i="65"/>
  <c r="AQ292" i="65"/>
  <c r="AP292" i="65"/>
  <c r="AO292" i="65"/>
  <c r="AN292" i="65"/>
  <c r="AM292" i="65"/>
  <c r="AL292" i="65"/>
  <c r="AK292" i="65"/>
  <c r="AJ292" i="65"/>
  <c r="AZ291" i="65"/>
  <c r="AY291" i="65"/>
  <c r="AX291" i="65"/>
  <c r="AW291" i="65"/>
  <c r="AV291" i="65"/>
  <c r="AU291" i="65"/>
  <c r="AT291" i="65"/>
  <c r="AS291" i="65"/>
  <c r="AR291" i="65"/>
  <c r="AQ291" i="65"/>
  <c r="AP291" i="65"/>
  <c r="AO291" i="65"/>
  <c r="AN291" i="65"/>
  <c r="AM291" i="65"/>
  <c r="AL291" i="65"/>
  <c r="AK291" i="65"/>
  <c r="AJ291" i="65"/>
  <c r="AZ290" i="65"/>
  <c r="AY290" i="65"/>
  <c r="AX290" i="65"/>
  <c r="AW290" i="65"/>
  <c r="AV290" i="65"/>
  <c r="AU290" i="65"/>
  <c r="AT290" i="65"/>
  <c r="AS290" i="65"/>
  <c r="AR290" i="65"/>
  <c r="AQ290" i="65"/>
  <c r="AP290" i="65"/>
  <c r="AO290" i="65"/>
  <c r="AN290" i="65"/>
  <c r="AM290" i="65"/>
  <c r="AL290" i="65"/>
  <c r="AK290" i="65"/>
  <c r="AJ290" i="65"/>
  <c r="AZ289" i="65"/>
  <c r="AY289" i="65"/>
  <c r="AX289" i="65"/>
  <c r="AW289" i="65"/>
  <c r="AV289" i="65"/>
  <c r="AU289" i="65"/>
  <c r="AT289" i="65"/>
  <c r="AS289" i="65"/>
  <c r="AR289" i="65"/>
  <c r="AQ289" i="65"/>
  <c r="AP289" i="65"/>
  <c r="AO289" i="65"/>
  <c r="AN289" i="65"/>
  <c r="AM289" i="65"/>
  <c r="AL289" i="65"/>
  <c r="AK289" i="65"/>
  <c r="AJ289" i="65"/>
  <c r="AZ288" i="65"/>
  <c r="AY288" i="65"/>
  <c r="AX288" i="65"/>
  <c r="AW288" i="65"/>
  <c r="AV288" i="65"/>
  <c r="AU288" i="65"/>
  <c r="AT288" i="65"/>
  <c r="AS288" i="65"/>
  <c r="AR288" i="65"/>
  <c r="AQ288" i="65"/>
  <c r="AP288" i="65"/>
  <c r="AO288" i="65"/>
  <c r="AN288" i="65"/>
  <c r="AM288" i="65"/>
  <c r="AL288" i="65"/>
  <c r="AK288" i="65"/>
  <c r="AJ288" i="65"/>
  <c r="AZ287" i="65"/>
  <c r="AY287" i="65"/>
  <c r="AX287" i="65"/>
  <c r="AW287" i="65"/>
  <c r="AV287" i="65"/>
  <c r="AU287" i="65"/>
  <c r="AT287" i="65"/>
  <c r="AS287" i="65"/>
  <c r="AR287" i="65"/>
  <c r="AQ287" i="65"/>
  <c r="AP287" i="65"/>
  <c r="AO287" i="65"/>
  <c r="AN287" i="65"/>
  <c r="AM287" i="65"/>
  <c r="AL287" i="65"/>
  <c r="AK287" i="65"/>
  <c r="AJ287" i="65"/>
  <c r="AZ286" i="65"/>
  <c r="AY286" i="65"/>
  <c r="AX286" i="65"/>
  <c r="AW286" i="65"/>
  <c r="AV286" i="65"/>
  <c r="AU286" i="65"/>
  <c r="AT286" i="65"/>
  <c r="AS286" i="65"/>
  <c r="AR286" i="65"/>
  <c r="AQ286" i="65"/>
  <c r="AP286" i="65"/>
  <c r="AO286" i="65"/>
  <c r="AN286" i="65"/>
  <c r="AM286" i="65"/>
  <c r="AL286" i="65"/>
  <c r="AK286" i="65"/>
  <c r="AJ286" i="65"/>
  <c r="AZ285" i="65"/>
  <c r="AY285" i="65"/>
  <c r="AX285" i="65"/>
  <c r="AW285" i="65"/>
  <c r="AV285" i="65"/>
  <c r="AU285" i="65"/>
  <c r="AT285" i="65"/>
  <c r="AS285" i="65"/>
  <c r="AR285" i="65"/>
  <c r="AQ285" i="65"/>
  <c r="AP285" i="65"/>
  <c r="AO285" i="65"/>
  <c r="AN285" i="65"/>
  <c r="AM285" i="65"/>
  <c r="AL285" i="65"/>
  <c r="AK285" i="65"/>
  <c r="AJ285" i="65"/>
  <c r="AZ284" i="65"/>
  <c r="AY284" i="65"/>
  <c r="AX284" i="65"/>
  <c r="AW284" i="65"/>
  <c r="AV284" i="65"/>
  <c r="AU284" i="65"/>
  <c r="AT284" i="65"/>
  <c r="AS284" i="65"/>
  <c r="AR284" i="65"/>
  <c r="AQ284" i="65"/>
  <c r="AP284" i="65"/>
  <c r="AO284" i="65"/>
  <c r="AN284" i="65"/>
  <c r="AM284" i="65"/>
  <c r="AL284" i="65"/>
  <c r="AK284" i="65"/>
  <c r="AJ284" i="65"/>
  <c r="AZ283" i="65"/>
  <c r="AY283" i="65"/>
  <c r="AX283" i="65"/>
  <c r="AW283" i="65"/>
  <c r="AV283" i="65"/>
  <c r="AU283" i="65"/>
  <c r="AT283" i="65"/>
  <c r="AS283" i="65"/>
  <c r="AR283" i="65"/>
  <c r="AQ283" i="65"/>
  <c r="AP283" i="65"/>
  <c r="AO283" i="65"/>
  <c r="AN283" i="65"/>
  <c r="AM283" i="65"/>
  <c r="AL283" i="65"/>
  <c r="AK283" i="65"/>
  <c r="AJ283" i="65"/>
  <c r="AZ282" i="65"/>
  <c r="AY282" i="65"/>
  <c r="AX282" i="65"/>
  <c r="AW282" i="65"/>
  <c r="AV282" i="65"/>
  <c r="AU282" i="65"/>
  <c r="AT282" i="65"/>
  <c r="AS282" i="65"/>
  <c r="AR282" i="65"/>
  <c r="AQ282" i="65"/>
  <c r="AP282" i="65"/>
  <c r="AO282" i="65"/>
  <c r="AN282" i="65"/>
  <c r="AM282" i="65"/>
  <c r="AL282" i="65"/>
  <c r="AK282" i="65"/>
  <c r="AJ282" i="65"/>
  <c r="AZ281" i="65"/>
  <c r="AY281" i="65"/>
  <c r="AX281" i="65"/>
  <c r="AW281" i="65"/>
  <c r="AV281" i="65"/>
  <c r="AU281" i="65"/>
  <c r="AT281" i="65"/>
  <c r="AS281" i="65"/>
  <c r="AR281" i="65"/>
  <c r="AQ281" i="65"/>
  <c r="AP281" i="65"/>
  <c r="AO281" i="65"/>
  <c r="AN281" i="65"/>
  <c r="AM281" i="65"/>
  <c r="AL281" i="65"/>
  <c r="AK281" i="65"/>
  <c r="AJ281" i="65"/>
  <c r="AZ280" i="65"/>
  <c r="AY280" i="65"/>
  <c r="AX280" i="65"/>
  <c r="AW280" i="65"/>
  <c r="AV280" i="65"/>
  <c r="AU280" i="65"/>
  <c r="AT280" i="65"/>
  <c r="AS280" i="65"/>
  <c r="AR280" i="65"/>
  <c r="AQ280" i="65"/>
  <c r="AP280" i="65"/>
  <c r="AO280" i="65"/>
  <c r="AN280" i="65"/>
  <c r="AM280" i="65"/>
  <c r="AL280" i="65"/>
  <c r="AK280" i="65"/>
  <c r="AJ280" i="65"/>
  <c r="AZ279" i="65"/>
  <c r="AY279" i="65"/>
  <c r="AX279" i="65"/>
  <c r="AW279" i="65"/>
  <c r="AV279" i="65"/>
  <c r="AU279" i="65"/>
  <c r="AT279" i="65"/>
  <c r="AS279" i="65"/>
  <c r="AR279" i="65"/>
  <c r="AQ279" i="65"/>
  <c r="AP279" i="65"/>
  <c r="AO279" i="65"/>
  <c r="AN279" i="65"/>
  <c r="AM279" i="65"/>
  <c r="AL279" i="65"/>
  <c r="AK279" i="65"/>
  <c r="AJ279" i="65"/>
  <c r="AZ278" i="65"/>
  <c r="AY278" i="65"/>
  <c r="AX278" i="65"/>
  <c r="AW278" i="65"/>
  <c r="AV278" i="65"/>
  <c r="AU278" i="65"/>
  <c r="AT278" i="65"/>
  <c r="AS278" i="65"/>
  <c r="AR278" i="65"/>
  <c r="AQ278" i="65"/>
  <c r="AP278" i="65"/>
  <c r="AO278" i="65"/>
  <c r="AN278" i="65"/>
  <c r="AM278" i="65"/>
  <c r="AL278" i="65"/>
  <c r="AK278" i="65"/>
  <c r="AJ278" i="65"/>
  <c r="AZ277" i="65"/>
  <c r="AY277" i="65"/>
  <c r="AX277" i="65"/>
  <c r="AW277" i="65"/>
  <c r="AV277" i="65"/>
  <c r="AU277" i="65"/>
  <c r="AT277" i="65"/>
  <c r="AS277" i="65"/>
  <c r="AR277" i="65"/>
  <c r="AQ277" i="65"/>
  <c r="AP277" i="65"/>
  <c r="AO277" i="65"/>
  <c r="AN277" i="65"/>
  <c r="AM277" i="65"/>
  <c r="AL277" i="65"/>
  <c r="AK277" i="65"/>
  <c r="AJ277" i="65"/>
  <c r="AZ276" i="65"/>
  <c r="AY276" i="65"/>
  <c r="AX276" i="65"/>
  <c r="AW276" i="65"/>
  <c r="AV276" i="65"/>
  <c r="AU276" i="65"/>
  <c r="AT276" i="65"/>
  <c r="AS276" i="65"/>
  <c r="AR276" i="65"/>
  <c r="AQ276" i="65"/>
  <c r="AP276" i="65"/>
  <c r="AO276" i="65"/>
  <c r="AN276" i="65"/>
  <c r="AM276" i="65"/>
  <c r="AL276" i="65"/>
  <c r="AK276" i="65"/>
  <c r="AJ276" i="65"/>
  <c r="AZ275" i="65"/>
  <c r="AY275" i="65"/>
  <c r="AX275" i="65"/>
  <c r="AW275" i="65"/>
  <c r="AV275" i="65"/>
  <c r="AU275" i="65"/>
  <c r="AT275" i="65"/>
  <c r="AS275" i="65"/>
  <c r="AR275" i="65"/>
  <c r="AQ275" i="65"/>
  <c r="AP275" i="65"/>
  <c r="AO275" i="65"/>
  <c r="AN275" i="65"/>
  <c r="AM275" i="65"/>
  <c r="AL275" i="65"/>
  <c r="AK275" i="65"/>
  <c r="AJ275" i="65"/>
  <c r="AZ274" i="65"/>
  <c r="AY274" i="65"/>
  <c r="AX274" i="65"/>
  <c r="AW274" i="65"/>
  <c r="AV274" i="65"/>
  <c r="AU274" i="65"/>
  <c r="AT274" i="65"/>
  <c r="AS274" i="65"/>
  <c r="AR274" i="65"/>
  <c r="AQ274" i="65"/>
  <c r="AP274" i="65"/>
  <c r="AO274" i="65"/>
  <c r="AN274" i="65"/>
  <c r="AM274" i="65"/>
  <c r="AL274" i="65"/>
  <c r="AK274" i="65"/>
  <c r="AJ274" i="65"/>
  <c r="AZ273" i="65"/>
  <c r="AY273" i="65"/>
  <c r="AX273" i="65"/>
  <c r="AW273" i="65"/>
  <c r="AV273" i="65"/>
  <c r="AU273" i="65"/>
  <c r="AT273" i="65"/>
  <c r="AS273" i="65"/>
  <c r="AR273" i="65"/>
  <c r="AQ273" i="65"/>
  <c r="AP273" i="65"/>
  <c r="AO273" i="65"/>
  <c r="AN273" i="65"/>
  <c r="AM273" i="65"/>
  <c r="AL273" i="65"/>
  <c r="AK273" i="65"/>
  <c r="AJ273" i="65"/>
  <c r="AZ272" i="65"/>
  <c r="AY272" i="65"/>
  <c r="AX272" i="65"/>
  <c r="AW272" i="65"/>
  <c r="AV272" i="65"/>
  <c r="AU272" i="65"/>
  <c r="AT272" i="65"/>
  <c r="AS272" i="65"/>
  <c r="AR272" i="65"/>
  <c r="AQ272" i="65"/>
  <c r="AP272" i="65"/>
  <c r="AO272" i="65"/>
  <c r="AN272" i="65"/>
  <c r="AM272" i="65"/>
  <c r="AL272" i="65"/>
  <c r="AK272" i="65"/>
  <c r="AJ272" i="65"/>
  <c r="AZ271" i="65"/>
  <c r="AY271" i="65"/>
  <c r="AX271" i="65"/>
  <c r="AW271" i="65"/>
  <c r="AV271" i="65"/>
  <c r="AU271" i="65"/>
  <c r="AT271" i="65"/>
  <c r="AS271" i="65"/>
  <c r="AR271" i="65"/>
  <c r="AQ271" i="65"/>
  <c r="AP271" i="65"/>
  <c r="AO271" i="65"/>
  <c r="AN271" i="65"/>
  <c r="AM271" i="65"/>
  <c r="AL271" i="65"/>
  <c r="AK271" i="65"/>
  <c r="AJ271" i="65"/>
  <c r="AZ270" i="65"/>
  <c r="AY270" i="65"/>
  <c r="AX270" i="65"/>
  <c r="AW270" i="65"/>
  <c r="AV270" i="65"/>
  <c r="AU270" i="65"/>
  <c r="AT270" i="65"/>
  <c r="AS270" i="65"/>
  <c r="AR270" i="65"/>
  <c r="AQ270" i="65"/>
  <c r="AP270" i="65"/>
  <c r="AO270" i="65"/>
  <c r="AN270" i="65"/>
  <c r="AM270" i="65"/>
  <c r="AL270" i="65"/>
  <c r="AK270" i="65"/>
  <c r="AJ270" i="65"/>
  <c r="AZ269" i="65"/>
  <c r="AY269" i="65"/>
  <c r="AX269" i="65"/>
  <c r="AW269" i="65"/>
  <c r="AV269" i="65"/>
  <c r="AU269" i="65"/>
  <c r="AT269" i="65"/>
  <c r="AS269" i="65"/>
  <c r="AR269" i="65"/>
  <c r="AQ269" i="65"/>
  <c r="AP269" i="65"/>
  <c r="AO269" i="65"/>
  <c r="AN269" i="65"/>
  <c r="AM269" i="65"/>
  <c r="AL269" i="65"/>
  <c r="AK269" i="65"/>
  <c r="AJ269" i="65"/>
  <c r="AZ268" i="65"/>
  <c r="AY268" i="65"/>
  <c r="AX268" i="65"/>
  <c r="AW268" i="65"/>
  <c r="AV268" i="65"/>
  <c r="AU268" i="65"/>
  <c r="AT268" i="65"/>
  <c r="AS268" i="65"/>
  <c r="AR268" i="65"/>
  <c r="AQ268" i="65"/>
  <c r="AP268" i="65"/>
  <c r="AO268" i="65"/>
  <c r="AN268" i="65"/>
  <c r="AM268" i="65"/>
  <c r="AL268" i="65"/>
  <c r="AK268" i="65"/>
  <c r="AJ268" i="65"/>
  <c r="AZ267" i="65"/>
  <c r="AY267" i="65"/>
  <c r="AX267" i="65"/>
  <c r="AW267" i="65"/>
  <c r="AV267" i="65"/>
  <c r="AU267" i="65"/>
  <c r="AT267" i="65"/>
  <c r="AS267" i="65"/>
  <c r="AR267" i="65"/>
  <c r="AQ267" i="65"/>
  <c r="AP267" i="65"/>
  <c r="AO267" i="65"/>
  <c r="AN267" i="65"/>
  <c r="AM267" i="65"/>
  <c r="AL267" i="65"/>
  <c r="AK267" i="65"/>
  <c r="AJ267" i="65"/>
  <c r="AZ266" i="65"/>
  <c r="AY266" i="65"/>
  <c r="AX266" i="65"/>
  <c r="AW266" i="65"/>
  <c r="AV266" i="65"/>
  <c r="AU266" i="65"/>
  <c r="AT266" i="65"/>
  <c r="AS266" i="65"/>
  <c r="AR266" i="65"/>
  <c r="AQ266" i="65"/>
  <c r="AP266" i="65"/>
  <c r="AO266" i="65"/>
  <c r="AN266" i="65"/>
  <c r="AM266" i="65"/>
  <c r="AL266" i="65"/>
  <c r="AK266" i="65"/>
  <c r="AJ266" i="65"/>
  <c r="AZ265" i="65"/>
  <c r="AY265" i="65"/>
  <c r="AX265" i="65"/>
  <c r="AW265" i="65"/>
  <c r="AV265" i="65"/>
  <c r="AU265" i="65"/>
  <c r="AT265" i="65"/>
  <c r="AS265" i="65"/>
  <c r="AR265" i="65"/>
  <c r="AQ265" i="65"/>
  <c r="AP265" i="65"/>
  <c r="AO265" i="65"/>
  <c r="AN265" i="65"/>
  <c r="AM265" i="65"/>
  <c r="AL265" i="65"/>
  <c r="AK265" i="65"/>
  <c r="AJ265" i="65"/>
  <c r="AZ264" i="65"/>
  <c r="AY264" i="65"/>
  <c r="AX264" i="65"/>
  <c r="AW264" i="65"/>
  <c r="AV264" i="65"/>
  <c r="AU264" i="65"/>
  <c r="AT264" i="65"/>
  <c r="AS264" i="65"/>
  <c r="AR264" i="65"/>
  <c r="AQ264" i="65"/>
  <c r="AP264" i="65"/>
  <c r="AO264" i="65"/>
  <c r="AN264" i="65"/>
  <c r="AM264" i="65"/>
  <c r="AL264" i="65"/>
  <c r="AK264" i="65"/>
  <c r="AJ264" i="65"/>
  <c r="AZ263" i="65"/>
  <c r="AY263" i="65"/>
  <c r="AX263" i="65"/>
  <c r="AW263" i="65"/>
  <c r="AV263" i="65"/>
  <c r="AU263" i="65"/>
  <c r="AT263" i="65"/>
  <c r="AS263" i="65"/>
  <c r="AR263" i="65"/>
  <c r="AQ263" i="65"/>
  <c r="AP263" i="65"/>
  <c r="AO263" i="65"/>
  <c r="AN263" i="65"/>
  <c r="AM263" i="65"/>
  <c r="AL263" i="65"/>
  <c r="AK263" i="65"/>
  <c r="AJ263" i="65"/>
  <c r="AZ262" i="65"/>
  <c r="AY262" i="65"/>
  <c r="AX262" i="65"/>
  <c r="AW262" i="65"/>
  <c r="AV262" i="65"/>
  <c r="AU262" i="65"/>
  <c r="AT262" i="65"/>
  <c r="AS262" i="65"/>
  <c r="AR262" i="65"/>
  <c r="AQ262" i="65"/>
  <c r="AP262" i="65"/>
  <c r="AO262" i="65"/>
  <c r="AN262" i="65"/>
  <c r="AM262" i="65"/>
  <c r="AL262" i="65"/>
  <c r="AK262" i="65"/>
  <c r="AJ262" i="65"/>
  <c r="AZ261" i="65"/>
  <c r="AY261" i="65"/>
  <c r="AX261" i="65"/>
  <c r="AW261" i="65"/>
  <c r="AV261" i="65"/>
  <c r="AU261" i="65"/>
  <c r="AT261" i="65"/>
  <c r="AS261" i="65"/>
  <c r="AR261" i="65"/>
  <c r="AQ261" i="65"/>
  <c r="AP261" i="65"/>
  <c r="AO261" i="65"/>
  <c r="AN261" i="65"/>
  <c r="AM261" i="65"/>
  <c r="AL261" i="65"/>
  <c r="AK261" i="65"/>
  <c r="AJ261" i="65"/>
  <c r="AZ260" i="65"/>
  <c r="AY260" i="65"/>
  <c r="AX260" i="65"/>
  <c r="AW260" i="65"/>
  <c r="AV260" i="65"/>
  <c r="AU260" i="65"/>
  <c r="AT260" i="65"/>
  <c r="AS260" i="65"/>
  <c r="AR260" i="65"/>
  <c r="AQ260" i="65"/>
  <c r="AP260" i="65"/>
  <c r="AO260" i="65"/>
  <c r="AN260" i="65"/>
  <c r="AM260" i="65"/>
  <c r="AL260" i="65"/>
  <c r="AK260" i="65"/>
  <c r="AJ260" i="65"/>
  <c r="AZ259" i="65"/>
  <c r="AY259" i="65"/>
  <c r="AX259" i="65"/>
  <c r="AW259" i="65"/>
  <c r="AV259" i="65"/>
  <c r="AU259" i="65"/>
  <c r="AT259" i="65"/>
  <c r="AS259" i="65"/>
  <c r="AR259" i="65"/>
  <c r="AQ259" i="65"/>
  <c r="AP259" i="65"/>
  <c r="AO259" i="65"/>
  <c r="AN259" i="65"/>
  <c r="AM259" i="65"/>
  <c r="AL259" i="65"/>
  <c r="AK259" i="65"/>
  <c r="AJ259" i="65"/>
  <c r="AZ258" i="65"/>
  <c r="AY258" i="65"/>
  <c r="AX258" i="65"/>
  <c r="AW258" i="65"/>
  <c r="AV258" i="65"/>
  <c r="AU258" i="65"/>
  <c r="AT258" i="65"/>
  <c r="AS258" i="65"/>
  <c r="AR258" i="65"/>
  <c r="AQ258" i="65"/>
  <c r="AP258" i="65"/>
  <c r="AO258" i="65"/>
  <c r="AN258" i="65"/>
  <c r="AM258" i="65"/>
  <c r="AL258" i="65"/>
  <c r="AK258" i="65"/>
  <c r="AJ258" i="65"/>
  <c r="AZ257" i="65"/>
  <c r="AY257" i="65"/>
  <c r="AX257" i="65"/>
  <c r="AW257" i="65"/>
  <c r="AV257" i="65"/>
  <c r="AU257" i="65"/>
  <c r="AT257" i="65"/>
  <c r="AS257" i="65"/>
  <c r="AR257" i="65"/>
  <c r="AQ257" i="65"/>
  <c r="AP257" i="65"/>
  <c r="AO257" i="65"/>
  <c r="AN257" i="65"/>
  <c r="AM257" i="65"/>
  <c r="AL257" i="65"/>
  <c r="AK257" i="65"/>
  <c r="AJ257" i="65"/>
  <c r="AZ256" i="65"/>
  <c r="AY256" i="65"/>
  <c r="AX256" i="65"/>
  <c r="AW256" i="65"/>
  <c r="AV256" i="65"/>
  <c r="AU256" i="65"/>
  <c r="AT256" i="65"/>
  <c r="AS256" i="65"/>
  <c r="AR256" i="65"/>
  <c r="AQ256" i="65"/>
  <c r="AP256" i="65"/>
  <c r="AO256" i="65"/>
  <c r="AN256" i="65"/>
  <c r="AM256" i="65"/>
  <c r="AL256" i="65"/>
  <c r="AK256" i="65"/>
  <c r="AJ256" i="65"/>
  <c r="AZ255" i="65"/>
  <c r="AY255" i="65"/>
  <c r="AX255" i="65"/>
  <c r="AW255" i="65"/>
  <c r="AV255" i="65"/>
  <c r="AU255" i="65"/>
  <c r="AT255" i="65"/>
  <c r="AS255" i="65"/>
  <c r="AR255" i="65"/>
  <c r="AQ255" i="65"/>
  <c r="AP255" i="65"/>
  <c r="AO255" i="65"/>
  <c r="AN255" i="65"/>
  <c r="AM255" i="65"/>
  <c r="AL255" i="65"/>
  <c r="AK255" i="65"/>
  <c r="AJ255" i="65"/>
  <c r="AZ254" i="65"/>
  <c r="AY254" i="65"/>
  <c r="AX254" i="65"/>
  <c r="AW254" i="65"/>
  <c r="AV254" i="65"/>
  <c r="AU254" i="65"/>
  <c r="AT254" i="65"/>
  <c r="AS254" i="65"/>
  <c r="AR254" i="65"/>
  <c r="AQ254" i="65"/>
  <c r="AP254" i="65"/>
  <c r="AO254" i="65"/>
  <c r="AN254" i="65"/>
  <c r="AM254" i="65"/>
  <c r="AL254" i="65"/>
  <c r="AK254" i="65"/>
  <c r="AJ254" i="65"/>
  <c r="AZ253" i="65"/>
  <c r="AY253" i="65"/>
  <c r="AX253" i="65"/>
  <c r="AW253" i="65"/>
  <c r="AV253" i="65"/>
  <c r="AU253" i="65"/>
  <c r="AT253" i="65"/>
  <c r="AS253" i="65"/>
  <c r="AR253" i="65"/>
  <c r="AQ253" i="65"/>
  <c r="AP253" i="65"/>
  <c r="AO253" i="65"/>
  <c r="AN253" i="65"/>
  <c r="AM253" i="65"/>
  <c r="AL253" i="65"/>
  <c r="AK253" i="65"/>
  <c r="AJ253" i="65"/>
  <c r="AZ252" i="65"/>
  <c r="AY252" i="65"/>
  <c r="AX252" i="65"/>
  <c r="AW252" i="65"/>
  <c r="AV252" i="65"/>
  <c r="AU252" i="65"/>
  <c r="AT252" i="65"/>
  <c r="AS252" i="65"/>
  <c r="AR252" i="65"/>
  <c r="AQ252" i="65"/>
  <c r="AP252" i="65"/>
  <c r="AO252" i="65"/>
  <c r="AN252" i="65"/>
  <c r="AM252" i="65"/>
  <c r="AL252" i="65"/>
  <c r="AK252" i="65"/>
  <c r="AJ252" i="65"/>
  <c r="AZ251" i="65"/>
  <c r="AY251" i="65"/>
  <c r="AX251" i="65"/>
  <c r="AW251" i="65"/>
  <c r="AV251" i="65"/>
  <c r="AU251" i="65"/>
  <c r="AT251" i="65"/>
  <c r="AS251" i="65"/>
  <c r="AR251" i="65"/>
  <c r="AQ251" i="65"/>
  <c r="AP251" i="65"/>
  <c r="AO251" i="65"/>
  <c r="AN251" i="65"/>
  <c r="AM251" i="65"/>
  <c r="AL251" i="65"/>
  <c r="AK251" i="65"/>
  <c r="AJ251" i="65"/>
  <c r="AZ250" i="65"/>
  <c r="AY250" i="65"/>
  <c r="AX250" i="65"/>
  <c r="AW250" i="65"/>
  <c r="AV250" i="65"/>
  <c r="AU250" i="65"/>
  <c r="AT250" i="65"/>
  <c r="AS250" i="65"/>
  <c r="AR250" i="65"/>
  <c r="AQ250" i="65"/>
  <c r="AP250" i="65"/>
  <c r="AO250" i="65"/>
  <c r="AN250" i="65"/>
  <c r="AM250" i="65"/>
  <c r="AL250" i="65"/>
  <c r="AK250" i="65"/>
  <c r="AJ250" i="65"/>
  <c r="AZ249" i="65"/>
  <c r="AY249" i="65"/>
  <c r="AX249" i="65"/>
  <c r="AW249" i="65"/>
  <c r="AV249" i="65"/>
  <c r="AU249" i="65"/>
  <c r="AT249" i="65"/>
  <c r="AS249" i="65"/>
  <c r="AR249" i="65"/>
  <c r="AQ249" i="65"/>
  <c r="AP249" i="65"/>
  <c r="AO249" i="65"/>
  <c r="AN249" i="65"/>
  <c r="AM249" i="65"/>
  <c r="AL249" i="65"/>
  <c r="AK249" i="65"/>
  <c r="AJ249" i="65"/>
  <c r="AZ248" i="65"/>
  <c r="AY248" i="65"/>
  <c r="AX248" i="65"/>
  <c r="AW248" i="65"/>
  <c r="AV248" i="65"/>
  <c r="AU248" i="65"/>
  <c r="AT248" i="65"/>
  <c r="AS248" i="65"/>
  <c r="AR248" i="65"/>
  <c r="AQ248" i="65"/>
  <c r="AP248" i="65"/>
  <c r="AO248" i="65"/>
  <c r="AN248" i="65"/>
  <c r="AM248" i="65"/>
  <c r="AL248" i="65"/>
  <c r="AK248" i="65"/>
  <c r="AJ248" i="65"/>
  <c r="AZ247" i="65"/>
  <c r="AY247" i="65"/>
  <c r="AX247" i="65"/>
  <c r="AW247" i="65"/>
  <c r="AV247" i="65"/>
  <c r="AU247" i="65"/>
  <c r="AT247" i="65"/>
  <c r="AS247" i="65"/>
  <c r="AR247" i="65"/>
  <c r="AQ247" i="65"/>
  <c r="AP247" i="65"/>
  <c r="AO247" i="65"/>
  <c r="AN247" i="65"/>
  <c r="AM247" i="65"/>
  <c r="AL247" i="65"/>
  <c r="AK247" i="65"/>
  <c r="AJ247" i="65"/>
  <c r="AZ246" i="65"/>
  <c r="AY246" i="65"/>
  <c r="AX246" i="65"/>
  <c r="AW246" i="65"/>
  <c r="AV246" i="65"/>
  <c r="AU246" i="65"/>
  <c r="AT246" i="65"/>
  <c r="AS246" i="65"/>
  <c r="AR246" i="65"/>
  <c r="AQ246" i="65"/>
  <c r="AP246" i="65"/>
  <c r="AO246" i="65"/>
  <c r="AN246" i="65"/>
  <c r="AM246" i="65"/>
  <c r="AL246" i="65"/>
  <c r="AK246" i="65"/>
  <c r="AJ246" i="65"/>
  <c r="AZ245" i="65"/>
  <c r="AY245" i="65"/>
  <c r="AX245" i="65"/>
  <c r="AW245" i="65"/>
  <c r="AV245" i="65"/>
  <c r="AU245" i="65"/>
  <c r="AT245" i="65"/>
  <c r="AS245" i="65"/>
  <c r="AR245" i="65"/>
  <c r="AQ245" i="65"/>
  <c r="AP245" i="65"/>
  <c r="AO245" i="65"/>
  <c r="AN245" i="65"/>
  <c r="AM245" i="65"/>
  <c r="AL245" i="65"/>
  <c r="AK245" i="65"/>
  <c r="AJ245" i="65"/>
  <c r="AZ244" i="65"/>
  <c r="AY244" i="65"/>
  <c r="AX244" i="65"/>
  <c r="AW244" i="65"/>
  <c r="AV244" i="65"/>
  <c r="AU244" i="65"/>
  <c r="AT244" i="65"/>
  <c r="AS244" i="65"/>
  <c r="AR244" i="65"/>
  <c r="AQ244" i="65"/>
  <c r="AP244" i="65"/>
  <c r="AO244" i="65"/>
  <c r="AN244" i="65"/>
  <c r="AM244" i="65"/>
  <c r="AL244" i="65"/>
  <c r="AK244" i="65"/>
  <c r="AJ244" i="65"/>
  <c r="AZ243" i="65"/>
  <c r="AY243" i="65"/>
  <c r="AX243" i="65"/>
  <c r="AW243" i="65"/>
  <c r="AV243" i="65"/>
  <c r="AU243" i="65"/>
  <c r="AT243" i="65"/>
  <c r="AS243" i="65"/>
  <c r="AR243" i="65"/>
  <c r="AQ243" i="65"/>
  <c r="AP243" i="65"/>
  <c r="AO243" i="65"/>
  <c r="AN243" i="65"/>
  <c r="AM243" i="65"/>
  <c r="AL243" i="65"/>
  <c r="AK243" i="65"/>
  <c r="AJ243" i="65"/>
  <c r="AZ242" i="65"/>
  <c r="AY242" i="65"/>
  <c r="AX242" i="65"/>
  <c r="AW242" i="65"/>
  <c r="AV242" i="65"/>
  <c r="AU242" i="65"/>
  <c r="AT242" i="65"/>
  <c r="AS242" i="65"/>
  <c r="AR242" i="65"/>
  <c r="AQ242" i="65"/>
  <c r="AP242" i="65"/>
  <c r="AO242" i="65"/>
  <c r="AN242" i="65"/>
  <c r="AM242" i="65"/>
  <c r="AL242" i="65"/>
  <c r="AK242" i="65"/>
  <c r="AJ242" i="65"/>
  <c r="AZ241" i="65"/>
  <c r="AY241" i="65"/>
  <c r="AX241" i="65"/>
  <c r="AW241" i="65"/>
  <c r="AV241" i="65"/>
  <c r="AU241" i="65"/>
  <c r="AT241" i="65"/>
  <c r="AS241" i="65"/>
  <c r="AR241" i="65"/>
  <c r="AQ241" i="65"/>
  <c r="AP241" i="65"/>
  <c r="AO241" i="65"/>
  <c r="AN241" i="65"/>
  <c r="AM241" i="65"/>
  <c r="AL241" i="65"/>
  <c r="AK241" i="65"/>
  <c r="AJ241" i="65"/>
  <c r="AZ240" i="65"/>
  <c r="AY240" i="65"/>
  <c r="AX240" i="65"/>
  <c r="AW240" i="65"/>
  <c r="AV240" i="65"/>
  <c r="AU240" i="65"/>
  <c r="AT240" i="65"/>
  <c r="AS240" i="65"/>
  <c r="AR240" i="65"/>
  <c r="AQ240" i="65"/>
  <c r="AP240" i="65"/>
  <c r="AO240" i="65"/>
  <c r="AN240" i="65"/>
  <c r="AM240" i="65"/>
  <c r="AL240" i="65"/>
  <c r="AK240" i="65"/>
  <c r="AJ240" i="65"/>
  <c r="AZ239" i="65"/>
  <c r="AY239" i="65"/>
  <c r="AX239" i="65"/>
  <c r="AW239" i="65"/>
  <c r="AV239" i="65"/>
  <c r="AU239" i="65"/>
  <c r="AT239" i="65"/>
  <c r="AS239" i="65"/>
  <c r="AR239" i="65"/>
  <c r="AQ239" i="65"/>
  <c r="AP239" i="65"/>
  <c r="AO239" i="65"/>
  <c r="AN239" i="65"/>
  <c r="AM239" i="65"/>
  <c r="AL239" i="65"/>
  <c r="AK239" i="65"/>
  <c r="AJ239" i="65"/>
  <c r="AZ238" i="65"/>
  <c r="AY238" i="65"/>
  <c r="AX238" i="65"/>
  <c r="AW238" i="65"/>
  <c r="AV238" i="65"/>
  <c r="AU238" i="65"/>
  <c r="AT238" i="65"/>
  <c r="AS238" i="65"/>
  <c r="AR238" i="65"/>
  <c r="AQ238" i="65"/>
  <c r="AP238" i="65"/>
  <c r="AO238" i="65"/>
  <c r="AN238" i="65"/>
  <c r="AM238" i="65"/>
  <c r="AL238" i="65"/>
  <c r="AK238" i="65"/>
  <c r="AJ238" i="65"/>
  <c r="AZ237" i="65"/>
  <c r="AY237" i="65"/>
  <c r="AX237" i="65"/>
  <c r="AW237" i="65"/>
  <c r="AV237" i="65"/>
  <c r="AU237" i="65"/>
  <c r="AT237" i="65"/>
  <c r="AS237" i="65"/>
  <c r="AR237" i="65"/>
  <c r="AQ237" i="65"/>
  <c r="AP237" i="65"/>
  <c r="AO237" i="65"/>
  <c r="AN237" i="65"/>
  <c r="AM237" i="65"/>
  <c r="AL237" i="65"/>
  <c r="AK237" i="65"/>
  <c r="AJ237" i="65"/>
  <c r="AZ236" i="65"/>
  <c r="AY236" i="65"/>
  <c r="AX236" i="65"/>
  <c r="AW236" i="65"/>
  <c r="AV236" i="65"/>
  <c r="AU236" i="65"/>
  <c r="AT236" i="65"/>
  <c r="AS236" i="65"/>
  <c r="AR236" i="65"/>
  <c r="AQ236" i="65"/>
  <c r="AP236" i="65"/>
  <c r="AO236" i="65"/>
  <c r="AN236" i="65"/>
  <c r="AM236" i="65"/>
  <c r="AL236" i="65"/>
  <c r="AK236" i="65"/>
  <c r="AJ236" i="65"/>
  <c r="AZ235" i="65"/>
  <c r="AY235" i="65"/>
  <c r="AX235" i="65"/>
  <c r="AW235" i="65"/>
  <c r="AV235" i="65"/>
  <c r="AU235" i="65"/>
  <c r="AT235" i="65"/>
  <c r="AS235" i="65"/>
  <c r="AR235" i="65"/>
  <c r="AQ235" i="65"/>
  <c r="AP235" i="65"/>
  <c r="AO235" i="65"/>
  <c r="AN235" i="65"/>
  <c r="AM235" i="65"/>
  <c r="AL235" i="65"/>
  <c r="AK235" i="65"/>
  <c r="AJ235" i="65"/>
  <c r="AZ234" i="65"/>
  <c r="AY234" i="65"/>
  <c r="AX234" i="65"/>
  <c r="AW234" i="65"/>
  <c r="AV234" i="65"/>
  <c r="AU234" i="65"/>
  <c r="AT234" i="65"/>
  <c r="AS234" i="65"/>
  <c r="AR234" i="65"/>
  <c r="AQ234" i="65"/>
  <c r="AP234" i="65"/>
  <c r="AO234" i="65"/>
  <c r="AN234" i="65"/>
  <c r="AM234" i="65"/>
  <c r="AL234" i="65"/>
  <c r="AK234" i="65"/>
  <c r="AJ234" i="65"/>
  <c r="AZ233" i="65"/>
  <c r="AY233" i="65"/>
  <c r="AX233" i="65"/>
  <c r="AW233" i="65"/>
  <c r="AV233" i="65"/>
  <c r="AU233" i="65"/>
  <c r="AT233" i="65"/>
  <c r="AS233" i="65"/>
  <c r="AR233" i="65"/>
  <c r="AQ233" i="65"/>
  <c r="AP233" i="65"/>
  <c r="AO233" i="65"/>
  <c r="AN233" i="65"/>
  <c r="AM233" i="65"/>
  <c r="AL233" i="65"/>
  <c r="AK233" i="65"/>
  <c r="AJ233" i="65"/>
  <c r="AZ232" i="65"/>
  <c r="AY232" i="65"/>
  <c r="AX232" i="65"/>
  <c r="AW232" i="65"/>
  <c r="AV232" i="65"/>
  <c r="AU232" i="65"/>
  <c r="AT232" i="65"/>
  <c r="AS232" i="65"/>
  <c r="AR232" i="65"/>
  <c r="AQ232" i="65"/>
  <c r="AP232" i="65"/>
  <c r="AO232" i="65"/>
  <c r="AN232" i="65"/>
  <c r="AM232" i="65"/>
  <c r="AL232" i="65"/>
  <c r="AK232" i="65"/>
  <c r="AJ232" i="65"/>
  <c r="AZ231" i="65"/>
  <c r="AY231" i="65"/>
  <c r="AX231" i="65"/>
  <c r="AW231" i="65"/>
  <c r="AV231" i="65"/>
  <c r="AU231" i="65"/>
  <c r="AT231" i="65"/>
  <c r="AS231" i="65"/>
  <c r="AR231" i="65"/>
  <c r="AQ231" i="65"/>
  <c r="AP231" i="65"/>
  <c r="AO231" i="65"/>
  <c r="AN231" i="65"/>
  <c r="AM231" i="65"/>
  <c r="AL231" i="65"/>
  <c r="AK231" i="65"/>
  <c r="AJ231" i="65"/>
  <c r="AZ230" i="65"/>
  <c r="AY230" i="65"/>
  <c r="AX230" i="65"/>
  <c r="AW230" i="65"/>
  <c r="AV230" i="65"/>
  <c r="AU230" i="65"/>
  <c r="AT230" i="65"/>
  <c r="AS230" i="65"/>
  <c r="AR230" i="65"/>
  <c r="AQ230" i="65"/>
  <c r="AP230" i="65"/>
  <c r="AO230" i="65"/>
  <c r="AN230" i="65"/>
  <c r="AM230" i="65"/>
  <c r="AL230" i="65"/>
  <c r="AK230" i="65"/>
  <c r="AJ230" i="65"/>
  <c r="AZ229" i="65"/>
  <c r="AY229" i="65"/>
  <c r="AX229" i="65"/>
  <c r="AW229" i="65"/>
  <c r="AV229" i="65"/>
  <c r="AU229" i="65"/>
  <c r="AT229" i="65"/>
  <c r="AS229" i="65"/>
  <c r="AR229" i="65"/>
  <c r="AQ229" i="65"/>
  <c r="AP229" i="65"/>
  <c r="AO229" i="65"/>
  <c r="AN229" i="65"/>
  <c r="AM229" i="65"/>
  <c r="AL229" i="65"/>
  <c r="AK229" i="65"/>
  <c r="AJ229" i="65"/>
  <c r="AZ228" i="65"/>
  <c r="AY228" i="65"/>
  <c r="AX228" i="65"/>
  <c r="AW228" i="65"/>
  <c r="AV228" i="65"/>
  <c r="AU228" i="65"/>
  <c r="AT228" i="65"/>
  <c r="AS228" i="65"/>
  <c r="AR228" i="65"/>
  <c r="AQ228" i="65"/>
  <c r="AP228" i="65"/>
  <c r="AO228" i="65"/>
  <c r="AN228" i="65"/>
  <c r="AM228" i="65"/>
  <c r="AL228" i="65"/>
  <c r="AK228" i="65"/>
  <c r="AJ228" i="65"/>
  <c r="AZ227" i="65"/>
  <c r="AY227" i="65"/>
  <c r="AX227" i="65"/>
  <c r="AW227" i="65"/>
  <c r="AV227" i="65"/>
  <c r="AU227" i="65"/>
  <c r="AT227" i="65"/>
  <c r="AS227" i="65"/>
  <c r="AR227" i="65"/>
  <c r="AQ227" i="65"/>
  <c r="AP227" i="65"/>
  <c r="AO227" i="65"/>
  <c r="AN227" i="65"/>
  <c r="AM227" i="65"/>
  <c r="AL227" i="65"/>
  <c r="AK227" i="65"/>
  <c r="AJ227" i="65"/>
  <c r="AZ226" i="65"/>
  <c r="AY226" i="65"/>
  <c r="AX226" i="65"/>
  <c r="AW226" i="65"/>
  <c r="AV226" i="65"/>
  <c r="AU226" i="65"/>
  <c r="AT226" i="65"/>
  <c r="AS226" i="65"/>
  <c r="AR226" i="65"/>
  <c r="AQ226" i="65"/>
  <c r="AP226" i="65"/>
  <c r="AO226" i="65"/>
  <c r="AN226" i="65"/>
  <c r="AM226" i="65"/>
  <c r="AL226" i="65"/>
  <c r="AK226" i="65"/>
  <c r="AJ226" i="65"/>
  <c r="AZ225" i="65"/>
  <c r="AY225" i="65"/>
  <c r="AX225" i="65"/>
  <c r="AW225" i="65"/>
  <c r="AV225" i="65"/>
  <c r="AU225" i="65"/>
  <c r="AT225" i="65"/>
  <c r="AS225" i="65"/>
  <c r="AR225" i="65"/>
  <c r="AQ225" i="65"/>
  <c r="AP225" i="65"/>
  <c r="AO225" i="65"/>
  <c r="AN225" i="65"/>
  <c r="AM225" i="65"/>
  <c r="AL225" i="65"/>
  <c r="AK225" i="65"/>
  <c r="AJ225" i="65"/>
  <c r="AZ224" i="65"/>
  <c r="AY224" i="65"/>
  <c r="AX224" i="65"/>
  <c r="AW224" i="65"/>
  <c r="AV224" i="65"/>
  <c r="AU224" i="65"/>
  <c r="AT224" i="65"/>
  <c r="AS224" i="65"/>
  <c r="AR224" i="65"/>
  <c r="AQ224" i="65"/>
  <c r="AP224" i="65"/>
  <c r="AO224" i="65"/>
  <c r="AN224" i="65"/>
  <c r="AM224" i="65"/>
  <c r="AL224" i="65"/>
  <c r="AK224" i="65"/>
  <c r="AJ224" i="65"/>
  <c r="AZ223" i="65"/>
  <c r="AY223" i="65"/>
  <c r="AX223" i="65"/>
  <c r="AW223" i="65"/>
  <c r="AV223" i="65"/>
  <c r="AU223" i="65"/>
  <c r="AT223" i="65"/>
  <c r="AS223" i="65"/>
  <c r="AR223" i="65"/>
  <c r="AQ223" i="65"/>
  <c r="AP223" i="65"/>
  <c r="AO223" i="65"/>
  <c r="AN223" i="65"/>
  <c r="AM223" i="65"/>
  <c r="AL223" i="65"/>
  <c r="AK223" i="65"/>
  <c r="AJ223" i="65"/>
  <c r="AZ222" i="65"/>
  <c r="AY222" i="65"/>
  <c r="AX222" i="65"/>
  <c r="AW222" i="65"/>
  <c r="AV222" i="65"/>
  <c r="AU222" i="65"/>
  <c r="AT222" i="65"/>
  <c r="AS222" i="65"/>
  <c r="AR222" i="65"/>
  <c r="AQ222" i="65"/>
  <c r="AP222" i="65"/>
  <c r="AO222" i="65"/>
  <c r="AN222" i="65"/>
  <c r="AM222" i="65"/>
  <c r="AL222" i="65"/>
  <c r="AK222" i="65"/>
  <c r="AJ222" i="65"/>
  <c r="AZ221" i="65"/>
  <c r="AY221" i="65"/>
  <c r="AX221" i="65"/>
  <c r="AW221" i="65"/>
  <c r="AV221" i="65"/>
  <c r="AU221" i="65"/>
  <c r="AT221" i="65"/>
  <c r="AS221" i="65"/>
  <c r="AR221" i="65"/>
  <c r="AQ221" i="65"/>
  <c r="AP221" i="65"/>
  <c r="AO221" i="65"/>
  <c r="AN221" i="65"/>
  <c r="AM221" i="65"/>
  <c r="AL221" i="65"/>
  <c r="AK221" i="65"/>
  <c r="AJ221" i="65"/>
  <c r="AZ220" i="65"/>
  <c r="AY220" i="65"/>
  <c r="AX220" i="65"/>
  <c r="AW220" i="65"/>
  <c r="AV220" i="65"/>
  <c r="AU220" i="65"/>
  <c r="AT220" i="65"/>
  <c r="AS220" i="65"/>
  <c r="AR220" i="65"/>
  <c r="AQ220" i="65"/>
  <c r="AP220" i="65"/>
  <c r="AO220" i="65"/>
  <c r="AN220" i="65"/>
  <c r="AM220" i="65"/>
  <c r="AL220" i="65"/>
  <c r="AK220" i="65"/>
  <c r="AJ220" i="65"/>
  <c r="AZ219" i="65"/>
  <c r="AY219" i="65"/>
  <c r="AX219" i="65"/>
  <c r="AW219" i="65"/>
  <c r="AV219" i="65"/>
  <c r="AU219" i="65"/>
  <c r="AT219" i="65"/>
  <c r="AS219" i="65"/>
  <c r="AR219" i="65"/>
  <c r="AQ219" i="65"/>
  <c r="AP219" i="65"/>
  <c r="AO219" i="65"/>
  <c r="AN219" i="65"/>
  <c r="AM219" i="65"/>
  <c r="AL219" i="65"/>
  <c r="AK219" i="65"/>
  <c r="AJ219" i="65"/>
  <c r="AZ218" i="65"/>
  <c r="AY218" i="65"/>
  <c r="AX218" i="65"/>
  <c r="AW218" i="65"/>
  <c r="AV218" i="65"/>
  <c r="AU218" i="65"/>
  <c r="AT218" i="65"/>
  <c r="AS218" i="65"/>
  <c r="AR218" i="65"/>
  <c r="AQ218" i="65"/>
  <c r="AP218" i="65"/>
  <c r="AO218" i="65"/>
  <c r="AN218" i="65"/>
  <c r="AM218" i="65"/>
  <c r="AL218" i="65"/>
  <c r="AK218" i="65"/>
  <c r="AJ218" i="65"/>
  <c r="AZ217" i="65"/>
  <c r="AY217" i="65"/>
  <c r="AX217" i="65"/>
  <c r="AW217" i="65"/>
  <c r="AV217" i="65"/>
  <c r="AU217" i="65"/>
  <c r="AT217" i="65"/>
  <c r="AS217" i="65"/>
  <c r="AR217" i="65"/>
  <c r="AQ217" i="65"/>
  <c r="AP217" i="65"/>
  <c r="AO217" i="65"/>
  <c r="AN217" i="65"/>
  <c r="AM217" i="65"/>
  <c r="AL217" i="65"/>
  <c r="AK217" i="65"/>
  <c r="AJ217" i="65"/>
  <c r="AZ216" i="65"/>
  <c r="AY216" i="65"/>
  <c r="AX216" i="65"/>
  <c r="AW216" i="65"/>
  <c r="AV216" i="65"/>
  <c r="AU216" i="65"/>
  <c r="AT216" i="65"/>
  <c r="AS216" i="65"/>
  <c r="AR216" i="65"/>
  <c r="AQ216" i="65"/>
  <c r="AP216" i="65"/>
  <c r="AO216" i="65"/>
  <c r="AN216" i="65"/>
  <c r="AM216" i="65"/>
  <c r="AL216" i="65"/>
  <c r="AK216" i="65"/>
  <c r="AJ216" i="65"/>
  <c r="AZ215" i="65"/>
  <c r="AY215" i="65"/>
  <c r="AX215" i="65"/>
  <c r="AW215" i="65"/>
  <c r="AV215" i="65"/>
  <c r="AU215" i="65"/>
  <c r="AT215" i="65"/>
  <c r="AS215" i="65"/>
  <c r="AR215" i="65"/>
  <c r="AQ215" i="65"/>
  <c r="AP215" i="65"/>
  <c r="AO215" i="65"/>
  <c r="AN215" i="65"/>
  <c r="AM215" i="65"/>
  <c r="AL215" i="65"/>
  <c r="AK215" i="65"/>
  <c r="AJ215" i="65"/>
  <c r="AZ214" i="65"/>
  <c r="AY214" i="65"/>
  <c r="AX214" i="65"/>
  <c r="AW214" i="65"/>
  <c r="AV214" i="65"/>
  <c r="AU214" i="65"/>
  <c r="AT214" i="65"/>
  <c r="AS214" i="65"/>
  <c r="AR214" i="65"/>
  <c r="AQ214" i="65"/>
  <c r="AP214" i="65"/>
  <c r="AO214" i="65"/>
  <c r="AN214" i="65"/>
  <c r="AM214" i="65"/>
  <c r="AL214" i="65"/>
  <c r="AK214" i="65"/>
  <c r="AJ214" i="65"/>
  <c r="AZ213" i="65"/>
  <c r="AY213" i="65"/>
  <c r="AX213" i="65"/>
  <c r="AW213" i="65"/>
  <c r="AV213" i="65"/>
  <c r="AU213" i="65"/>
  <c r="AT213" i="65"/>
  <c r="AS213" i="65"/>
  <c r="AR213" i="65"/>
  <c r="AQ213" i="65"/>
  <c r="AP213" i="65"/>
  <c r="AO213" i="65"/>
  <c r="AN213" i="65"/>
  <c r="AM213" i="65"/>
  <c r="AL213" i="65"/>
  <c r="AK213" i="65"/>
  <c r="AJ213" i="65"/>
  <c r="AZ212" i="65"/>
  <c r="AY212" i="65"/>
  <c r="AX212" i="65"/>
  <c r="AW212" i="65"/>
  <c r="AV212" i="65"/>
  <c r="AU212" i="65"/>
  <c r="AT212" i="65"/>
  <c r="AS212" i="65"/>
  <c r="AR212" i="65"/>
  <c r="AQ212" i="65"/>
  <c r="AP212" i="65"/>
  <c r="AO212" i="65"/>
  <c r="AN212" i="65"/>
  <c r="AM212" i="65"/>
  <c r="AL212" i="65"/>
  <c r="AK212" i="65"/>
  <c r="AJ212" i="65"/>
  <c r="AZ211" i="65"/>
  <c r="AY211" i="65"/>
  <c r="AX211" i="65"/>
  <c r="AW211" i="65"/>
  <c r="AV211" i="65"/>
  <c r="AU211" i="65"/>
  <c r="AT211" i="65"/>
  <c r="AS211" i="65"/>
  <c r="AR211" i="65"/>
  <c r="AQ211" i="65"/>
  <c r="AP211" i="65"/>
  <c r="AO211" i="65"/>
  <c r="AN211" i="65"/>
  <c r="AM211" i="65"/>
  <c r="AL211" i="65"/>
  <c r="AK211" i="65"/>
  <c r="AJ211" i="65"/>
  <c r="AZ210" i="65"/>
  <c r="AY210" i="65"/>
  <c r="AX210" i="65"/>
  <c r="AW210" i="65"/>
  <c r="AV210" i="65"/>
  <c r="AU210" i="65"/>
  <c r="AT210" i="65"/>
  <c r="AS210" i="65"/>
  <c r="AR210" i="65"/>
  <c r="AQ210" i="65"/>
  <c r="AP210" i="65"/>
  <c r="AO210" i="65"/>
  <c r="AN210" i="65"/>
  <c r="AM210" i="65"/>
  <c r="AL210" i="65"/>
  <c r="AK210" i="65"/>
  <c r="AJ210" i="65"/>
  <c r="AZ209" i="65"/>
  <c r="AY209" i="65"/>
  <c r="AX209" i="65"/>
  <c r="AW209" i="65"/>
  <c r="AV209" i="65"/>
  <c r="AU209" i="65"/>
  <c r="AT209" i="65"/>
  <c r="AS209" i="65"/>
  <c r="AR209" i="65"/>
  <c r="AQ209" i="65"/>
  <c r="AP209" i="65"/>
  <c r="AO209" i="65"/>
  <c r="AN209" i="65"/>
  <c r="AM209" i="65"/>
  <c r="AL209" i="65"/>
  <c r="AK209" i="65"/>
  <c r="AJ209" i="65"/>
  <c r="AZ208" i="65"/>
  <c r="AY208" i="65"/>
  <c r="AX208" i="65"/>
  <c r="AW208" i="65"/>
  <c r="AV208" i="65"/>
  <c r="AU208" i="65"/>
  <c r="AT208" i="65"/>
  <c r="AS208" i="65"/>
  <c r="AR208" i="65"/>
  <c r="AQ208" i="65"/>
  <c r="AP208" i="65"/>
  <c r="AO208" i="65"/>
  <c r="AN208" i="65"/>
  <c r="AM208" i="65"/>
  <c r="AL208" i="65"/>
  <c r="AK208" i="65"/>
  <c r="AJ208" i="65"/>
  <c r="AZ207" i="65"/>
  <c r="AY207" i="65"/>
  <c r="AX207" i="65"/>
  <c r="AW207" i="65"/>
  <c r="AV207" i="65"/>
  <c r="AU207" i="65"/>
  <c r="AT207" i="65"/>
  <c r="AS207" i="65"/>
  <c r="AR207" i="65"/>
  <c r="AQ207" i="65"/>
  <c r="AP207" i="65"/>
  <c r="AO207" i="65"/>
  <c r="AN207" i="65"/>
  <c r="AM207" i="65"/>
  <c r="AL207" i="65"/>
  <c r="AK207" i="65"/>
  <c r="AJ207" i="65"/>
  <c r="AZ206" i="65"/>
  <c r="AY206" i="65"/>
  <c r="AX206" i="65"/>
  <c r="AW206" i="65"/>
  <c r="AV206" i="65"/>
  <c r="AU206" i="65"/>
  <c r="AT206" i="65"/>
  <c r="AS206" i="65"/>
  <c r="AR206" i="65"/>
  <c r="AQ206" i="65"/>
  <c r="AP206" i="65"/>
  <c r="AO206" i="65"/>
  <c r="AN206" i="65"/>
  <c r="AM206" i="65"/>
  <c r="AL206" i="65"/>
  <c r="AK206" i="65"/>
  <c r="AJ206" i="65"/>
  <c r="AZ205" i="65"/>
  <c r="AY205" i="65"/>
  <c r="AX205" i="65"/>
  <c r="AW205" i="65"/>
  <c r="AV205" i="65"/>
  <c r="AU205" i="65"/>
  <c r="AT205" i="65"/>
  <c r="AS205" i="65"/>
  <c r="AR205" i="65"/>
  <c r="AQ205" i="65"/>
  <c r="AP205" i="65"/>
  <c r="AO205" i="65"/>
  <c r="AN205" i="65"/>
  <c r="AM205" i="65"/>
  <c r="AL205" i="65"/>
  <c r="AK205" i="65"/>
  <c r="AJ205" i="65"/>
  <c r="AZ204" i="65"/>
  <c r="AY204" i="65"/>
  <c r="AX204" i="65"/>
  <c r="AW204" i="65"/>
  <c r="AV204" i="65"/>
  <c r="AU204" i="65"/>
  <c r="AT204" i="65"/>
  <c r="AS204" i="65"/>
  <c r="AR204" i="65"/>
  <c r="AQ204" i="65"/>
  <c r="AP204" i="65"/>
  <c r="AO204" i="65"/>
  <c r="AN204" i="65"/>
  <c r="AM204" i="65"/>
  <c r="AL204" i="65"/>
  <c r="AK204" i="65"/>
  <c r="AJ204" i="65"/>
  <c r="AZ203" i="65"/>
  <c r="AY203" i="65"/>
  <c r="AX203" i="65"/>
  <c r="AW203" i="65"/>
  <c r="AV203" i="65"/>
  <c r="AU203" i="65"/>
  <c r="AT203" i="65"/>
  <c r="AS203" i="65"/>
  <c r="AR203" i="65"/>
  <c r="AQ203" i="65"/>
  <c r="AP203" i="65"/>
  <c r="AO203" i="65"/>
  <c r="AN203" i="65"/>
  <c r="AM203" i="65"/>
  <c r="AL203" i="65"/>
  <c r="AK203" i="65"/>
  <c r="AJ203" i="65"/>
  <c r="AZ202" i="65"/>
  <c r="AY202" i="65"/>
  <c r="AX202" i="65"/>
  <c r="AW202" i="65"/>
  <c r="AV202" i="65"/>
  <c r="AU202" i="65"/>
  <c r="AT202" i="65"/>
  <c r="AS202" i="65"/>
  <c r="AR202" i="65"/>
  <c r="AQ202" i="65"/>
  <c r="AP202" i="65"/>
  <c r="AO202" i="65"/>
  <c r="AN202" i="65"/>
  <c r="AM202" i="65"/>
  <c r="AL202" i="65"/>
  <c r="AK202" i="65"/>
  <c r="AJ202" i="65"/>
  <c r="AZ201" i="65"/>
  <c r="AY201" i="65"/>
  <c r="AX201" i="65"/>
  <c r="AW201" i="65"/>
  <c r="AV201" i="65"/>
  <c r="AU201" i="65"/>
  <c r="AT201" i="65"/>
  <c r="AS201" i="65"/>
  <c r="AR201" i="65"/>
  <c r="AQ201" i="65"/>
  <c r="AP201" i="65"/>
  <c r="AO201" i="65"/>
  <c r="AN201" i="65"/>
  <c r="AM201" i="65"/>
  <c r="AL201" i="65"/>
  <c r="AK201" i="65"/>
  <c r="AJ201" i="65"/>
  <c r="AZ200" i="65"/>
  <c r="AY200" i="65"/>
  <c r="AX200" i="65"/>
  <c r="AW200" i="65"/>
  <c r="AV200" i="65"/>
  <c r="AU200" i="65"/>
  <c r="AT200" i="65"/>
  <c r="AS200" i="65"/>
  <c r="AR200" i="65"/>
  <c r="AQ200" i="65"/>
  <c r="AP200" i="65"/>
  <c r="AO200" i="65"/>
  <c r="AN200" i="65"/>
  <c r="AM200" i="65"/>
  <c r="AL200" i="65"/>
  <c r="AK200" i="65"/>
  <c r="AJ200" i="65"/>
  <c r="AZ199" i="65"/>
  <c r="AY199" i="65"/>
  <c r="AX199" i="65"/>
  <c r="AW199" i="65"/>
  <c r="AV199" i="65"/>
  <c r="AU199" i="65"/>
  <c r="AT199" i="65"/>
  <c r="AS199" i="65"/>
  <c r="AR199" i="65"/>
  <c r="AQ199" i="65"/>
  <c r="AP199" i="65"/>
  <c r="AO199" i="65"/>
  <c r="AN199" i="65"/>
  <c r="AM199" i="65"/>
  <c r="AL199" i="65"/>
  <c r="AK199" i="65"/>
  <c r="AJ199" i="65"/>
  <c r="AZ198" i="65"/>
  <c r="AY198" i="65"/>
  <c r="AX198" i="65"/>
  <c r="AW198" i="65"/>
  <c r="AV198" i="65"/>
  <c r="AU198" i="65"/>
  <c r="AT198" i="65"/>
  <c r="AS198" i="65"/>
  <c r="AR198" i="65"/>
  <c r="AQ198" i="65"/>
  <c r="AP198" i="65"/>
  <c r="AO198" i="65"/>
  <c r="AN198" i="65"/>
  <c r="AM198" i="65"/>
  <c r="AL198" i="65"/>
  <c r="AK198" i="65"/>
  <c r="AJ198" i="65"/>
  <c r="AZ197" i="65"/>
  <c r="AY197" i="65"/>
  <c r="AX197" i="65"/>
  <c r="AW197" i="65"/>
  <c r="AV197" i="65"/>
  <c r="AU197" i="65"/>
  <c r="AT197" i="65"/>
  <c r="AS197" i="65"/>
  <c r="AR197" i="65"/>
  <c r="AQ197" i="65"/>
  <c r="AP197" i="65"/>
  <c r="AO197" i="65"/>
  <c r="AN197" i="65"/>
  <c r="AM197" i="65"/>
  <c r="AL197" i="65"/>
  <c r="AK197" i="65"/>
  <c r="AJ197" i="65"/>
  <c r="AZ196" i="65"/>
  <c r="AY196" i="65"/>
  <c r="AX196" i="65"/>
  <c r="AW196" i="65"/>
  <c r="AV196" i="65"/>
  <c r="AU196" i="65"/>
  <c r="AT196" i="65"/>
  <c r="AS196" i="65"/>
  <c r="AR196" i="65"/>
  <c r="AQ196" i="65"/>
  <c r="AP196" i="65"/>
  <c r="AO196" i="65"/>
  <c r="AN196" i="65"/>
  <c r="AM196" i="65"/>
  <c r="AL196" i="65"/>
  <c r="AK196" i="65"/>
  <c r="AJ196" i="65"/>
  <c r="AZ195" i="65"/>
  <c r="AY195" i="65"/>
  <c r="AX195" i="65"/>
  <c r="AW195" i="65"/>
  <c r="AV195" i="65"/>
  <c r="AU195" i="65"/>
  <c r="AT195" i="65"/>
  <c r="AS195" i="65"/>
  <c r="AR195" i="65"/>
  <c r="AQ195" i="65"/>
  <c r="AP195" i="65"/>
  <c r="AO195" i="65"/>
  <c r="AN195" i="65"/>
  <c r="AM195" i="65"/>
  <c r="AL195" i="65"/>
  <c r="AK195" i="65"/>
  <c r="AJ195" i="65"/>
  <c r="AZ194" i="65"/>
  <c r="AY194" i="65"/>
  <c r="AX194" i="65"/>
  <c r="AW194" i="65"/>
  <c r="AV194" i="65"/>
  <c r="AU194" i="65"/>
  <c r="AT194" i="65"/>
  <c r="AS194" i="65"/>
  <c r="AR194" i="65"/>
  <c r="AQ194" i="65"/>
  <c r="AP194" i="65"/>
  <c r="AO194" i="65"/>
  <c r="AN194" i="65"/>
  <c r="AM194" i="65"/>
  <c r="AL194" i="65"/>
  <c r="AK194" i="65"/>
  <c r="AJ194" i="65"/>
  <c r="AZ193" i="65"/>
  <c r="AY193" i="65"/>
  <c r="AX193" i="65"/>
  <c r="AW193" i="65"/>
  <c r="AV193" i="65"/>
  <c r="AU193" i="65"/>
  <c r="AT193" i="65"/>
  <c r="AS193" i="65"/>
  <c r="AR193" i="65"/>
  <c r="AQ193" i="65"/>
  <c r="AP193" i="65"/>
  <c r="AO193" i="65"/>
  <c r="AN193" i="65"/>
  <c r="AM193" i="65"/>
  <c r="AL193" i="65"/>
  <c r="AK193" i="65"/>
  <c r="AJ193" i="65"/>
  <c r="AZ192" i="65"/>
  <c r="AY192" i="65"/>
  <c r="AX192" i="65"/>
  <c r="AW192" i="65"/>
  <c r="AV192" i="65"/>
  <c r="AU192" i="65"/>
  <c r="AT192" i="65"/>
  <c r="AS192" i="65"/>
  <c r="AR192" i="65"/>
  <c r="AQ192" i="65"/>
  <c r="AP192" i="65"/>
  <c r="AO192" i="65"/>
  <c r="AN192" i="65"/>
  <c r="AM192" i="65"/>
  <c r="AL192" i="65"/>
  <c r="AK192" i="65"/>
  <c r="AJ192" i="65"/>
  <c r="AZ191" i="65"/>
  <c r="AY191" i="65"/>
  <c r="AX191" i="65"/>
  <c r="AW191" i="65"/>
  <c r="AV191" i="65"/>
  <c r="AU191" i="65"/>
  <c r="AT191" i="65"/>
  <c r="AS191" i="65"/>
  <c r="AR191" i="65"/>
  <c r="AQ191" i="65"/>
  <c r="AP191" i="65"/>
  <c r="AO191" i="65"/>
  <c r="AN191" i="65"/>
  <c r="AM191" i="65"/>
  <c r="AL191" i="65"/>
  <c r="AK191" i="65"/>
  <c r="AJ191" i="65"/>
  <c r="AZ190" i="65"/>
  <c r="AY190" i="65"/>
  <c r="AX190" i="65"/>
  <c r="AW190" i="65"/>
  <c r="AV190" i="65"/>
  <c r="AU190" i="65"/>
  <c r="AT190" i="65"/>
  <c r="AS190" i="65"/>
  <c r="AR190" i="65"/>
  <c r="AQ190" i="65"/>
  <c r="AP190" i="65"/>
  <c r="AO190" i="65"/>
  <c r="AN190" i="65"/>
  <c r="AM190" i="65"/>
  <c r="AL190" i="65"/>
  <c r="AK190" i="65"/>
  <c r="AJ190" i="65"/>
  <c r="AZ189" i="65"/>
  <c r="AY189" i="65"/>
  <c r="AX189" i="65"/>
  <c r="AW189" i="65"/>
  <c r="AV189" i="65"/>
  <c r="AU189" i="65"/>
  <c r="AT189" i="65"/>
  <c r="AS189" i="65"/>
  <c r="AR189" i="65"/>
  <c r="AQ189" i="65"/>
  <c r="AP189" i="65"/>
  <c r="AO189" i="65"/>
  <c r="AN189" i="65"/>
  <c r="AM189" i="65"/>
  <c r="AL189" i="65"/>
  <c r="AK189" i="65"/>
  <c r="AJ189" i="65"/>
  <c r="AZ188" i="65"/>
  <c r="AY188" i="65"/>
  <c r="AX188" i="65"/>
  <c r="AW188" i="65"/>
  <c r="AV188" i="65"/>
  <c r="AU188" i="65"/>
  <c r="AT188" i="65"/>
  <c r="AS188" i="65"/>
  <c r="AR188" i="65"/>
  <c r="AQ188" i="65"/>
  <c r="AP188" i="65"/>
  <c r="AO188" i="65"/>
  <c r="AN188" i="65"/>
  <c r="AM188" i="65"/>
  <c r="AL188" i="65"/>
  <c r="AK188" i="65"/>
  <c r="AJ188" i="65"/>
  <c r="AZ187" i="65"/>
  <c r="AY187" i="65"/>
  <c r="AX187" i="65"/>
  <c r="AW187" i="65"/>
  <c r="AV187" i="65"/>
  <c r="AU187" i="65"/>
  <c r="AT187" i="65"/>
  <c r="AS187" i="65"/>
  <c r="AR187" i="65"/>
  <c r="AQ187" i="65"/>
  <c r="AP187" i="65"/>
  <c r="AO187" i="65"/>
  <c r="AN187" i="65"/>
  <c r="AM187" i="65"/>
  <c r="AL187" i="65"/>
  <c r="AK187" i="65"/>
  <c r="AJ187" i="65"/>
  <c r="AZ186" i="65"/>
  <c r="AY186" i="65"/>
  <c r="AX186" i="65"/>
  <c r="AW186" i="65"/>
  <c r="AV186" i="65"/>
  <c r="AU186" i="65"/>
  <c r="AT186" i="65"/>
  <c r="AS186" i="65"/>
  <c r="AR186" i="65"/>
  <c r="AQ186" i="65"/>
  <c r="AP186" i="65"/>
  <c r="AO186" i="65"/>
  <c r="AN186" i="65"/>
  <c r="AM186" i="65"/>
  <c r="AL186" i="65"/>
  <c r="AK186" i="65"/>
  <c r="AJ186" i="65"/>
  <c r="AZ185" i="65"/>
  <c r="AY185" i="65"/>
  <c r="AX185" i="65"/>
  <c r="AW185" i="65"/>
  <c r="AV185" i="65"/>
  <c r="AU185" i="65"/>
  <c r="AT185" i="65"/>
  <c r="AS185" i="65"/>
  <c r="AR185" i="65"/>
  <c r="AQ185" i="65"/>
  <c r="AP185" i="65"/>
  <c r="AO185" i="65"/>
  <c r="AN185" i="65"/>
  <c r="AM185" i="65"/>
  <c r="AL185" i="65"/>
  <c r="AK185" i="65"/>
  <c r="AJ185" i="65"/>
  <c r="AZ184" i="65"/>
  <c r="AY184" i="65"/>
  <c r="AX184" i="65"/>
  <c r="AW184" i="65"/>
  <c r="AV184" i="65"/>
  <c r="AU184" i="65"/>
  <c r="AT184" i="65"/>
  <c r="AS184" i="65"/>
  <c r="AR184" i="65"/>
  <c r="AQ184" i="65"/>
  <c r="AP184" i="65"/>
  <c r="AO184" i="65"/>
  <c r="AN184" i="65"/>
  <c r="AM184" i="65"/>
  <c r="AL184" i="65"/>
  <c r="AK184" i="65"/>
  <c r="AJ184" i="65"/>
  <c r="AZ183" i="65"/>
  <c r="AY183" i="65"/>
  <c r="AX183" i="65"/>
  <c r="AW183" i="65"/>
  <c r="AV183" i="65"/>
  <c r="AU183" i="65"/>
  <c r="AT183" i="65"/>
  <c r="AS183" i="65"/>
  <c r="AR183" i="65"/>
  <c r="AQ183" i="65"/>
  <c r="AP183" i="65"/>
  <c r="AO183" i="65"/>
  <c r="AN183" i="65"/>
  <c r="AM183" i="65"/>
  <c r="AL183" i="65"/>
  <c r="AK183" i="65"/>
  <c r="AJ183" i="65"/>
  <c r="AZ182" i="65"/>
  <c r="AY182" i="65"/>
  <c r="AX182" i="65"/>
  <c r="AW182" i="65"/>
  <c r="AV182" i="65"/>
  <c r="AU182" i="65"/>
  <c r="AT182" i="65"/>
  <c r="AS182" i="65"/>
  <c r="AR182" i="65"/>
  <c r="AQ182" i="65"/>
  <c r="AP182" i="65"/>
  <c r="AO182" i="65"/>
  <c r="AN182" i="65"/>
  <c r="AM182" i="65"/>
  <c r="AL182" i="65"/>
  <c r="AK182" i="65"/>
  <c r="AJ182" i="65"/>
  <c r="AZ181" i="65"/>
  <c r="AY181" i="65"/>
  <c r="AX181" i="65"/>
  <c r="AW181" i="65"/>
  <c r="AV181" i="65"/>
  <c r="AU181" i="65"/>
  <c r="AT181" i="65"/>
  <c r="AS181" i="65"/>
  <c r="AR181" i="65"/>
  <c r="AQ181" i="65"/>
  <c r="AP181" i="65"/>
  <c r="AO181" i="65"/>
  <c r="AN181" i="65"/>
  <c r="AM181" i="65"/>
  <c r="AL181" i="65"/>
  <c r="AK181" i="65"/>
  <c r="AJ181" i="65"/>
  <c r="AZ180" i="65"/>
  <c r="AY180" i="65"/>
  <c r="AX180" i="65"/>
  <c r="AW180" i="65"/>
  <c r="AV180" i="65"/>
  <c r="AU180" i="65"/>
  <c r="AT180" i="65"/>
  <c r="AS180" i="65"/>
  <c r="AR180" i="65"/>
  <c r="AQ180" i="65"/>
  <c r="AP180" i="65"/>
  <c r="AO180" i="65"/>
  <c r="AN180" i="65"/>
  <c r="AM180" i="65"/>
  <c r="AL180" i="65"/>
  <c r="AK180" i="65"/>
  <c r="AJ180" i="65"/>
  <c r="AZ179" i="65"/>
  <c r="AY179" i="65"/>
  <c r="AX179" i="65"/>
  <c r="AW179" i="65"/>
  <c r="AV179" i="65"/>
  <c r="AU179" i="65"/>
  <c r="AT179" i="65"/>
  <c r="AS179" i="65"/>
  <c r="AR179" i="65"/>
  <c r="AQ179" i="65"/>
  <c r="AP179" i="65"/>
  <c r="AO179" i="65"/>
  <c r="AN179" i="65"/>
  <c r="AM179" i="65"/>
  <c r="AL179" i="65"/>
  <c r="AK179" i="65"/>
  <c r="AJ179" i="65"/>
  <c r="AZ178" i="65"/>
  <c r="AY178" i="65"/>
  <c r="AX178" i="65"/>
  <c r="AW178" i="65"/>
  <c r="AV178" i="65"/>
  <c r="AU178" i="65"/>
  <c r="AT178" i="65"/>
  <c r="AS178" i="65"/>
  <c r="AR178" i="65"/>
  <c r="AQ178" i="65"/>
  <c r="AP178" i="65"/>
  <c r="AO178" i="65"/>
  <c r="AN178" i="65"/>
  <c r="AM178" i="65"/>
  <c r="AL178" i="65"/>
  <c r="AK178" i="65"/>
  <c r="AJ178" i="65"/>
  <c r="AZ177" i="65"/>
  <c r="AY177" i="65"/>
  <c r="AX177" i="65"/>
  <c r="AW177" i="65"/>
  <c r="AV177" i="65"/>
  <c r="AU177" i="65"/>
  <c r="AT177" i="65"/>
  <c r="AS177" i="65"/>
  <c r="AR177" i="65"/>
  <c r="AQ177" i="65"/>
  <c r="AP177" i="65"/>
  <c r="AO177" i="65"/>
  <c r="AN177" i="65"/>
  <c r="AM177" i="65"/>
  <c r="AL177" i="65"/>
  <c r="AK177" i="65"/>
  <c r="AJ177" i="65"/>
  <c r="AZ176" i="65"/>
  <c r="AY176" i="65"/>
  <c r="AX176" i="65"/>
  <c r="AW176" i="65"/>
  <c r="AV176" i="65"/>
  <c r="AU176" i="65"/>
  <c r="AT176" i="65"/>
  <c r="AS176" i="65"/>
  <c r="AR176" i="65"/>
  <c r="AQ176" i="65"/>
  <c r="AP176" i="65"/>
  <c r="AO176" i="65"/>
  <c r="AN176" i="65"/>
  <c r="AM176" i="65"/>
  <c r="AL176" i="65"/>
  <c r="AK176" i="65"/>
  <c r="AJ176" i="65"/>
  <c r="AZ175" i="65"/>
  <c r="AY175" i="65"/>
  <c r="AX175" i="65"/>
  <c r="AW175" i="65"/>
  <c r="AV175" i="65"/>
  <c r="AU175" i="65"/>
  <c r="AT175" i="65"/>
  <c r="AS175" i="65"/>
  <c r="AR175" i="65"/>
  <c r="AQ175" i="65"/>
  <c r="AP175" i="65"/>
  <c r="AO175" i="65"/>
  <c r="AN175" i="65"/>
  <c r="AM175" i="65"/>
  <c r="AL175" i="65"/>
  <c r="AK175" i="65"/>
  <c r="AJ175" i="65"/>
  <c r="AZ174" i="65"/>
  <c r="AY174" i="65"/>
  <c r="AX174" i="65"/>
  <c r="AW174" i="65"/>
  <c r="AV174" i="65"/>
  <c r="AU174" i="65"/>
  <c r="AT174" i="65"/>
  <c r="AS174" i="65"/>
  <c r="AR174" i="65"/>
  <c r="AQ174" i="65"/>
  <c r="AP174" i="65"/>
  <c r="AO174" i="65"/>
  <c r="AN174" i="65"/>
  <c r="AM174" i="65"/>
  <c r="AL174" i="65"/>
  <c r="AK174" i="65"/>
  <c r="AJ174" i="65"/>
  <c r="AZ173" i="65"/>
  <c r="AY173" i="65"/>
  <c r="AX173" i="65"/>
  <c r="AW173" i="65"/>
  <c r="AV173" i="65"/>
  <c r="AU173" i="65"/>
  <c r="AT173" i="65"/>
  <c r="AS173" i="65"/>
  <c r="AR173" i="65"/>
  <c r="AQ173" i="65"/>
  <c r="AP173" i="65"/>
  <c r="AO173" i="65"/>
  <c r="AN173" i="65"/>
  <c r="AM173" i="65"/>
  <c r="AL173" i="65"/>
  <c r="AK173" i="65"/>
  <c r="AJ173" i="65"/>
  <c r="AZ172" i="65"/>
  <c r="AY172" i="65"/>
  <c r="AX172" i="65"/>
  <c r="AW172" i="65"/>
  <c r="AV172" i="65"/>
  <c r="AU172" i="65"/>
  <c r="AT172" i="65"/>
  <c r="AS172" i="65"/>
  <c r="AR172" i="65"/>
  <c r="AQ172" i="65"/>
  <c r="AP172" i="65"/>
  <c r="AO172" i="65"/>
  <c r="AN172" i="65"/>
  <c r="AM172" i="65"/>
  <c r="AL172" i="65"/>
  <c r="AK172" i="65"/>
  <c r="AJ172" i="65"/>
  <c r="AZ171" i="65"/>
  <c r="AY171" i="65"/>
  <c r="AX171" i="65"/>
  <c r="AW171" i="65"/>
  <c r="AV171" i="65"/>
  <c r="AU171" i="65"/>
  <c r="AT171" i="65"/>
  <c r="AS171" i="65"/>
  <c r="AR171" i="65"/>
  <c r="AQ171" i="65"/>
  <c r="AP171" i="65"/>
  <c r="AO171" i="65"/>
  <c r="AN171" i="65"/>
  <c r="AM171" i="65"/>
  <c r="AL171" i="65"/>
  <c r="AK171" i="65"/>
  <c r="AJ171" i="65"/>
  <c r="AZ170" i="65"/>
  <c r="AY170" i="65"/>
  <c r="AX170" i="65"/>
  <c r="AW170" i="65"/>
  <c r="AV170" i="65"/>
  <c r="AU170" i="65"/>
  <c r="AT170" i="65"/>
  <c r="AS170" i="65"/>
  <c r="AR170" i="65"/>
  <c r="AQ170" i="65"/>
  <c r="AP170" i="65"/>
  <c r="AO170" i="65"/>
  <c r="AN170" i="65"/>
  <c r="AM170" i="65"/>
  <c r="AL170" i="65"/>
  <c r="AK170" i="65"/>
  <c r="AJ170" i="65"/>
  <c r="AZ169" i="65"/>
  <c r="AY169" i="65"/>
  <c r="AX169" i="65"/>
  <c r="AW169" i="65"/>
  <c r="AV169" i="65"/>
  <c r="AU169" i="65"/>
  <c r="AT169" i="65"/>
  <c r="AS169" i="65"/>
  <c r="AR169" i="65"/>
  <c r="AQ169" i="65"/>
  <c r="AP169" i="65"/>
  <c r="AO169" i="65"/>
  <c r="AN169" i="65"/>
  <c r="AM169" i="65"/>
  <c r="AL169" i="65"/>
  <c r="AK169" i="65"/>
  <c r="AJ169" i="65"/>
  <c r="AZ168" i="65"/>
  <c r="AY168" i="65"/>
  <c r="AX168" i="65"/>
  <c r="AW168" i="65"/>
  <c r="AV168" i="65"/>
  <c r="AU168" i="65"/>
  <c r="AT168" i="65"/>
  <c r="AS168" i="65"/>
  <c r="AR168" i="65"/>
  <c r="AQ168" i="65"/>
  <c r="AP168" i="65"/>
  <c r="AO168" i="65"/>
  <c r="AN168" i="65"/>
  <c r="AM168" i="65"/>
  <c r="AL168" i="65"/>
  <c r="AK168" i="65"/>
  <c r="AJ168" i="65"/>
  <c r="AZ167" i="65"/>
  <c r="AY167" i="65"/>
  <c r="AX167" i="65"/>
  <c r="AW167" i="65"/>
  <c r="AV167" i="65"/>
  <c r="AU167" i="65"/>
  <c r="AT167" i="65"/>
  <c r="AS167" i="65"/>
  <c r="AR167" i="65"/>
  <c r="AQ167" i="65"/>
  <c r="AP167" i="65"/>
  <c r="AO167" i="65"/>
  <c r="AN167" i="65"/>
  <c r="AM167" i="65"/>
  <c r="AL167" i="65"/>
  <c r="AK167" i="65"/>
  <c r="AJ167" i="65"/>
  <c r="AZ166" i="65"/>
  <c r="AY166" i="65"/>
  <c r="AX166" i="65"/>
  <c r="AW166" i="65"/>
  <c r="AV166" i="65"/>
  <c r="AU166" i="65"/>
  <c r="AT166" i="65"/>
  <c r="AS166" i="65"/>
  <c r="AR166" i="65"/>
  <c r="AQ166" i="65"/>
  <c r="AP166" i="65"/>
  <c r="AO166" i="65"/>
  <c r="AN166" i="65"/>
  <c r="AM166" i="65"/>
  <c r="AL166" i="65"/>
  <c r="AK166" i="65"/>
  <c r="AJ166" i="65"/>
  <c r="AZ165" i="65"/>
  <c r="AY165" i="65"/>
  <c r="AX165" i="65"/>
  <c r="AW165" i="65"/>
  <c r="AV165" i="65"/>
  <c r="AU165" i="65"/>
  <c r="AT165" i="65"/>
  <c r="AS165" i="65"/>
  <c r="AR165" i="65"/>
  <c r="AQ165" i="65"/>
  <c r="AP165" i="65"/>
  <c r="AO165" i="65"/>
  <c r="AN165" i="65"/>
  <c r="AM165" i="65"/>
  <c r="AL165" i="65"/>
  <c r="AK165" i="65"/>
  <c r="AJ165" i="65"/>
  <c r="AZ164" i="65"/>
  <c r="AY164" i="65"/>
  <c r="AX164" i="65"/>
  <c r="AW164" i="65"/>
  <c r="AV164" i="65"/>
  <c r="AU164" i="65"/>
  <c r="AT164" i="65"/>
  <c r="AS164" i="65"/>
  <c r="AR164" i="65"/>
  <c r="AQ164" i="65"/>
  <c r="AP164" i="65"/>
  <c r="AO164" i="65"/>
  <c r="AN164" i="65"/>
  <c r="AM164" i="65"/>
  <c r="AL164" i="65"/>
  <c r="AK164" i="65"/>
  <c r="AJ164" i="65"/>
  <c r="AZ163" i="65"/>
  <c r="AY163" i="65"/>
  <c r="AX163" i="65"/>
  <c r="AW163" i="65"/>
  <c r="AV163" i="65"/>
  <c r="AU163" i="65"/>
  <c r="AT163" i="65"/>
  <c r="AS163" i="65"/>
  <c r="AR163" i="65"/>
  <c r="AQ163" i="65"/>
  <c r="AP163" i="65"/>
  <c r="AO163" i="65"/>
  <c r="AN163" i="65"/>
  <c r="AM163" i="65"/>
  <c r="AL163" i="65"/>
  <c r="AK163" i="65"/>
  <c r="AJ163" i="65"/>
  <c r="AZ162" i="65"/>
  <c r="AY162" i="65"/>
  <c r="AX162" i="65"/>
  <c r="AW162" i="65"/>
  <c r="AV162" i="65"/>
  <c r="AU162" i="65"/>
  <c r="AT162" i="65"/>
  <c r="AS162" i="65"/>
  <c r="AR162" i="65"/>
  <c r="AQ162" i="65"/>
  <c r="AP162" i="65"/>
  <c r="AO162" i="65"/>
  <c r="AN162" i="65"/>
  <c r="AM162" i="65"/>
  <c r="AL162" i="65"/>
  <c r="AK162" i="65"/>
  <c r="AJ162" i="65"/>
  <c r="AZ161" i="65"/>
  <c r="AY161" i="65"/>
  <c r="AX161" i="65"/>
  <c r="AW161" i="65"/>
  <c r="AV161" i="65"/>
  <c r="AU161" i="65"/>
  <c r="AT161" i="65"/>
  <c r="AS161" i="65"/>
  <c r="AR161" i="65"/>
  <c r="AQ161" i="65"/>
  <c r="AP161" i="65"/>
  <c r="AO161" i="65"/>
  <c r="AN161" i="65"/>
  <c r="AM161" i="65"/>
  <c r="AL161" i="65"/>
  <c r="AK161" i="65"/>
  <c r="AJ161" i="65"/>
  <c r="AZ160" i="65"/>
  <c r="AY160" i="65"/>
  <c r="AX160" i="65"/>
  <c r="AW160" i="65"/>
  <c r="AV160" i="65"/>
  <c r="AU160" i="65"/>
  <c r="AT160" i="65"/>
  <c r="AS160" i="65"/>
  <c r="AR160" i="65"/>
  <c r="AQ160" i="65"/>
  <c r="AP160" i="65"/>
  <c r="AO160" i="65"/>
  <c r="AN160" i="65"/>
  <c r="AM160" i="65"/>
  <c r="AL160" i="65"/>
  <c r="AK160" i="65"/>
  <c r="AJ160" i="65"/>
  <c r="AZ159" i="65"/>
  <c r="AY159" i="65"/>
  <c r="AX159" i="65"/>
  <c r="AW159" i="65"/>
  <c r="AV159" i="65"/>
  <c r="AU159" i="65"/>
  <c r="AT159" i="65"/>
  <c r="AS159" i="65"/>
  <c r="AR159" i="65"/>
  <c r="AQ159" i="65"/>
  <c r="AP159" i="65"/>
  <c r="AO159" i="65"/>
  <c r="AN159" i="65"/>
  <c r="AM159" i="65"/>
  <c r="AL159" i="65"/>
  <c r="AK159" i="65"/>
  <c r="AJ159" i="65"/>
  <c r="AZ158" i="65"/>
  <c r="AY158" i="65"/>
  <c r="AX158" i="65"/>
  <c r="AW158" i="65"/>
  <c r="AV158" i="65"/>
  <c r="AU158" i="65"/>
  <c r="AT158" i="65"/>
  <c r="AS158" i="65"/>
  <c r="AR158" i="65"/>
  <c r="AQ158" i="65"/>
  <c r="AP158" i="65"/>
  <c r="AO158" i="65"/>
  <c r="AN158" i="65"/>
  <c r="AM158" i="65"/>
  <c r="AL158" i="65"/>
  <c r="AK158" i="65"/>
  <c r="AJ158" i="65"/>
  <c r="AZ157" i="65"/>
  <c r="AY157" i="65"/>
  <c r="AX157" i="65"/>
  <c r="AW157" i="65"/>
  <c r="AV157" i="65"/>
  <c r="AU157" i="65"/>
  <c r="AT157" i="65"/>
  <c r="AS157" i="65"/>
  <c r="AR157" i="65"/>
  <c r="AQ157" i="65"/>
  <c r="AP157" i="65"/>
  <c r="AO157" i="65"/>
  <c r="AN157" i="65"/>
  <c r="AM157" i="65"/>
  <c r="AL157" i="65"/>
  <c r="AK157" i="65"/>
  <c r="AJ157" i="65"/>
  <c r="AZ156" i="65"/>
  <c r="AY156" i="65"/>
  <c r="AX156" i="65"/>
  <c r="AW156" i="65"/>
  <c r="AV156" i="65"/>
  <c r="AU156" i="65"/>
  <c r="AT156" i="65"/>
  <c r="AS156" i="65"/>
  <c r="AR156" i="65"/>
  <c r="AQ156" i="65"/>
  <c r="AP156" i="65"/>
  <c r="AO156" i="65"/>
  <c r="AN156" i="65"/>
  <c r="AM156" i="65"/>
  <c r="AL156" i="65"/>
  <c r="AK156" i="65"/>
  <c r="AJ156" i="65"/>
  <c r="AZ155" i="65"/>
  <c r="AY155" i="65"/>
  <c r="AX155" i="65"/>
  <c r="AW155" i="65"/>
  <c r="AV155" i="65"/>
  <c r="AU155" i="65"/>
  <c r="AT155" i="65"/>
  <c r="AS155" i="65"/>
  <c r="AR155" i="65"/>
  <c r="AQ155" i="65"/>
  <c r="AP155" i="65"/>
  <c r="AO155" i="65"/>
  <c r="AN155" i="65"/>
  <c r="AM155" i="65"/>
  <c r="AL155" i="65"/>
  <c r="AK155" i="65"/>
  <c r="AJ155" i="65"/>
  <c r="AZ154" i="65"/>
  <c r="AY154" i="65"/>
  <c r="AX154" i="65"/>
  <c r="AW154" i="65"/>
  <c r="AV154" i="65"/>
  <c r="AU154" i="65"/>
  <c r="AT154" i="65"/>
  <c r="AS154" i="65"/>
  <c r="AR154" i="65"/>
  <c r="AQ154" i="65"/>
  <c r="AP154" i="65"/>
  <c r="AO154" i="65"/>
  <c r="AN154" i="65"/>
  <c r="AM154" i="65"/>
  <c r="AL154" i="65"/>
  <c r="AK154" i="65"/>
  <c r="AJ154" i="65"/>
  <c r="AZ153" i="65"/>
  <c r="AY153" i="65"/>
  <c r="AX153" i="65"/>
  <c r="AW153" i="65"/>
  <c r="AV153" i="65"/>
  <c r="AU153" i="65"/>
  <c r="AT153" i="65"/>
  <c r="AS153" i="65"/>
  <c r="AR153" i="65"/>
  <c r="AQ153" i="65"/>
  <c r="AP153" i="65"/>
  <c r="AO153" i="65"/>
  <c r="AN153" i="65"/>
  <c r="AM153" i="65"/>
  <c r="AL153" i="65"/>
  <c r="AK153" i="65"/>
  <c r="AJ153" i="65"/>
  <c r="AZ152" i="65"/>
  <c r="AY152" i="65"/>
  <c r="AX152" i="65"/>
  <c r="AW152" i="65"/>
  <c r="AV152" i="65"/>
  <c r="AU152" i="65"/>
  <c r="AT152" i="65"/>
  <c r="AS152" i="65"/>
  <c r="AR152" i="65"/>
  <c r="AQ152" i="65"/>
  <c r="AP152" i="65"/>
  <c r="AO152" i="65"/>
  <c r="AN152" i="65"/>
  <c r="AM152" i="65"/>
  <c r="AL152" i="65"/>
  <c r="AK152" i="65"/>
  <c r="AJ152" i="65"/>
  <c r="AZ151" i="65"/>
  <c r="AY151" i="65"/>
  <c r="AX151" i="65"/>
  <c r="AW151" i="65"/>
  <c r="AV151" i="65"/>
  <c r="AU151" i="65"/>
  <c r="AT151" i="65"/>
  <c r="AS151" i="65"/>
  <c r="AR151" i="65"/>
  <c r="AQ151" i="65"/>
  <c r="AP151" i="65"/>
  <c r="AO151" i="65"/>
  <c r="AN151" i="65"/>
  <c r="AM151" i="65"/>
  <c r="AL151" i="65"/>
  <c r="AK151" i="65"/>
  <c r="AJ151" i="65"/>
  <c r="AZ150" i="65"/>
  <c r="AY150" i="65"/>
  <c r="AX150" i="65"/>
  <c r="AW150" i="65"/>
  <c r="AV150" i="65"/>
  <c r="AU150" i="65"/>
  <c r="AT150" i="65"/>
  <c r="AS150" i="65"/>
  <c r="AR150" i="65"/>
  <c r="AQ150" i="65"/>
  <c r="AP150" i="65"/>
  <c r="AO150" i="65"/>
  <c r="AN150" i="65"/>
  <c r="AM150" i="65"/>
  <c r="AL150" i="65"/>
  <c r="AK150" i="65"/>
  <c r="AJ150" i="65"/>
  <c r="AZ149" i="65"/>
  <c r="AY149" i="65"/>
  <c r="AX149" i="65"/>
  <c r="AW149" i="65"/>
  <c r="AV149" i="65"/>
  <c r="AU149" i="65"/>
  <c r="AT149" i="65"/>
  <c r="AS149" i="65"/>
  <c r="AR149" i="65"/>
  <c r="AQ149" i="65"/>
  <c r="AP149" i="65"/>
  <c r="AO149" i="65"/>
  <c r="AN149" i="65"/>
  <c r="AM149" i="65"/>
  <c r="AL149" i="65"/>
  <c r="AK149" i="65"/>
  <c r="AJ149" i="65"/>
  <c r="AZ148" i="65"/>
  <c r="AY148" i="65"/>
  <c r="AX148" i="65"/>
  <c r="AW148" i="65"/>
  <c r="AV148" i="65"/>
  <c r="AU148" i="65"/>
  <c r="AT148" i="65"/>
  <c r="AS148" i="65"/>
  <c r="AR148" i="65"/>
  <c r="AQ148" i="65"/>
  <c r="AP148" i="65"/>
  <c r="AO148" i="65"/>
  <c r="AN148" i="65"/>
  <c r="AM148" i="65"/>
  <c r="AL148" i="65"/>
  <c r="AK148" i="65"/>
  <c r="AJ148" i="65"/>
  <c r="AZ147" i="65"/>
  <c r="AY147" i="65"/>
  <c r="AX147" i="65"/>
  <c r="AW147" i="65"/>
  <c r="AV147" i="65"/>
  <c r="AU147" i="65"/>
  <c r="AT147" i="65"/>
  <c r="AS147" i="65"/>
  <c r="AR147" i="65"/>
  <c r="AQ147" i="65"/>
  <c r="AP147" i="65"/>
  <c r="AO147" i="65"/>
  <c r="AN147" i="65"/>
  <c r="AM147" i="65"/>
  <c r="AL147" i="65"/>
  <c r="AK147" i="65"/>
  <c r="AJ147" i="65"/>
  <c r="AZ146" i="65"/>
  <c r="AY146" i="65"/>
  <c r="AX146" i="65"/>
  <c r="AW146" i="65"/>
  <c r="AV146" i="65"/>
  <c r="AU146" i="65"/>
  <c r="AT146" i="65"/>
  <c r="AS146" i="65"/>
  <c r="AR146" i="65"/>
  <c r="AQ146" i="65"/>
  <c r="AP146" i="65"/>
  <c r="AO146" i="65"/>
  <c r="AN146" i="65"/>
  <c r="AM146" i="65"/>
  <c r="AL146" i="65"/>
  <c r="AK146" i="65"/>
  <c r="AJ146" i="65"/>
  <c r="AZ145" i="65"/>
  <c r="AY145" i="65"/>
  <c r="AX145" i="65"/>
  <c r="AW145" i="65"/>
  <c r="AV145" i="65"/>
  <c r="AU145" i="65"/>
  <c r="AT145" i="65"/>
  <c r="AS145" i="65"/>
  <c r="AR145" i="65"/>
  <c r="AQ145" i="65"/>
  <c r="AP145" i="65"/>
  <c r="AO145" i="65"/>
  <c r="AN145" i="65"/>
  <c r="AM145" i="65"/>
  <c r="AL145" i="65"/>
  <c r="AK145" i="65"/>
  <c r="AJ145" i="65"/>
  <c r="AZ144" i="65"/>
  <c r="AY144" i="65"/>
  <c r="AX144" i="65"/>
  <c r="AW144" i="65"/>
  <c r="AV144" i="65"/>
  <c r="AU144" i="65"/>
  <c r="AT144" i="65"/>
  <c r="AS144" i="65"/>
  <c r="AR144" i="65"/>
  <c r="AQ144" i="65"/>
  <c r="AP144" i="65"/>
  <c r="AO144" i="65"/>
  <c r="AN144" i="65"/>
  <c r="AM144" i="65"/>
  <c r="AL144" i="65"/>
  <c r="AK144" i="65"/>
  <c r="AJ144" i="65"/>
  <c r="AZ143" i="65"/>
  <c r="AY143" i="65"/>
  <c r="AX143" i="65"/>
  <c r="AW143" i="65"/>
  <c r="AV143" i="65"/>
  <c r="AU143" i="65"/>
  <c r="AT143" i="65"/>
  <c r="AS143" i="65"/>
  <c r="AR143" i="65"/>
  <c r="AQ143" i="65"/>
  <c r="AP143" i="65"/>
  <c r="AO143" i="65"/>
  <c r="AN143" i="65"/>
  <c r="AM143" i="65"/>
  <c r="AL143" i="65"/>
  <c r="AK143" i="65"/>
  <c r="AJ143" i="65"/>
  <c r="AZ142" i="65"/>
  <c r="AY142" i="65"/>
  <c r="AX142" i="65"/>
  <c r="AW142" i="65"/>
  <c r="AV142" i="65"/>
  <c r="AU142" i="65"/>
  <c r="AT142" i="65"/>
  <c r="AS142" i="65"/>
  <c r="AR142" i="65"/>
  <c r="AQ142" i="65"/>
  <c r="AP142" i="65"/>
  <c r="AO142" i="65"/>
  <c r="AN142" i="65"/>
  <c r="AM142" i="65"/>
  <c r="AL142" i="65"/>
  <c r="AK142" i="65"/>
  <c r="AJ142" i="65"/>
  <c r="AZ141" i="65"/>
  <c r="AY141" i="65"/>
  <c r="AX141" i="65"/>
  <c r="AW141" i="65"/>
  <c r="AV141" i="65"/>
  <c r="AU141" i="65"/>
  <c r="AT141" i="65"/>
  <c r="AS141" i="65"/>
  <c r="AR141" i="65"/>
  <c r="AQ141" i="65"/>
  <c r="AP141" i="65"/>
  <c r="AO141" i="65"/>
  <c r="AN141" i="65"/>
  <c r="AM141" i="65"/>
  <c r="AL141" i="65"/>
  <c r="AK141" i="65"/>
  <c r="AJ141" i="65"/>
  <c r="AZ140" i="65"/>
  <c r="AY140" i="65"/>
  <c r="AX140" i="65"/>
  <c r="AW140" i="65"/>
  <c r="AV140" i="65"/>
  <c r="AU140" i="65"/>
  <c r="AT140" i="65"/>
  <c r="AS140" i="65"/>
  <c r="AR140" i="65"/>
  <c r="AQ140" i="65"/>
  <c r="AP140" i="65"/>
  <c r="AO140" i="65"/>
  <c r="AN140" i="65"/>
  <c r="AM140" i="65"/>
  <c r="AL140" i="65"/>
  <c r="AK140" i="65"/>
  <c r="AJ140" i="65"/>
  <c r="AZ139" i="65"/>
  <c r="AY139" i="65"/>
  <c r="AX139" i="65"/>
  <c r="AW139" i="65"/>
  <c r="AV139" i="65"/>
  <c r="AU139" i="65"/>
  <c r="AT139" i="65"/>
  <c r="AS139" i="65"/>
  <c r="AR139" i="65"/>
  <c r="AQ139" i="65"/>
  <c r="AP139" i="65"/>
  <c r="AO139" i="65"/>
  <c r="AN139" i="65"/>
  <c r="AM139" i="65"/>
  <c r="AL139" i="65"/>
  <c r="AK139" i="65"/>
  <c r="AJ139" i="65"/>
  <c r="AZ138" i="65"/>
  <c r="AY138" i="65"/>
  <c r="AX138" i="65"/>
  <c r="AW138" i="65"/>
  <c r="AV138" i="65"/>
  <c r="AU138" i="65"/>
  <c r="AT138" i="65"/>
  <c r="AS138" i="65"/>
  <c r="AR138" i="65"/>
  <c r="AQ138" i="65"/>
  <c r="AP138" i="65"/>
  <c r="AO138" i="65"/>
  <c r="AN138" i="65"/>
  <c r="AM138" i="65"/>
  <c r="AL138" i="65"/>
  <c r="AK138" i="65"/>
  <c r="AJ138" i="65"/>
  <c r="AZ137" i="65"/>
  <c r="AY137" i="65"/>
  <c r="AX137" i="65"/>
  <c r="AW137" i="65"/>
  <c r="AV137" i="65"/>
  <c r="AU137" i="65"/>
  <c r="AT137" i="65"/>
  <c r="AS137" i="65"/>
  <c r="AR137" i="65"/>
  <c r="AQ137" i="65"/>
  <c r="AP137" i="65"/>
  <c r="AO137" i="65"/>
  <c r="AN137" i="65"/>
  <c r="AM137" i="65"/>
  <c r="AL137" i="65"/>
  <c r="AK137" i="65"/>
  <c r="AJ137" i="65"/>
  <c r="AZ136" i="65"/>
  <c r="AY136" i="65"/>
  <c r="AX136" i="65"/>
  <c r="AW136" i="65"/>
  <c r="AV136" i="65"/>
  <c r="AU136" i="65"/>
  <c r="AT136" i="65"/>
  <c r="AS136" i="65"/>
  <c r="AR136" i="65"/>
  <c r="AQ136" i="65"/>
  <c r="AP136" i="65"/>
  <c r="AO136" i="65"/>
  <c r="AN136" i="65"/>
  <c r="AM136" i="65"/>
  <c r="AL136" i="65"/>
  <c r="AK136" i="65"/>
  <c r="AJ136" i="65"/>
  <c r="AZ135" i="65"/>
  <c r="AY135" i="65"/>
  <c r="AX135" i="65"/>
  <c r="AW135" i="65"/>
  <c r="AV135" i="65"/>
  <c r="AU135" i="65"/>
  <c r="AT135" i="65"/>
  <c r="AS135" i="65"/>
  <c r="AR135" i="65"/>
  <c r="AQ135" i="65"/>
  <c r="AP135" i="65"/>
  <c r="AO135" i="65"/>
  <c r="AN135" i="65"/>
  <c r="AM135" i="65"/>
  <c r="AL135" i="65"/>
  <c r="AK135" i="65"/>
  <c r="AJ135" i="65"/>
  <c r="AZ134" i="65"/>
  <c r="AY134" i="65"/>
  <c r="AX134" i="65"/>
  <c r="AW134" i="65"/>
  <c r="AV134" i="65"/>
  <c r="AU134" i="65"/>
  <c r="AT134" i="65"/>
  <c r="AS134" i="65"/>
  <c r="AR134" i="65"/>
  <c r="AQ134" i="65"/>
  <c r="AP134" i="65"/>
  <c r="AO134" i="65"/>
  <c r="AN134" i="65"/>
  <c r="AM134" i="65"/>
  <c r="AL134" i="65"/>
  <c r="AK134" i="65"/>
  <c r="AJ134" i="65"/>
  <c r="AZ133" i="65"/>
  <c r="AY133" i="65"/>
  <c r="AX133" i="65"/>
  <c r="AW133" i="65"/>
  <c r="AV133" i="65"/>
  <c r="AU133" i="65"/>
  <c r="AT133" i="65"/>
  <c r="AS133" i="65"/>
  <c r="AR133" i="65"/>
  <c r="AQ133" i="65"/>
  <c r="AP133" i="65"/>
  <c r="AO133" i="65"/>
  <c r="AN133" i="65"/>
  <c r="AM133" i="65"/>
  <c r="AL133" i="65"/>
  <c r="AK133" i="65"/>
  <c r="AJ133" i="65"/>
  <c r="AZ132" i="65"/>
  <c r="AY132" i="65"/>
  <c r="AX132" i="65"/>
  <c r="AW132" i="65"/>
  <c r="AV132" i="65"/>
  <c r="AU132" i="65"/>
  <c r="AT132" i="65"/>
  <c r="AS132" i="65"/>
  <c r="AR132" i="65"/>
  <c r="AQ132" i="65"/>
  <c r="AP132" i="65"/>
  <c r="AO132" i="65"/>
  <c r="AN132" i="65"/>
  <c r="AM132" i="65"/>
  <c r="AL132" i="65"/>
  <c r="AK132" i="65"/>
  <c r="AJ132" i="65"/>
  <c r="AZ131" i="65"/>
  <c r="AY131" i="65"/>
  <c r="AX131" i="65"/>
  <c r="AW131" i="65"/>
  <c r="AV131" i="65"/>
  <c r="AU131" i="65"/>
  <c r="AT131" i="65"/>
  <c r="AS131" i="65"/>
  <c r="AR131" i="65"/>
  <c r="AQ131" i="65"/>
  <c r="AP131" i="65"/>
  <c r="AO131" i="65"/>
  <c r="AN131" i="65"/>
  <c r="AM131" i="65"/>
  <c r="AL131" i="65"/>
  <c r="AK131" i="65"/>
  <c r="AJ131" i="65"/>
  <c r="AZ130" i="65"/>
  <c r="AY130" i="65"/>
  <c r="AX130" i="65"/>
  <c r="AW130" i="65"/>
  <c r="AV130" i="65"/>
  <c r="AU130" i="65"/>
  <c r="AT130" i="65"/>
  <c r="AS130" i="65"/>
  <c r="AR130" i="65"/>
  <c r="AQ130" i="65"/>
  <c r="AP130" i="65"/>
  <c r="AO130" i="65"/>
  <c r="AN130" i="65"/>
  <c r="AM130" i="65"/>
  <c r="AL130" i="65"/>
  <c r="AK130" i="65"/>
  <c r="AJ130" i="65"/>
  <c r="AZ129" i="65"/>
  <c r="AY129" i="65"/>
  <c r="AX129" i="65"/>
  <c r="AW129" i="65"/>
  <c r="AV129" i="65"/>
  <c r="AU129" i="65"/>
  <c r="AT129" i="65"/>
  <c r="AS129" i="65"/>
  <c r="AR129" i="65"/>
  <c r="AQ129" i="65"/>
  <c r="AP129" i="65"/>
  <c r="AO129" i="65"/>
  <c r="AN129" i="65"/>
  <c r="AM129" i="65"/>
  <c r="AL129" i="65"/>
  <c r="AK129" i="65"/>
  <c r="AJ129" i="65"/>
  <c r="AZ128" i="65"/>
  <c r="AY128" i="65"/>
  <c r="AX128" i="65"/>
  <c r="AW128" i="65"/>
  <c r="AV128" i="65"/>
  <c r="AU128" i="65"/>
  <c r="AT128" i="65"/>
  <c r="AS128" i="65"/>
  <c r="AR128" i="65"/>
  <c r="AQ128" i="65"/>
  <c r="AP128" i="65"/>
  <c r="AO128" i="65"/>
  <c r="AN128" i="65"/>
  <c r="AM128" i="65"/>
  <c r="AL128" i="65"/>
  <c r="AK128" i="65"/>
  <c r="AJ128" i="65"/>
  <c r="AZ127" i="65"/>
  <c r="AY127" i="65"/>
  <c r="AX127" i="65"/>
  <c r="AW127" i="65"/>
  <c r="AV127" i="65"/>
  <c r="AU127" i="65"/>
  <c r="AT127" i="65"/>
  <c r="AS127" i="65"/>
  <c r="AR127" i="65"/>
  <c r="AQ127" i="65"/>
  <c r="AP127" i="65"/>
  <c r="AO127" i="65"/>
  <c r="AN127" i="65"/>
  <c r="AM127" i="65"/>
  <c r="AL127" i="65"/>
  <c r="AK127" i="65"/>
  <c r="AJ127" i="65"/>
  <c r="AZ126" i="65"/>
  <c r="AY126" i="65"/>
  <c r="AX126" i="65"/>
  <c r="AW126" i="65"/>
  <c r="AV126" i="65"/>
  <c r="AU126" i="65"/>
  <c r="AT126" i="65"/>
  <c r="AS126" i="65"/>
  <c r="AR126" i="65"/>
  <c r="AQ126" i="65"/>
  <c r="AP126" i="65"/>
  <c r="AO126" i="65"/>
  <c r="AN126" i="65"/>
  <c r="AM126" i="65"/>
  <c r="AL126" i="65"/>
  <c r="AK126" i="65"/>
  <c r="AJ126" i="65"/>
  <c r="AZ125" i="65"/>
  <c r="AY125" i="65"/>
  <c r="AX125" i="65"/>
  <c r="AW125" i="65"/>
  <c r="AV125" i="65"/>
  <c r="AU125" i="65"/>
  <c r="AT125" i="65"/>
  <c r="AS125" i="65"/>
  <c r="AR125" i="65"/>
  <c r="AQ125" i="65"/>
  <c r="AP125" i="65"/>
  <c r="AO125" i="65"/>
  <c r="AN125" i="65"/>
  <c r="AM125" i="65"/>
  <c r="AL125" i="65"/>
  <c r="AK125" i="65"/>
  <c r="AJ125" i="65"/>
  <c r="AZ124" i="65"/>
  <c r="AY124" i="65"/>
  <c r="AX124" i="65"/>
  <c r="AW124" i="65"/>
  <c r="AV124" i="65"/>
  <c r="AU124" i="65"/>
  <c r="AT124" i="65"/>
  <c r="AS124" i="65"/>
  <c r="AR124" i="65"/>
  <c r="AQ124" i="65"/>
  <c r="AP124" i="65"/>
  <c r="AO124" i="65"/>
  <c r="AN124" i="65"/>
  <c r="AM124" i="65"/>
  <c r="AL124" i="65"/>
  <c r="AK124" i="65"/>
  <c r="AJ124" i="65"/>
  <c r="AZ123" i="65"/>
  <c r="AY123" i="65"/>
  <c r="AX123" i="65"/>
  <c r="AW123" i="65"/>
  <c r="AV123" i="65"/>
  <c r="AU123" i="65"/>
  <c r="AT123" i="65"/>
  <c r="AS123" i="65"/>
  <c r="AR123" i="65"/>
  <c r="AQ123" i="65"/>
  <c r="AP123" i="65"/>
  <c r="AO123" i="65"/>
  <c r="AN123" i="65"/>
  <c r="AM123" i="65"/>
  <c r="AL123" i="65"/>
  <c r="AK123" i="65"/>
  <c r="AJ123" i="65"/>
  <c r="AZ122" i="65"/>
  <c r="AY122" i="65"/>
  <c r="AX122" i="65"/>
  <c r="AW122" i="65"/>
  <c r="AV122" i="65"/>
  <c r="AU122" i="65"/>
  <c r="AT122" i="65"/>
  <c r="AS122" i="65"/>
  <c r="AR122" i="65"/>
  <c r="AQ122" i="65"/>
  <c r="AP122" i="65"/>
  <c r="AO122" i="65"/>
  <c r="AN122" i="65"/>
  <c r="AM122" i="65"/>
  <c r="AL122" i="65"/>
  <c r="AK122" i="65"/>
  <c r="AJ122" i="65"/>
  <c r="AZ121" i="65"/>
  <c r="AY121" i="65"/>
  <c r="AX121" i="65"/>
  <c r="AW121" i="65"/>
  <c r="AV121" i="65"/>
  <c r="AU121" i="65"/>
  <c r="AT121" i="65"/>
  <c r="AS121" i="65"/>
  <c r="AR121" i="65"/>
  <c r="AQ121" i="65"/>
  <c r="AP121" i="65"/>
  <c r="AO121" i="65"/>
  <c r="AN121" i="65"/>
  <c r="AM121" i="65"/>
  <c r="AL121" i="65"/>
  <c r="AK121" i="65"/>
  <c r="AJ121" i="65"/>
  <c r="AZ120" i="65"/>
  <c r="AY120" i="65"/>
  <c r="AX120" i="65"/>
  <c r="AW120" i="65"/>
  <c r="AV120" i="65"/>
  <c r="AU120" i="65"/>
  <c r="AT120" i="65"/>
  <c r="AS120" i="65"/>
  <c r="AR120" i="65"/>
  <c r="AQ120" i="65"/>
  <c r="AP120" i="65"/>
  <c r="AO120" i="65"/>
  <c r="AN120" i="65"/>
  <c r="AM120" i="65"/>
  <c r="AL120" i="65"/>
  <c r="AK120" i="65"/>
  <c r="AJ120" i="65"/>
  <c r="AZ119" i="65"/>
  <c r="AY119" i="65"/>
  <c r="AX119" i="65"/>
  <c r="AW119" i="65"/>
  <c r="AV119" i="65"/>
  <c r="AU119" i="65"/>
  <c r="AT119" i="65"/>
  <c r="AS119" i="65"/>
  <c r="AR119" i="65"/>
  <c r="AQ119" i="65"/>
  <c r="AP119" i="65"/>
  <c r="AO119" i="65"/>
  <c r="AN119" i="65"/>
  <c r="AM119" i="65"/>
  <c r="AL119" i="65"/>
  <c r="AK119" i="65"/>
  <c r="AJ119" i="65"/>
  <c r="AZ118" i="65"/>
  <c r="AY118" i="65"/>
  <c r="AX118" i="65"/>
  <c r="AW118" i="65"/>
  <c r="AV118" i="65"/>
  <c r="AU118" i="65"/>
  <c r="AT118" i="65"/>
  <c r="AS118" i="65"/>
  <c r="AR118" i="65"/>
  <c r="AQ118" i="65"/>
  <c r="AP118" i="65"/>
  <c r="AO118" i="65"/>
  <c r="AN118" i="65"/>
  <c r="AM118" i="65"/>
  <c r="AL118" i="65"/>
  <c r="AK118" i="65"/>
  <c r="AJ118" i="65"/>
  <c r="AZ117" i="65"/>
  <c r="AY117" i="65"/>
  <c r="AX117" i="65"/>
  <c r="AW117" i="65"/>
  <c r="AV117" i="65"/>
  <c r="AU117" i="65"/>
  <c r="AT117" i="65"/>
  <c r="AS117" i="65"/>
  <c r="AR117" i="65"/>
  <c r="AQ117" i="65"/>
  <c r="AP117" i="65"/>
  <c r="AO117" i="65"/>
  <c r="AN117" i="65"/>
  <c r="AM117" i="65"/>
  <c r="AL117" i="65"/>
  <c r="AK117" i="65"/>
  <c r="AJ117" i="65"/>
  <c r="AZ116" i="65"/>
  <c r="AY116" i="65"/>
  <c r="AX116" i="65"/>
  <c r="AW116" i="65"/>
  <c r="AV116" i="65"/>
  <c r="AU116" i="65"/>
  <c r="AT116" i="65"/>
  <c r="AS116" i="65"/>
  <c r="AR116" i="65"/>
  <c r="AQ116" i="65"/>
  <c r="AP116" i="65"/>
  <c r="AO116" i="65"/>
  <c r="AN116" i="65"/>
  <c r="AM116" i="65"/>
  <c r="AL116" i="65"/>
  <c r="AK116" i="65"/>
  <c r="AJ116" i="65"/>
  <c r="AZ115" i="65"/>
  <c r="AY115" i="65"/>
  <c r="AX115" i="65"/>
  <c r="AW115" i="65"/>
  <c r="AV115" i="65"/>
  <c r="AU115" i="65"/>
  <c r="AT115" i="65"/>
  <c r="AS115" i="65"/>
  <c r="AR115" i="65"/>
  <c r="AQ115" i="65"/>
  <c r="AP115" i="65"/>
  <c r="AO115" i="65"/>
  <c r="AN115" i="65"/>
  <c r="AM115" i="65"/>
  <c r="AL115" i="65"/>
  <c r="AK115" i="65"/>
  <c r="AJ115" i="65"/>
  <c r="AZ114" i="65"/>
  <c r="AY114" i="65"/>
  <c r="AX114" i="65"/>
  <c r="AW114" i="65"/>
  <c r="AV114" i="65"/>
  <c r="AU114" i="65"/>
  <c r="AT114" i="65"/>
  <c r="AS114" i="65"/>
  <c r="AR114" i="65"/>
  <c r="AQ114" i="65"/>
  <c r="AP114" i="65"/>
  <c r="AO114" i="65"/>
  <c r="AN114" i="65"/>
  <c r="AM114" i="65"/>
  <c r="AL114" i="65"/>
  <c r="AK114" i="65"/>
  <c r="AJ114" i="65"/>
  <c r="AZ113" i="65"/>
  <c r="AY113" i="65"/>
  <c r="AX113" i="65"/>
  <c r="AW113" i="65"/>
  <c r="AV113" i="65"/>
  <c r="AU113" i="65"/>
  <c r="AT113" i="65"/>
  <c r="AS113" i="65"/>
  <c r="AR113" i="65"/>
  <c r="AQ113" i="65"/>
  <c r="AP113" i="65"/>
  <c r="AO113" i="65"/>
  <c r="AN113" i="65"/>
  <c r="AM113" i="65"/>
  <c r="AL113" i="65"/>
  <c r="AK113" i="65"/>
  <c r="AJ113" i="65"/>
  <c r="AZ112" i="65"/>
  <c r="AY112" i="65"/>
  <c r="AX112" i="65"/>
  <c r="AW112" i="65"/>
  <c r="AV112" i="65"/>
  <c r="AU112" i="65"/>
  <c r="AT112" i="65"/>
  <c r="AS112" i="65"/>
  <c r="AR112" i="65"/>
  <c r="AQ112" i="65"/>
  <c r="AP112" i="65"/>
  <c r="AO112" i="65"/>
  <c r="AN112" i="65"/>
  <c r="AM112" i="65"/>
  <c r="AL112" i="65"/>
  <c r="AK112" i="65"/>
  <c r="AJ112" i="65"/>
  <c r="AZ111" i="65"/>
  <c r="AY111" i="65"/>
  <c r="AX111" i="65"/>
  <c r="AW111" i="65"/>
  <c r="AV111" i="65"/>
  <c r="AU111" i="65"/>
  <c r="AT111" i="65"/>
  <c r="AS111" i="65"/>
  <c r="AR111" i="65"/>
  <c r="AQ111" i="65"/>
  <c r="AP111" i="65"/>
  <c r="AO111" i="65"/>
  <c r="AN111" i="65"/>
  <c r="AM111" i="65"/>
  <c r="AL111" i="65"/>
  <c r="AK111" i="65"/>
  <c r="AJ111" i="65"/>
  <c r="AZ110" i="65"/>
  <c r="AY110" i="65"/>
  <c r="AX110" i="65"/>
  <c r="AW110" i="65"/>
  <c r="AV110" i="65"/>
  <c r="AU110" i="65"/>
  <c r="AT110" i="65"/>
  <c r="AS110" i="65"/>
  <c r="AR110" i="65"/>
  <c r="AQ110" i="65"/>
  <c r="AP110" i="65"/>
  <c r="AO110" i="65"/>
  <c r="AN110" i="65"/>
  <c r="AM110" i="65"/>
  <c r="AL110" i="65"/>
  <c r="AK110" i="65"/>
  <c r="AJ110" i="65"/>
  <c r="AZ109" i="65"/>
  <c r="AY109" i="65"/>
  <c r="AX109" i="65"/>
  <c r="AW109" i="65"/>
  <c r="AV109" i="65"/>
  <c r="AU109" i="65"/>
  <c r="AT109" i="65"/>
  <c r="AS109" i="65"/>
  <c r="AR109" i="65"/>
  <c r="AQ109" i="65"/>
  <c r="AP109" i="65"/>
  <c r="AO109" i="65"/>
  <c r="AN109" i="65"/>
  <c r="AM109" i="65"/>
  <c r="AL109" i="65"/>
  <c r="AK109" i="65"/>
  <c r="AJ109" i="65"/>
  <c r="AZ108" i="65"/>
  <c r="AY108" i="65"/>
  <c r="AX108" i="65"/>
  <c r="AW108" i="65"/>
  <c r="AV108" i="65"/>
  <c r="AU108" i="65"/>
  <c r="AT108" i="65"/>
  <c r="AS108" i="65"/>
  <c r="AR108" i="65"/>
  <c r="AQ108" i="65"/>
  <c r="AP108" i="65"/>
  <c r="AO108" i="65"/>
  <c r="AN108" i="65"/>
  <c r="AM108" i="65"/>
  <c r="AL108" i="65"/>
  <c r="AK108" i="65"/>
  <c r="AJ108" i="65"/>
  <c r="AZ107" i="65"/>
  <c r="AY107" i="65"/>
  <c r="AX107" i="65"/>
  <c r="AW107" i="65"/>
  <c r="AV107" i="65"/>
  <c r="AU107" i="65"/>
  <c r="AT107" i="65"/>
  <c r="AS107" i="65"/>
  <c r="AR107" i="65"/>
  <c r="AQ107" i="65"/>
  <c r="AP107" i="65"/>
  <c r="AO107" i="65"/>
  <c r="AN107" i="65"/>
  <c r="AM107" i="65"/>
  <c r="AL107" i="65"/>
  <c r="AK107" i="65"/>
  <c r="AJ107" i="65"/>
  <c r="AZ106" i="65"/>
  <c r="AY106" i="65"/>
  <c r="AX106" i="65"/>
  <c r="AW106" i="65"/>
  <c r="AV106" i="65"/>
  <c r="AU106" i="65"/>
  <c r="AT106" i="65"/>
  <c r="AS106" i="65"/>
  <c r="AR106" i="65"/>
  <c r="AQ106" i="65"/>
  <c r="AP106" i="65"/>
  <c r="AO106" i="65"/>
  <c r="AN106" i="65"/>
  <c r="AM106" i="65"/>
  <c r="AL106" i="65"/>
  <c r="AK106" i="65"/>
  <c r="AJ106" i="65"/>
  <c r="AZ105" i="65"/>
  <c r="AY105" i="65"/>
  <c r="AX105" i="65"/>
  <c r="AW105" i="65"/>
  <c r="AV105" i="65"/>
  <c r="AU105" i="65"/>
  <c r="AT105" i="65"/>
  <c r="AS105" i="65"/>
  <c r="AR105" i="65"/>
  <c r="AQ105" i="65"/>
  <c r="AP105" i="65"/>
  <c r="AO105" i="65"/>
  <c r="AN105" i="65"/>
  <c r="AM105" i="65"/>
  <c r="AL105" i="65"/>
  <c r="AK105" i="65"/>
  <c r="AJ105" i="65"/>
  <c r="AZ104" i="65"/>
  <c r="AY104" i="65"/>
  <c r="AX104" i="65"/>
  <c r="AW104" i="65"/>
  <c r="AV104" i="65"/>
  <c r="AU104" i="65"/>
  <c r="AT104" i="65"/>
  <c r="AS104" i="65"/>
  <c r="AR104" i="65"/>
  <c r="AQ104" i="65"/>
  <c r="AP104" i="65"/>
  <c r="AO104" i="65"/>
  <c r="AN104" i="65"/>
  <c r="AM104" i="65"/>
  <c r="AL104" i="65"/>
  <c r="AK104" i="65"/>
  <c r="AJ104" i="65"/>
  <c r="AZ103" i="65"/>
  <c r="AY103" i="65"/>
  <c r="AX103" i="65"/>
  <c r="AW103" i="65"/>
  <c r="AV103" i="65"/>
  <c r="AU103" i="65"/>
  <c r="AT103" i="65"/>
  <c r="AS103" i="65"/>
  <c r="AR103" i="65"/>
  <c r="AQ103" i="65"/>
  <c r="AP103" i="65"/>
  <c r="AO103" i="65"/>
  <c r="AN103" i="65"/>
  <c r="AM103" i="65"/>
  <c r="AL103" i="65"/>
  <c r="AK103" i="65"/>
  <c r="AJ103" i="65"/>
  <c r="AZ102" i="65"/>
  <c r="AY102" i="65"/>
  <c r="AX102" i="65"/>
  <c r="AW102" i="65"/>
  <c r="AV102" i="65"/>
  <c r="AU102" i="65"/>
  <c r="AT102" i="65"/>
  <c r="AS102" i="65"/>
  <c r="AR102" i="65"/>
  <c r="AQ102" i="65"/>
  <c r="AP102" i="65"/>
  <c r="AO102" i="65"/>
  <c r="AN102" i="65"/>
  <c r="AM102" i="65"/>
  <c r="AL102" i="65"/>
  <c r="AK102" i="65"/>
  <c r="AJ102" i="65"/>
  <c r="AZ101" i="65"/>
  <c r="AY101" i="65"/>
  <c r="AX101" i="65"/>
  <c r="AW101" i="65"/>
  <c r="AV101" i="65"/>
  <c r="AU101" i="65"/>
  <c r="AT101" i="65"/>
  <c r="AS101" i="65"/>
  <c r="AR101" i="65"/>
  <c r="AQ101" i="65"/>
  <c r="AP101" i="65"/>
  <c r="AO101" i="65"/>
  <c r="AN101" i="65"/>
  <c r="AM101" i="65"/>
  <c r="AL101" i="65"/>
  <c r="AK101" i="65"/>
  <c r="AJ101" i="65"/>
  <c r="AZ100" i="65"/>
  <c r="AY100" i="65"/>
  <c r="AX100" i="65"/>
  <c r="AW100" i="65"/>
  <c r="AV100" i="65"/>
  <c r="AU100" i="65"/>
  <c r="AT100" i="65"/>
  <c r="AS100" i="65"/>
  <c r="AR100" i="65"/>
  <c r="AQ100" i="65"/>
  <c r="AP100" i="65"/>
  <c r="AO100" i="65"/>
  <c r="AN100" i="65"/>
  <c r="AM100" i="65"/>
  <c r="AL100" i="65"/>
  <c r="AK100" i="65"/>
  <c r="AJ100" i="65"/>
  <c r="AZ99" i="65"/>
  <c r="AY99" i="65"/>
  <c r="AX99" i="65"/>
  <c r="AW99" i="65"/>
  <c r="AV99" i="65"/>
  <c r="AU99" i="65"/>
  <c r="AT99" i="65"/>
  <c r="AS99" i="65"/>
  <c r="AR99" i="65"/>
  <c r="AQ99" i="65"/>
  <c r="AP99" i="65"/>
  <c r="AO99" i="65"/>
  <c r="AN99" i="65"/>
  <c r="AM99" i="65"/>
  <c r="AL99" i="65"/>
  <c r="AK99" i="65"/>
  <c r="AJ99" i="65"/>
  <c r="AZ98" i="65"/>
  <c r="AY98" i="65"/>
  <c r="AX98" i="65"/>
  <c r="AW98" i="65"/>
  <c r="AV98" i="65"/>
  <c r="AU98" i="65"/>
  <c r="AT98" i="65"/>
  <c r="AS98" i="65"/>
  <c r="AR98" i="65"/>
  <c r="AQ98" i="65"/>
  <c r="AP98" i="65"/>
  <c r="AO98" i="65"/>
  <c r="AN98" i="65"/>
  <c r="AM98" i="65"/>
  <c r="AL98" i="65"/>
  <c r="AK98" i="65"/>
  <c r="AJ98" i="65"/>
  <c r="AZ97" i="65"/>
  <c r="AY97" i="65"/>
  <c r="AX97" i="65"/>
  <c r="AW97" i="65"/>
  <c r="AV97" i="65"/>
  <c r="AU97" i="65"/>
  <c r="AT97" i="65"/>
  <c r="AS97" i="65"/>
  <c r="AR97" i="65"/>
  <c r="AQ97" i="65"/>
  <c r="AP97" i="65"/>
  <c r="AO97" i="65"/>
  <c r="AN97" i="65"/>
  <c r="AM97" i="65"/>
  <c r="AL97" i="65"/>
  <c r="AK97" i="65"/>
  <c r="AJ97" i="65"/>
  <c r="AZ96" i="65"/>
  <c r="AY96" i="65"/>
  <c r="AX96" i="65"/>
  <c r="AW96" i="65"/>
  <c r="AV96" i="65"/>
  <c r="AU96" i="65"/>
  <c r="AT96" i="65"/>
  <c r="AS96" i="65"/>
  <c r="AR96" i="65"/>
  <c r="AQ96" i="65"/>
  <c r="AP96" i="65"/>
  <c r="AO96" i="65"/>
  <c r="AN96" i="65"/>
  <c r="AM96" i="65"/>
  <c r="AL96" i="65"/>
  <c r="AK96" i="65"/>
  <c r="AJ96" i="65"/>
  <c r="AZ95" i="65"/>
  <c r="AY95" i="65"/>
  <c r="AX95" i="65"/>
  <c r="AW95" i="65"/>
  <c r="AV95" i="65"/>
  <c r="AU95" i="65"/>
  <c r="AT95" i="65"/>
  <c r="AS95" i="65"/>
  <c r="AR95" i="65"/>
  <c r="AQ95" i="65"/>
  <c r="AP95" i="65"/>
  <c r="AO95" i="65"/>
  <c r="AN95" i="65"/>
  <c r="AM95" i="65"/>
  <c r="AL95" i="65"/>
  <c r="AK95" i="65"/>
  <c r="AJ95" i="65"/>
  <c r="AZ94" i="65"/>
  <c r="AY94" i="65"/>
  <c r="AX94" i="65"/>
  <c r="AW94" i="65"/>
  <c r="AV94" i="65"/>
  <c r="AU94" i="65"/>
  <c r="AT94" i="65"/>
  <c r="AS94" i="65"/>
  <c r="AR94" i="65"/>
  <c r="AQ94" i="65"/>
  <c r="AP94" i="65"/>
  <c r="AO94" i="65"/>
  <c r="AN94" i="65"/>
  <c r="AM94" i="65"/>
  <c r="AL94" i="65"/>
  <c r="AK94" i="65"/>
  <c r="AJ94" i="65"/>
  <c r="AZ93" i="65"/>
  <c r="AY93" i="65"/>
  <c r="AX93" i="65"/>
  <c r="AW93" i="65"/>
  <c r="AV93" i="65"/>
  <c r="AU93" i="65"/>
  <c r="AT93" i="65"/>
  <c r="AS93" i="65"/>
  <c r="AR93" i="65"/>
  <c r="AQ93" i="65"/>
  <c r="AP93" i="65"/>
  <c r="AO93" i="65"/>
  <c r="AN93" i="65"/>
  <c r="AM93" i="65"/>
  <c r="AL93" i="65"/>
  <c r="AK93" i="65"/>
  <c r="AJ93" i="65"/>
  <c r="AZ92" i="65"/>
  <c r="AY92" i="65"/>
  <c r="AX92" i="65"/>
  <c r="AW92" i="65"/>
  <c r="AV92" i="65"/>
  <c r="AU92" i="65"/>
  <c r="AT92" i="65"/>
  <c r="AS92" i="65"/>
  <c r="AR92" i="65"/>
  <c r="AQ92" i="65"/>
  <c r="AP92" i="65"/>
  <c r="AO92" i="65"/>
  <c r="AN92" i="65"/>
  <c r="AM92" i="65"/>
  <c r="AL92" i="65"/>
  <c r="AK92" i="65"/>
  <c r="AJ92" i="65"/>
  <c r="AZ91" i="65"/>
  <c r="AY91" i="65"/>
  <c r="AX91" i="65"/>
  <c r="AW91" i="65"/>
  <c r="AV91" i="65"/>
  <c r="AU91" i="65"/>
  <c r="AT91" i="65"/>
  <c r="AS91" i="65"/>
  <c r="AR91" i="65"/>
  <c r="AQ91" i="65"/>
  <c r="AP91" i="65"/>
  <c r="AO91" i="65"/>
  <c r="AN91" i="65"/>
  <c r="AM91" i="65"/>
  <c r="AL91" i="65"/>
  <c r="AK91" i="65"/>
  <c r="AJ91" i="65"/>
  <c r="AZ90" i="65"/>
  <c r="AY90" i="65"/>
  <c r="AX90" i="65"/>
  <c r="AW90" i="65"/>
  <c r="AV90" i="65"/>
  <c r="AU90" i="65"/>
  <c r="AT90" i="65"/>
  <c r="AS90" i="65"/>
  <c r="AR90" i="65"/>
  <c r="AQ90" i="65"/>
  <c r="AP90" i="65"/>
  <c r="AO90" i="65"/>
  <c r="AN90" i="65"/>
  <c r="AM90" i="65"/>
  <c r="AL90" i="65"/>
  <c r="AK90" i="65"/>
  <c r="AJ90" i="65"/>
  <c r="AZ89" i="65"/>
  <c r="AY89" i="65"/>
  <c r="AX89" i="65"/>
  <c r="AW89" i="65"/>
  <c r="AV89" i="65"/>
  <c r="AU89" i="65"/>
  <c r="AT89" i="65"/>
  <c r="AS89" i="65"/>
  <c r="AR89" i="65"/>
  <c r="AQ89" i="65"/>
  <c r="AP89" i="65"/>
  <c r="AO89" i="65"/>
  <c r="AN89" i="65"/>
  <c r="AM89" i="65"/>
  <c r="AL89" i="65"/>
  <c r="AK89" i="65"/>
  <c r="AJ89" i="65"/>
  <c r="AZ88" i="65"/>
  <c r="AY88" i="65"/>
  <c r="AX88" i="65"/>
  <c r="AW88" i="65"/>
  <c r="AV88" i="65"/>
  <c r="AU88" i="65"/>
  <c r="AT88" i="65"/>
  <c r="AS88" i="65"/>
  <c r="AR88" i="65"/>
  <c r="AQ88" i="65"/>
  <c r="AP88" i="65"/>
  <c r="AO88" i="65"/>
  <c r="AN88" i="65"/>
  <c r="AM88" i="65"/>
  <c r="AL88" i="65"/>
  <c r="AK88" i="65"/>
  <c r="AJ88" i="65"/>
  <c r="AZ87" i="65"/>
  <c r="AY87" i="65"/>
  <c r="AX87" i="65"/>
  <c r="AW87" i="65"/>
  <c r="AV87" i="65"/>
  <c r="AU87" i="65"/>
  <c r="AT87" i="65"/>
  <c r="AS87" i="65"/>
  <c r="AR87" i="65"/>
  <c r="AQ87" i="65"/>
  <c r="AP87" i="65"/>
  <c r="AO87" i="65"/>
  <c r="AN87" i="65"/>
  <c r="AM87" i="65"/>
  <c r="AL87" i="65"/>
  <c r="AK87" i="65"/>
  <c r="AJ87" i="65"/>
  <c r="AZ86" i="65"/>
  <c r="AY86" i="65"/>
  <c r="AX86" i="65"/>
  <c r="AW86" i="65"/>
  <c r="AV86" i="65"/>
  <c r="AU86" i="65"/>
  <c r="AT86" i="65"/>
  <c r="AS86" i="65"/>
  <c r="AR86" i="65"/>
  <c r="AQ86" i="65"/>
  <c r="AP86" i="65"/>
  <c r="AO86" i="65"/>
  <c r="AN86" i="65"/>
  <c r="AM86" i="65"/>
  <c r="AL86" i="65"/>
  <c r="AK86" i="65"/>
  <c r="AJ86" i="65"/>
  <c r="AZ85" i="65"/>
  <c r="AY85" i="65"/>
  <c r="AX85" i="65"/>
  <c r="AW85" i="65"/>
  <c r="AV85" i="65"/>
  <c r="AU85" i="65"/>
  <c r="AT85" i="65"/>
  <c r="AS85" i="65"/>
  <c r="AR85" i="65"/>
  <c r="AQ85" i="65"/>
  <c r="AP85" i="65"/>
  <c r="AO85" i="65"/>
  <c r="AN85" i="65"/>
  <c r="AM85" i="65"/>
  <c r="AL85" i="65"/>
  <c r="AK85" i="65"/>
  <c r="AJ85" i="65"/>
  <c r="AZ84" i="65"/>
  <c r="AY84" i="65"/>
  <c r="AX84" i="65"/>
  <c r="AW84" i="65"/>
  <c r="AV84" i="65"/>
  <c r="AU84" i="65"/>
  <c r="AT84" i="65"/>
  <c r="AS84" i="65"/>
  <c r="AR84" i="65"/>
  <c r="AQ84" i="65"/>
  <c r="AP84" i="65"/>
  <c r="AO84" i="65"/>
  <c r="AN84" i="65"/>
  <c r="AM84" i="65"/>
  <c r="AL84" i="65"/>
  <c r="AK84" i="65"/>
  <c r="AJ84" i="65"/>
  <c r="AZ83" i="65"/>
  <c r="AY83" i="65"/>
  <c r="AX83" i="65"/>
  <c r="AW83" i="65"/>
  <c r="AV83" i="65"/>
  <c r="AU83" i="65"/>
  <c r="AT83" i="65"/>
  <c r="AS83" i="65"/>
  <c r="AR83" i="65"/>
  <c r="AQ83" i="65"/>
  <c r="AP83" i="65"/>
  <c r="AO83" i="65"/>
  <c r="AN83" i="65"/>
  <c r="AM83" i="65"/>
  <c r="AL83" i="65"/>
  <c r="AK83" i="65"/>
  <c r="AJ83" i="65"/>
  <c r="AZ82" i="65"/>
  <c r="AY82" i="65"/>
  <c r="AX82" i="65"/>
  <c r="AW82" i="65"/>
  <c r="AV82" i="65"/>
  <c r="AU82" i="65"/>
  <c r="AT82" i="65"/>
  <c r="AS82" i="65"/>
  <c r="AR82" i="65"/>
  <c r="AQ82" i="65"/>
  <c r="AP82" i="65"/>
  <c r="AO82" i="65"/>
  <c r="AN82" i="65"/>
  <c r="AM82" i="65"/>
  <c r="AL82" i="65"/>
  <c r="AK82" i="65"/>
  <c r="AJ82" i="65"/>
  <c r="AZ81" i="65"/>
  <c r="AY81" i="65"/>
  <c r="AX81" i="65"/>
  <c r="AW81" i="65"/>
  <c r="AV81" i="65"/>
  <c r="AU81" i="65"/>
  <c r="AT81" i="65"/>
  <c r="AS81" i="65"/>
  <c r="AR81" i="65"/>
  <c r="AQ81" i="65"/>
  <c r="AP81" i="65"/>
  <c r="AO81" i="65"/>
  <c r="AN81" i="65"/>
  <c r="AM81" i="65"/>
  <c r="AL81" i="65"/>
  <c r="AK81" i="65"/>
  <c r="AJ81" i="65"/>
  <c r="AZ80" i="65"/>
  <c r="AY80" i="65"/>
  <c r="AX80" i="65"/>
  <c r="AW80" i="65"/>
  <c r="AV80" i="65"/>
  <c r="AU80" i="65"/>
  <c r="AT80" i="65"/>
  <c r="AS80" i="65"/>
  <c r="AR80" i="65"/>
  <c r="AQ80" i="65"/>
  <c r="AP80" i="65"/>
  <c r="AO80" i="65"/>
  <c r="AN80" i="65"/>
  <c r="AM80" i="65"/>
  <c r="AL80" i="65"/>
  <c r="AK80" i="65"/>
  <c r="AJ80" i="65"/>
  <c r="AZ79" i="65"/>
  <c r="AY79" i="65"/>
  <c r="AX79" i="65"/>
  <c r="AW79" i="65"/>
  <c r="AV79" i="65"/>
  <c r="AU79" i="65"/>
  <c r="AT79" i="65"/>
  <c r="AS79" i="65"/>
  <c r="AR79" i="65"/>
  <c r="AQ79" i="65"/>
  <c r="AP79" i="65"/>
  <c r="AO79" i="65"/>
  <c r="AN79" i="65"/>
  <c r="AM79" i="65"/>
  <c r="AL79" i="65"/>
  <c r="AK79" i="65"/>
  <c r="AJ79" i="65"/>
  <c r="AZ78" i="65"/>
  <c r="AY78" i="65"/>
  <c r="AX78" i="65"/>
  <c r="AW78" i="65"/>
  <c r="AV78" i="65"/>
  <c r="AU78" i="65"/>
  <c r="AT78" i="65"/>
  <c r="AS78" i="65"/>
  <c r="AR78" i="65"/>
  <c r="AQ78" i="65"/>
  <c r="AP78" i="65"/>
  <c r="AO78" i="65"/>
  <c r="AN78" i="65"/>
  <c r="AM78" i="65"/>
  <c r="AL78" i="65"/>
  <c r="AK78" i="65"/>
  <c r="AJ78" i="65"/>
  <c r="AZ77" i="65"/>
  <c r="AY77" i="65"/>
  <c r="AX77" i="65"/>
  <c r="AW77" i="65"/>
  <c r="AV77" i="65"/>
  <c r="AU77" i="65"/>
  <c r="AT77" i="65"/>
  <c r="AS77" i="65"/>
  <c r="AR77" i="65"/>
  <c r="AQ77" i="65"/>
  <c r="AP77" i="65"/>
  <c r="AO77" i="65"/>
  <c r="AN77" i="65"/>
  <c r="AM77" i="65"/>
  <c r="AL77" i="65"/>
  <c r="AK77" i="65"/>
  <c r="AJ77" i="65"/>
  <c r="AZ76" i="65"/>
  <c r="AY76" i="65"/>
  <c r="AX76" i="65"/>
  <c r="AW76" i="65"/>
  <c r="AV76" i="65"/>
  <c r="AU76" i="65"/>
  <c r="AT76" i="65"/>
  <c r="AS76" i="65"/>
  <c r="AR76" i="65"/>
  <c r="AQ76" i="65"/>
  <c r="AP76" i="65"/>
  <c r="AO76" i="65"/>
  <c r="AN76" i="65"/>
  <c r="AM76" i="65"/>
  <c r="AL76" i="65"/>
  <c r="AK76" i="65"/>
  <c r="AJ76" i="65"/>
  <c r="AZ75" i="65"/>
  <c r="AY75" i="65"/>
  <c r="AX75" i="65"/>
  <c r="AW75" i="65"/>
  <c r="AV75" i="65"/>
  <c r="AU75" i="65"/>
  <c r="AT75" i="65"/>
  <c r="AS75" i="65"/>
  <c r="AR75" i="65"/>
  <c r="AQ75" i="65"/>
  <c r="AP75" i="65"/>
  <c r="AO75" i="65"/>
  <c r="AN75" i="65"/>
  <c r="AM75" i="65"/>
  <c r="AL75" i="65"/>
  <c r="AK75" i="65"/>
  <c r="AJ75" i="65"/>
  <c r="AZ74" i="65"/>
  <c r="AY74" i="65"/>
  <c r="AX74" i="65"/>
  <c r="AW74" i="65"/>
  <c r="AV74" i="65"/>
  <c r="AU74" i="65"/>
  <c r="AT74" i="65"/>
  <c r="AS74" i="65"/>
  <c r="AR74" i="65"/>
  <c r="AQ74" i="65"/>
  <c r="AP74" i="65"/>
  <c r="AO74" i="65"/>
  <c r="AN74" i="65"/>
  <c r="AM74" i="65"/>
  <c r="AL74" i="65"/>
  <c r="AK74" i="65"/>
  <c r="AJ74" i="65"/>
  <c r="AZ73" i="65"/>
  <c r="AY73" i="65"/>
  <c r="AX73" i="65"/>
  <c r="AW73" i="65"/>
  <c r="AV73" i="65"/>
  <c r="AU73" i="65"/>
  <c r="AT73" i="65"/>
  <c r="AS73" i="65"/>
  <c r="AR73" i="65"/>
  <c r="AQ73" i="65"/>
  <c r="AP73" i="65"/>
  <c r="AO73" i="65"/>
  <c r="AN73" i="65"/>
  <c r="AM73" i="65"/>
  <c r="AL73" i="65"/>
  <c r="AK73" i="65"/>
  <c r="AJ73" i="65"/>
  <c r="AZ72" i="65"/>
  <c r="AY72" i="65"/>
  <c r="AX72" i="65"/>
  <c r="AW72" i="65"/>
  <c r="AV72" i="65"/>
  <c r="AU72" i="65"/>
  <c r="AT72" i="65"/>
  <c r="AS72" i="65"/>
  <c r="AR72" i="65"/>
  <c r="AQ72" i="65"/>
  <c r="AP72" i="65"/>
  <c r="AO72" i="65"/>
  <c r="AN72" i="65"/>
  <c r="AM72" i="65"/>
  <c r="AL72" i="65"/>
  <c r="AK72" i="65"/>
  <c r="AJ72" i="65"/>
  <c r="AZ71" i="65"/>
  <c r="AY71" i="65"/>
  <c r="AX71" i="65"/>
  <c r="AW71" i="65"/>
  <c r="AV71" i="65"/>
  <c r="AU71" i="65"/>
  <c r="AT71" i="65"/>
  <c r="AS71" i="65"/>
  <c r="AR71" i="65"/>
  <c r="AQ71" i="65"/>
  <c r="AP71" i="65"/>
  <c r="AO71" i="65"/>
  <c r="AN71" i="65"/>
  <c r="AM71" i="65"/>
  <c r="AL71" i="65"/>
  <c r="AK71" i="65"/>
  <c r="AJ71" i="65"/>
  <c r="AZ70" i="65"/>
  <c r="AY70" i="65"/>
  <c r="AX70" i="65"/>
  <c r="AW70" i="65"/>
  <c r="AV70" i="65"/>
  <c r="AU70" i="65"/>
  <c r="AT70" i="65"/>
  <c r="AS70" i="65"/>
  <c r="AR70" i="65"/>
  <c r="AQ70" i="65"/>
  <c r="AP70" i="65"/>
  <c r="AO70" i="65"/>
  <c r="AN70" i="65"/>
  <c r="AM70" i="65"/>
  <c r="AL70" i="65"/>
  <c r="AK70" i="65"/>
  <c r="AJ70" i="65"/>
  <c r="AZ69" i="65"/>
  <c r="AY69" i="65"/>
  <c r="AX69" i="65"/>
  <c r="AW69" i="65"/>
  <c r="AV69" i="65"/>
  <c r="AU69" i="65"/>
  <c r="AT69" i="65"/>
  <c r="AS69" i="65"/>
  <c r="AR69" i="65"/>
  <c r="AQ69" i="65"/>
  <c r="AP69" i="65"/>
  <c r="AO69" i="65"/>
  <c r="AN69" i="65"/>
  <c r="AM69" i="65"/>
  <c r="AL69" i="65"/>
  <c r="AK69" i="65"/>
  <c r="AJ69" i="65"/>
  <c r="AZ68" i="65"/>
  <c r="AY68" i="65"/>
  <c r="AX68" i="65"/>
  <c r="AW68" i="65"/>
  <c r="AV68" i="65"/>
  <c r="AU68" i="65"/>
  <c r="AT68" i="65"/>
  <c r="AS68" i="65"/>
  <c r="AR68" i="65"/>
  <c r="AQ68" i="65"/>
  <c r="AP68" i="65"/>
  <c r="AO68" i="65"/>
  <c r="AN68" i="65"/>
  <c r="AM68" i="65"/>
  <c r="AL68" i="65"/>
  <c r="AK68" i="65"/>
  <c r="AJ68" i="65"/>
  <c r="AZ67" i="65"/>
  <c r="AY67" i="65"/>
  <c r="AX67" i="65"/>
  <c r="AW67" i="65"/>
  <c r="AV67" i="65"/>
  <c r="AU67" i="65"/>
  <c r="AT67" i="65"/>
  <c r="AS67" i="65"/>
  <c r="AR67" i="65"/>
  <c r="AQ67" i="65"/>
  <c r="AP67" i="65"/>
  <c r="AO67" i="65"/>
  <c r="AN67" i="65"/>
  <c r="AM67" i="65"/>
  <c r="AL67" i="65"/>
  <c r="AK67" i="65"/>
  <c r="AJ67" i="65"/>
  <c r="AZ66" i="65"/>
  <c r="AY66" i="65"/>
  <c r="AX66" i="65"/>
  <c r="AW66" i="65"/>
  <c r="AV66" i="65"/>
  <c r="AU66" i="65"/>
  <c r="AT66" i="65"/>
  <c r="AS66" i="65"/>
  <c r="AR66" i="65"/>
  <c r="AQ66" i="65"/>
  <c r="AP66" i="65"/>
  <c r="AO66" i="65"/>
  <c r="AN66" i="65"/>
  <c r="AM66" i="65"/>
  <c r="AL66" i="65"/>
  <c r="AK66" i="65"/>
  <c r="AJ66" i="65"/>
  <c r="AZ65" i="65"/>
  <c r="AY65" i="65"/>
  <c r="AX65" i="65"/>
  <c r="AW65" i="65"/>
  <c r="AV65" i="65"/>
  <c r="AU65" i="65"/>
  <c r="AT65" i="65"/>
  <c r="AS65" i="65"/>
  <c r="AR65" i="65"/>
  <c r="AQ65" i="65"/>
  <c r="AP65" i="65"/>
  <c r="AO65" i="65"/>
  <c r="AN65" i="65"/>
  <c r="AM65" i="65"/>
  <c r="AL65" i="65"/>
  <c r="AK65" i="65"/>
  <c r="AJ65" i="65"/>
  <c r="AZ64" i="65"/>
  <c r="AY64" i="65"/>
  <c r="AX64" i="65"/>
  <c r="AW64" i="65"/>
  <c r="AV64" i="65"/>
  <c r="AU64" i="65"/>
  <c r="AT64" i="65"/>
  <c r="AS64" i="65"/>
  <c r="AR64" i="65"/>
  <c r="AQ64" i="65"/>
  <c r="AP64" i="65"/>
  <c r="AO64" i="65"/>
  <c r="AN64" i="65"/>
  <c r="AM64" i="65"/>
  <c r="AL64" i="65"/>
  <c r="AK64" i="65"/>
  <c r="AJ64" i="65"/>
  <c r="AZ63" i="65"/>
  <c r="AY63" i="65"/>
  <c r="AX63" i="65"/>
  <c r="AW63" i="65"/>
  <c r="AV63" i="65"/>
  <c r="AU63" i="65"/>
  <c r="AT63" i="65"/>
  <c r="AS63" i="65"/>
  <c r="AR63" i="65"/>
  <c r="AQ63" i="65"/>
  <c r="AP63" i="65"/>
  <c r="AO63" i="65"/>
  <c r="AN63" i="65"/>
  <c r="AM63" i="65"/>
  <c r="AL63" i="65"/>
  <c r="AK63" i="65"/>
  <c r="AJ63" i="65"/>
  <c r="AZ62" i="65"/>
  <c r="AY62" i="65"/>
  <c r="AX62" i="65"/>
  <c r="AW62" i="65"/>
  <c r="AV62" i="65"/>
  <c r="AU62" i="65"/>
  <c r="AT62" i="65"/>
  <c r="AS62" i="65"/>
  <c r="AR62" i="65"/>
  <c r="AQ62" i="65"/>
  <c r="AP62" i="65"/>
  <c r="AO62" i="65"/>
  <c r="AN62" i="65"/>
  <c r="AM62" i="65"/>
  <c r="AL62" i="65"/>
  <c r="AK62" i="65"/>
  <c r="AJ62" i="65"/>
  <c r="AZ61" i="65"/>
  <c r="AY61" i="65"/>
  <c r="AX61" i="65"/>
  <c r="AW61" i="65"/>
  <c r="AV61" i="65"/>
  <c r="AU61" i="65"/>
  <c r="AT61" i="65"/>
  <c r="AS61" i="65"/>
  <c r="AR61" i="65"/>
  <c r="AQ61" i="65"/>
  <c r="AP61" i="65"/>
  <c r="AO61" i="65"/>
  <c r="AN61" i="65"/>
  <c r="AM61" i="65"/>
  <c r="AL61" i="65"/>
  <c r="AK61" i="65"/>
  <c r="AJ61" i="65"/>
  <c r="AZ60" i="65"/>
  <c r="AY60" i="65"/>
  <c r="AX60" i="65"/>
  <c r="AW60" i="65"/>
  <c r="AV60" i="65"/>
  <c r="AU60" i="65"/>
  <c r="AT60" i="65"/>
  <c r="AS60" i="65"/>
  <c r="AR60" i="65"/>
  <c r="AQ60" i="65"/>
  <c r="AP60" i="65"/>
  <c r="AO60" i="65"/>
  <c r="AN60" i="65"/>
  <c r="AM60" i="65"/>
  <c r="AL60" i="65"/>
  <c r="AK60" i="65"/>
  <c r="AJ60" i="65"/>
  <c r="AZ59" i="65"/>
  <c r="AY59" i="65"/>
  <c r="AX59" i="65"/>
  <c r="AW59" i="65"/>
  <c r="AV59" i="65"/>
  <c r="AU59" i="65"/>
  <c r="AT59" i="65"/>
  <c r="AS59" i="65"/>
  <c r="AR59" i="65"/>
  <c r="AQ59" i="65"/>
  <c r="AP59" i="65"/>
  <c r="AO59" i="65"/>
  <c r="AN59" i="65"/>
  <c r="AM59" i="65"/>
  <c r="AL59" i="65"/>
  <c r="AK59" i="65"/>
  <c r="AJ59" i="65"/>
  <c r="AZ58" i="65"/>
  <c r="AY58" i="65"/>
  <c r="AX58" i="65"/>
  <c r="AW58" i="65"/>
  <c r="AV58" i="65"/>
  <c r="AU58" i="65"/>
  <c r="AT58" i="65"/>
  <c r="AS58" i="65"/>
  <c r="AR58" i="65"/>
  <c r="AQ58" i="65"/>
  <c r="AP58" i="65"/>
  <c r="AO58" i="65"/>
  <c r="AN58" i="65"/>
  <c r="AM58" i="65"/>
  <c r="AL58" i="65"/>
  <c r="AK58" i="65"/>
  <c r="AJ58" i="65"/>
  <c r="AZ57" i="65"/>
  <c r="AY57" i="65"/>
  <c r="AX57" i="65"/>
  <c r="AW57" i="65"/>
  <c r="AV57" i="65"/>
  <c r="AU57" i="65"/>
  <c r="AT57" i="65"/>
  <c r="AS57" i="65"/>
  <c r="AR57" i="65"/>
  <c r="AQ57" i="65"/>
  <c r="AP57" i="65"/>
  <c r="AO57" i="65"/>
  <c r="AN57" i="65"/>
  <c r="AM57" i="65"/>
  <c r="AL57" i="65"/>
  <c r="AK57" i="65"/>
  <c r="AJ57" i="65"/>
  <c r="AZ56" i="65"/>
  <c r="AY56" i="65"/>
  <c r="AX56" i="65"/>
  <c r="AW56" i="65"/>
  <c r="AV56" i="65"/>
  <c r="AU56" i="65"/>
  <c r="AT56" i="65"/>
  <c r="AS56" i="65"/>
  <c r="AR56" i="65"/>
  <c r="AQ56" i="65"/>
  <c r="AP56" i="65"/>
  <c r="AO56" i="65"/>
  <c r="AN56" i="65"/>
  <c r="AM56" i="65"/>
  <c r="AL56" i="65"/>
  <c r="AK56" i="65"/>
  <c r="AJ56" i="65"/>
  <c r="AZ55" i="65"/>
  <c r="AY55" i="65"/>
  <c r="AX55" i="65"/>
  <c r="AW55" i="65"/>
  <c r="AV55" i="65"/>
  <c r="AU55" i="65"/>
  <c r="AT55" i="65"/>
  <c r="AS55" i="65"/>
  <c r="AR55" i="65"/>
  <c r="AQ55" i="65"/>
  <c r="AP55" i="65"/>
  <c r="AO55" i="65"/>
  <c r="AN55" i="65"/>
  <c r="AM55" i="65"/>
  <c r="AL55" i="65"/>
  <c r="AK55" i="65"/>
  <c r="AJ55" i="65"/>
  <c r="AZ54" i="65"/>
  <c r="AY54" i="65"/>
  <c r="AX54" i="65"/>
  <c r="AW54" i="65"/>
  <c r="AV54" i="65"/>
  <c r="AU54" i="65"/>
  <c r="AT54" i="65"/>
  <c r="AS54" i="65"/>
  <c r="AR54" i="65"/>
  <c r="AQ54" i="65"/>
  <c r="AP54" i="65"/>
  <c r="AO54" i="65"/>
  <c r="AN54" i="65"/>
  <c r="AM54" i="65"/>
  <c r="AL54" i="65"/>
  <c r="AK54" i="65"/>
  <c r="AJ54" i="65"/>
  <c r="AZ53" i="65"/>
  <c r="AY53" i="65"/>
  <c r="AX53" i="65"/>
  <c r="AW53" i="65"/>
  <c r="AV53" i="65"/>
  <c r="AU53" i="65"/>
  <c r="AT53" i="65"/>
  <c r="AS53" i="65"/>
  <c r="AR53" i="65"/>
  <c r="AQ53" i="65"/>
  <c r="AP53" i="65"/>
  <c r="AO53" i="65"/>
  <c r="AN53" i="65"/>
  <c r="AM53" i="65"/>
  <c r="AL53" i="65"/>
  <c r="AK53" i="65"/>
  <c r="AJ53" i="65"/>
  <c r="AZ52" i="65"/>
  <c r="AY52" i="65"/>
  <c r="AX52" i="65"/>
  <c r="AW52" i="65"/>
  <c r="AV52" i="65"/>
  <c r="AU52" i="65"/>
  <c r="AT52" i="65"/>
  <c r="AS52" i="65"/>
  <c r="AR52" i="65"/>
  <c r="AQ52" i="65"/>
  <c r="AP52" i="65"/>
  <c r="AO52" i="65"/>
  <c r="AN52" i="65"/>
  <c r="AM52" i="65"/>
  <c r="AL52" i="65"/>
  <c r="AK52" i="65"/>
  <c r="AJ52" i="65"/>
  <c r="AZ51" i="65"/>
  <c r="AY51" i="65"/>
  <c r="AX51" i="65"/>
  <c r="AW51" i="65"/>
  <c r="AV51" i="65"/>
  <c r="AU51" i="65"/>
  <c r="AT51" i="65"/>
  <c r="AS51" i="65"/>
  <c r="AR51" i="65"/>
  <c r="AQ51" i="65"/>
  <c r="AP51" i="65"/>
  <c r="AO51" i="65"/>
  <c r="AN51" i="65"/>
  <c r="AM51" i="65"/>
  <c r="AL51" i="65"/>
  <c r="AK51" i="65"/>
  <c r="AJ51" i="65"/>
  <c r="AZ50" i="65"/>
  <c r="AY50" i="65"/>
  <c r="AX50" i="65"/>
  <c r="AW50" i="65"/>
  <c r="AV50" i="65"/>
  <c r="AU50" i="65"/>
  <c r="AT50" i="65"/>
  <c r="AS50" i="65"/>
  <c r="AR50" i="65"/>
  <c r="AQ50" i="65"/>
  <c r="AP50" i="65"/>
  <c r="AO50" i="65"/>
  <c r="AN50" i="65"/>
  <c r="AM50" i="65"/>
  <c r="AL50" i="65"/>
  <c r="AK50" i="65"/>
  <c r="AJ50" i="65"/>
  <c r="AZ49" i="65"/>
  <c r="AY49" i="65"/>
  <c r="AX49" i="65"/>
  <c r="AW49" i="65"/>
  <c r="AV49" i="65"/>
  <c r="AU49" i="65"/>
  <c r="AT49" i="65"/>
  <c r="AS49" i="65"/>
  <c r="AR49" i="65"/>
  <c r="AQ49" i="65"/>
  <c r="AP49" i="65"/>
  <c r="AO49" i="65"/>
  <c r="AN49" i="65"/>
  <c r="AM49" i="65"/>
  <c r="AL49" i="65"/>
  <c r="AK49" i="65"/>
  <c r="AJ49" i="65"/>
  <c r="AZ48" i="65"/>
  <c r="AY48" i="65"/>
  <c r="AX48" i="65"/>
  <c r="AW48" i="65"/>
  <c r="AV48" i="65"/>
  <c r="AU48" i="65"/>
  <c r="AT48" i="65"/>
  <c r="AS48" i="65"/>
  <c r="AR48" i="65"/>
  <c r="AQ48" i="65"/>
  <c r="AP48" i="65"/>
  <c r="AO48" i="65"/>
  <c r="AN48" i="65"/>
  <c r="AM48" i="65"/>
  <c r="AL48" i="65"/>
  <c r="AK48" i="65"/>
  <c r="AJ48" i="65"/>
  <c r="AZ47" i="65"/>
  <c r="AY47" i="65"/>
  <c r="AX47" i="65"/>
  <c r="AW47" i="65"/>
  <c r="AV47" i="65"/>
  <c r="AU47" i="65"/>
  <c r="AT47" i="65"/>
  <c r="AS47" i="65"/>
  <c r="AR47" i="65"/>
  <c r="AQ47" i="65"/>
  <c r="AP47" i="65"/>
  <c r="AO47" i="65"/>
  <c r="AN47" i="65"/>
  <c r="AM47" i="65"/>
  <c r="AL47" i="65"/>
  <c r="AK47" i="65"/>
  <c r="AJ47" i="65"/>
  <c r="AZ46" i="65"/>
  <c r="AY46" i="65"/>
  <c r="AX46" i="65"/>
  <c r="AW46" i="65"/>
  <c r="AV46" i="65"/>
  <c r="AU46" i="65"/>
  <c r="AT46" i="65"/>
  <c r="AS46" i="65"/>
  <c r="AR46" i="65"/>
  <c r="AQ46" i="65"/>
  <c r="AP46" i="65"/>
  <c r="AO46" i="65"/>
  <c r="AN46" i="65"/>
  <c r="AM46" i="65"/>
  <c r="AL46" i="65"/>
  <c r="AK46" i="65"/>
  <c r="AJ46" i="65"/>
  <c r="AZ45" i="65"/>
  <c r="AY45" i="65"/>
  <c r="AX45" i="65"/>
  <c r="AW45" i="65"/>
  <c r="AV45" i="65"/>
  <c r="AU45" i="65"/>
  <c r="AT45" i="65"/>
  <c r="AS45" i="65"/>
  <c r="AR45" i="65"/>
  <c r="AQ45" i="65"/>
  <c r="AP45" i="65"/>
  <c r="AO45" i="65"/>
  <c r="AN45" i="65"/>
  <c r="AM45" i="65"/>
  <c r="AL45" i="65"/>
  <c r="AK45" i="65"/>
  <c r="AJ45" i="65"/>
  <c r="AZ44" i="65"/>
  <c r="AY44" i="65"/>
  <c r="AX44" i="65"/>
  <c r="AW44" i="65"/>
  <c r="AV44" i="65"/>
  <c r="AU44" i="65"/>
  <c r="AT44" i="65"/>
  <c r="AS44" i="65"/>
  <c r="AR44" i="65"/>
  <c r="AQ44" i="65"/>
  <c r="AP44" i="65"/>
  <c r="AO44" i="65"/>
  <c r="AN44" i="65"/>
  <c r="AM44" i="65"/>
  <c r="AL44" i="65"/>
  <c r="AK44" i="65"/>
  <c r="AJ44" i="65"/>
  <c r="AZ43" i="65"/>
  <c r="AY43" i="65"/>
  <c r="AX43" i="65"/>
  <c r="AW43" i="65"/>
  <c r="AV43" i="65"/>
  <c r="AU43" i="65"/>
  <c r="AT43" i="65"/>
  <c r="AS43" i="65"/>
  <c r="AR43" i="65"/>
  <c r="AQ43" i="65"/>
  <c r="AP43" i="65"/>
  <c r="AO43" i="65"/>
  <c r="AN43" i="65"/>
  <c r="AM43" i="65"/>
  <c r="AL43" i="65"/>
  <c r="AK43" i="65"/>
  <c r="AJ43" i="65"/>
  <c r="AZ42" i="65"/>
  <c r="AY42" i="65"/>
  <c r="AX42" i="65"/>
  <c r="AW42" i="65"/>
  <c r="AV42" i="65"/>
  <c r="AU42" i="65"/>
  <c r="AT42" i="65"/>
  <c r="AS42" i="65"/>
  <c r="AR42" i="65"/>
  <c r="AQ42" i="65"/>
  <c r="AP42" i="65"/>
  <c r="AO42" i="65"/>
  <c r="AN42" i="65"/>
  <c r="AM42" i="65"/>
  <c r="AL42" i="65"/>
  <c r="AK42" i="65"/>
  <c r="AJ42" i="65"/>
  <c r="AZ41" i="65"/>
  <c r="AY41" i="65"/>
  <c r="AX41" i="65"/>
  <c r="AW41" i="65"/>
  <c r="AV41" i="65"/>
  <c r="AU41" i="65"/>
  <c r="AT41" i="65"/>
  <c r="AS41" i="65"/>
  <c r="AR41" i="65"/>
  <c r="AQ41" i="65"/>
  <c r="AP41" i="65"/>
  <c r="AO41" i="65"/>
  <c r="AN41" i="65"/>
  <c r="AM41" i="65"/>
  <c r="AL41" i="65"/>
  <c r="AK41" i="65"/>
  <c r="AJ41" i="65"/>
  <c r="AZ40" i="65"/>
  <c r="AY40" i="65"/>
  <c r="AX40" i="65"/>
  <c r="AW40" i="65"/>
  <c r="AV40" i="65"/>
  <c r="AU40" i="65"/>
  <c r="AT40" i="65"/>
  <c r="AS40" i="65"/>
  <c r="AR40" i="65"/>
  <c r="AQ40" i="65"/>
  <c r="AP40" i="65"/>
  <c r="AO40" i="65"/>
  <c r="AN40" i="65"/>
  <c r="AM40" i="65"/>
  <c r="AL40" i="65"/>
  <c r="AK40" i="65"/>
  <c r="AJ40" i="65"/>
  <c r="AZ39" i="65"/>
  <c r="AY39" i="65"/>
  <c r="AX39" i="65"/>
  <c r="AW39" i="65"/>
  <c r="AV39" i="65"/>
  <c r="AU39" i="65"/>
  <c r="AT39" i="65"/>
  <c r="AS39" i="65"/>
  <c r="AR39" i="65"/>
  <c r="AQ39" i="65"/>
  <c r="AP39" i="65"/>
  <c r="AO39" i="65"/>
  <c r="AN39" i="65"/>
  <c r="AM39" i="65"/>
  <c r="AL39" i="65"/>
  <c r="AK39" i="65"/>
  <c r="AJ39" i="65"/>
  <c r="AZ38" i="65"/>
  <c r="AY38" i="65"/>
  <c r="AX38" i="65"/>
  <c r="AW38" i="65"/>
  <c r="AV38" i="65"/>
  <c r="AU38" i="65"/>
  <c r="AT38" i="65"/>
  <c r="AS38" i="65"/>
  <c r="AR38" i="65"/>
  <c r="AQ38" i="65"/>
  <c r="AP38" i="65"/>
  <c r="AO38" i="65"/>
  <c r="AN38" i="65"/>
  <c r="AM38" i="65"/>
  <c r="AL38" i="65"/>
  <c r="AK38" i="65"/>
  <c r="AJ38" i="65"/>
  <c r="AZ37" i="65"/>
  <c r="AY37" i="65"/>
  <c r="AX37" i="65"/>
  <c r="AW37" i="65"/>
  <c r="AV37" i="65"/>
  <c r="AU37" i="65"/>
  <c r="AT37" i="65"/>
  <c r="AS37" i="65"/>
  <c r="AR37" i="65"/>
  <c r="AQ37" i="65"/>
  <c r="AP37" i="65"/>
  <c r="AO37" i="65"/>
  <c r="AN37" i="65"/>
  <c r="AM37" i="65"/>
  <c r="AL37" i="65"/>
  <c r="AK37" i="65"/>
  <c r="AJ37" i="65"/>
  <c r="AZ36" i="65"/>
  <c r="AY36" i="65"/>
  <c r="AX36" i="65"/>
  <c r="AW36" i="65"/>
  <c r="AV36" i="65"/>
  <c r="AU36" i="65"/>
  <c r="AT36" i="65"/>
  <c r="AS36" i="65"/>
  <c r="AR36" i="65"/>
  <c r="AQ36" i="65"/>
  <c r="AP36" i="65"/>
  <c r="AO36" i="65"/>
  <c r="AN36" i="65"/>
  <c r="AM36" i="65"/>
  <c r="AL36" i="65"/>
  <c r="AK36" i="65"/>
  <c r="AJ36" i="65"/>
  <c r="AZ35" i="65"/>
  <c r="AY35" i="65"/>
  <c r="AX35" i="65"/>
  <c r="AW35" i="65"/>
  <c r="AV35" i="65"/>
  <c r="AU35" i="65"/>
  <c r="AT35" i="65"/>
  <c r="AS35" i="65"/>
  <c r="AR35" i="65"/>
  <c r="AQ35" i="65"/>
  <c r="AP35" i="65"/>
  <c r="AO35" i="65"/>
  <c r="AN35" i="65"/>
  <c r="AM35" i="65"/>
  <c r="AL35" i="65"/>
  <c r="AK35" i="65"/>
  <c r="AJ35" i="65"/>
  <c r="AZ34" i="65"/>
  <c r="AY34" i="65"/>
  <c r="AX34" i="65"/>
  <c r="AW34" i="65"/>
  <c r="AV34" i="65"/>
  <c r="AU34" i="65"/>
  <c r="AT34" i="65"/>
  <c r="AS34" i="65"/>
  <c r="AR34" i="65"/>
  <c r="AQ34" i="65"/>
  <c r="AP34" i="65"/>
  <c r="AO34" i="65"/>
  <c r="AN34" i="65"/>
  <c r="AM34" i="65"/>
  <c r="AL34" i="65"/>
  <c r="AK34" i="65"/>
  <c r="AJ34" i="65"/>
  <c r="AZ33" i="65"/>
  <c r="AY33" i="65"/>
  <c r="AX33" i="65"/>
  <c r="AW33" i="65"/>
  <c r="AV33" i="65"/>
  <c r="AU33" i="65"/>
  <c r="AT33" i="65"/>
  <c r="AS33" i="65"/>
  <c r="AR33" i="65"/>
  <c r="AQ33" i="65"/>
  <c r="AP33" i="65"/>
  <c r="AO33" i="65"/>
  <c r="AN33" i="65"/>
  <c r="AM33" i="65"/>
  <c r="AL33" i="65"/>
  <c r="AK33" i="65"/>
  <c r="AJ33" i="65"/>
  <c r="AZ32" i="65"/>
  <c r="AY32" i="65"/>
  <c r="AX32" i="65"/>
  <c r="AW32" i="65"/>
  <c r="AV32" i="65"/>
  <c r="AU32" i="65"/>
  <c r="AT32" i="65"/>
  <c r="AS32" i="65"/>
  <c r="AR32" i="65"/>
  <c r="AQ32" i="65"/>
  <c r="AP32" i="65"/>
  <c r="AO32" i="65"/>
  <c r="AN32" i="65"/>
  <c r="AM32" i="65"/>
  <c r="AL32" i="65"/>
  <c r="AK32" i="65"/>
  <c r="AJ32" i="65"/>
  <c r="AZ31" i="65"/>
  <c r="AY31" i="65"/>
  <c r="AX31" i="65"/>
  <c r="AW31" i="65"/>
  <c r="AV31" i="65"/>
  <c r="AU31" i="65"/>
  <c r="AT31" i="65"/>
  <c r="AS31" i="65"/>
  <c r="AR31" i="65"/>
  <c r="AQ31" i="65"/>
  <c r="AP31" i="65"/>
  <c r="AO31" i="65"/>
  <c r="AN31" i="65"/>
  <c r="AM31" i="65"/>
  <c r="AL31" i="65"/>
  <c r="AK31" i="65"/>
  <c r="AJ31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N30" i="65"/>
  <c r="AM30" i="65"/>
  <c r="AL30" i="65"/>
  <c r="AK30" i="65"/>
  <c r="AJ30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N29" i="65"/>
  <c r="AM29" i="65"/>
  <c r="AL29" i="65"/>
  <c r="AK29" i="65"/>
  <c r="AJ29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N28" i="65"/>
  <c r="AM28" i="65"/>
  <c r="AL28" i="65"/>
  <c r="AK28" i="65"/>
  <c r="AJ28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N27" i="65"/>
  <c r="AM27" i="65"/>
  <c r="AL27" i="65"/>
  <c r="AK27" i="65"/>
  <c r="AJ27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N26" i="65"/>
  <c r="AM26" i="65"/>
  <c r="AL26" i="65"/>
  <c r="AK26" i="65"/>
  <c r="AJ26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N25" i="65"/>
  <c r="AM25" i="65"/>
  <c r="AL25" i="65"/>
  <c r="AK25" i="65"/>
  <c r="AJ25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N24" i="65"/>
  <c r="AM24" i="65"/>
  <c r="AL24" i="65"/>
  <c r="AK24" i="65"/>
  <c r="AJ24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N23" i="65"/>
  <c r="AM23" i="65"/>
  <c r="AL23" i="65"/>
  <c r="AK23" i="65"/>
  <c r="AJ23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N22" i="65"/>
  <c r="AM22" i="65"/>
  <c r="AL22" i="65"/>
  <c r="AK22" i="65"/>
  <c r="AJ22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N21" i="65"/>
  <c r="AM21" i="65"/>
  <c r="AL21" i="65"/>
  <c r="AK21" i="65"/>
  <c r="AJ21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N20" i="65"/>
  <c r="AM20" i="65"/>
  <c r="AL20" i="65"/>
  <c r="AK20" i="65"/>
  <c r="AJ20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N19" i="65"/>
  <c r="AM19" i="65"/>
  <c r="AL19" i="65"/>
  <c r="AK19" i="65"/>
  <c r="AJ19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N18" i="65"/>
  <c r="AM18" i="65"/>
  <c r="AL18" i="65"/>
  <c r="AK18" i="65"/>
  <c r="AJ18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N17" i="65"/>
  <c r="AM17" i="65"/>
  <c r="AL17" i="65"/>
  <c r="AK17" i="65"/>
  <c r="AJ17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N16" i="65"/>
  <c r="AM16" i="65"/>
  <c r="AL16" i="65"/>
  <c r="AK16" i="65"/>
  <c r="AJ16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N15" i="65"/>
  <c r="AM15" i="65"/>
  <c r="AL15" i="65"/>
  <c r="AK15" i="65"/>
  <c r="AJ15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N14" i="65"/>
  <c r="AM14" i="65"/>
  <c r="AL14" i="65"/>
  <c r="AK14" i="65"/>
  <c r="AJ14" i="65"/>
  <c r="AZ13" i="65"/>
  <c r="AY13" i="65"/>
  <c r="AX13" i="65"/>
  <c r="AW13" i="65"/>
  <c r="AV13" i="65"/>
  <c r="AU13" i="65"/>
  <c r="AT13" i="65"/>
  <c r="AS13" i="65"/>
  <c r="AR13" i="65"/>
  <c r="AQ13" i="65"/>
  <c r="AP13" i="65"/>
  <c r="AO13" i="65"/>
  <c r="AN13" i="65"/>
  <c r="AM13" i="65"/>
  <c r="AL13" i="65"/>
  <c r="AK13" i="65"/>
  <c r="AJ13" i="65"/>
  <c r="AZ12" i="65"/>
  <c r="AY12" i="65"/>
  <c r="AX12" i="65"/>
  <c r="AW12" i="65"/>
  <c r="AV12" i="65"/>
  <c r="AU12" i="65"/>
  <c r="AT12" i="65"/>
  <c r="AS12" i="65"/>
  <c r="AR12" i="65"/>
  <c r="AQ12" i="65"/>
  <c r="AP12" i="65"/>
  <c r="AO12" i="65"/>
  <c r="AN12" i="65"/>
  <c r="AM12" i="65"/>
  <c r="AL12" i="65"/>
  <c r="AK12" i="65"/>
  <c r="AJ12" i="65"/>
  <c r="AZ11" i="65"/>
  <c r="AY11" i="65"/>
  <c r="AX11" i="65"/>
  <c r="AW11" i="65"/>
  <c r="AV11" i="65"/>
  <c r="AU11" i="65"/>
  <c r="AT11" i="65"/>
  <c r="AS11" i="65"/>
  <c r="AR11" i="65"/>
  <c r="AQ11" i="65"/>
  <c r="AP11" i="65"/>
  <c r="AO11" i="65"/>
  <c r="AN11" i="65"/>
  <c r="AM11" i="65"/>
  <c r="AL11" i="65"/>
  <c r="AK11" i="65"/>
  <c r="AJ11" i="65"/>
  <c r="AZ10" i="65"/>
  <c r="AY10" i="65"/>
  <c r="AX10" i="65"/>
  <c r="AW10" i="65"/>
  <c r="AV10" i="65"/>
  <c r="AU10" i="65"/>
  <c r="AT10" i="65"/>
  <c r="AS10" i="65"/>
  <c r="AR10" i="65"/>
  <c r="AQ10" i="65"/>
  <c r="AP10" i="65"/>
  <c r="AO10" i="65"/>
  <c r="AN10" i="65"/>
  <c r="AM10" i="65"/>
  <c r="AL10" i="65"/>
  <c r="AK10" i="65"/>
  <c r="AJ10" i="65"/>
  <c r="AZ9" i="65"/>
  <c r="AY9" i="65"/>
  <c r="AX9" i="65"/>
  <c r="AW9" i="65"/>
  <c r="AV9" i="65"/>
  <c r="AU9" i="65"/>
  <c r="AT9" i="65"/>
  <c r="AS9" i="65"/>
  <c r="AR9" i="65"/>
  <c r="AQ9" i="65"/>
  <c r="AP9" i="65"/>
  <c r="AO9" i="65"/>
  <c r="AN9" i="65"/>
  <c r="AM9" i="65"/>
  <c r="AL9" i="65"/>
  <c r="AK9" i="65"/>
  <c r="AJ9" i="65"/>
  <c r="AZ8" i="65"/>
  <c r="AY8" i="65"/>
  <c r="AX8" i="65"/>
  <c r="AW8" i="65"/>
  <c r="AV8" i="65"/>
  <c r="AU8" i="65"/>
  <c r="AT8" i="65"/>
  <c r="AS8" i="65"/>
  <c r="AR8" i="65"/>
  <c r="AQ8" i="65"/>
  <c r="AP8" i="65"/>
  <c r="AO8" i="65"/>
  <c r="AN8" i="65"/>
  <c r="AM8" i="65"/>
  <c r="AL8" i="65"/>
  <c r="AK8" i="65"/>
  <c r="AJ8" i="65"/>
  <c r="AZ7" i="65"/>
  <c r="AY7" i="65"/>
  <c r="AX7" i="65"/>
  <c r="AW7" i="65"/>
  <c r="AV7" i="65"/>
  <c r="AU7" i="65"/>
  <c r="AT7" i="65"/>
  <c r="AS7" i="65"/>
  <c r="AR7" i="65"/>
  <c r="AQ7" i="65"/>
  <c r="AP7" i="65"/>
  <c r="AO7" i="65"/>
  <c r="AN7" i="65"/>
  <c r="AM7" i="65"/>
  <c r="AL7" i="65"/>
  <c r="AK7" i="65"/>
  <c r="AJ7" i="65"/>
  <c r="AZ6" i="65"/>
  <c r="AY6" i="65"/>
  <c r="AX6" i="65"/>
  <c r="AW6" i="65"/>
  <c r="AV6" i="65"/>
  <c r="AU6" i="65"/>
  <c r="AT6" i="65"/>
  <c r="AS6" i="65"/>
  <c r="AR6" i="65"/>
  <c r="AQ6" i="65"/>
  <c r="AP6" i="65"/>
  <c r="AO6" i="65"/>
  <c r="AN6" i="65"/>
  <c r="AM6" i="65"/>
  <c r="AL6" i="65"/>
  <c r="AK6" i="65"/>
  <c r="AJ6" i="65"/>
  <c r="AZ5" i="65"/>
  <c r="AY5" i="65"/>
  <c r="AX5" i="65"/>
  <c r="AW5" i="65"/>
  <c r="AV5" i="65"/>
  <c r="AU5" i="65"/>
  <c r="AT5" i="65"/>
  <c r="AS5" i="65"/>
  <c r="AR5" i="65"/>
  <c r="AQ5" i="65"/>
  <c r="AP5" i="65"/>
  <c r="AO5" i="65"/>
  <c r="AN5" i="65"/>
  <c r="AM5" i="65"/>
  <c r="AL5" i="65"/>
  <c r="AK5" i="65"/>
  <c r="AJ5" i="65"/>
  <c r="AZ4" i="65"/>
  <c r="AY4" i="65"/>
  <c r="AX4" i="65"/>
  <c r="AW4" i="65"/>
  <c r="AV4" i="65"/>
  <c r="AU4" i="65"/>
  <c r="AT4" i="65"/>
  <c r="AS4" i="65"/>
  <c r="AR4" i="65"/>
  <c r="AQ4" i="65"/>
  <c r="AP4" i="65"/>
  <c r="AO4" i="65"/>
  <c r="AN4" i="65"/>
  <c r="AM4" i="65"/>
  <c r="AL4" i="65"/>
  <c r="AK4" i="65"/>
  <c r="AJ4" i="65"/>
  <c r="AZ3" i="65"/>
  <c r="AY3" i="65"/>
  <c r="AX3" i="65"/>
  <c r="AW3" i="65"/>
  <c r="AV3" i="65"/>
  <c r="AU3" i="65"/>
  <c r="AT3" i="65"/>
  <c r="AS3" i="65"/>
  <c r="AR3" i="65"/>
  <c r="AQ3" i="65"/>
  <c r="AP3" i="65"/>
  <c r="AO3" i="65"/>
  <c r="AN3" i="65"/>
  <c r="AM3" i="65"/>
  <c r="AL3" i="65"/>
  <c r="AK3" i="65"/>
  <c r="AJ3" i="65"/>
  <c r="M21" i="63" l="1"/>
  <c r="L21" i="63"/>
  <c r="M20" i="63"/>
  <c r="L20" i="63"/>
  <c r="M19" i="63"/>
  <c r="L19" i="63"/>
  <c r="M18" i="63"/>
  <c r="L18" i="63"/>
  <c r="M17" i="63"/>
  <c r="L17" i="63"/>
  <c r="M16" i="63"/>
  <c r="L16" i="63"/>
  <c r="M15" i="63"/>
  <c r="L15" i="63"/>
  <c r="M14" i="63"/>
  <c r="L14" i="63"/>
  <c r="M13" i="63"/>
  <c r="L13" i="63"/>
  <c r="M12" i="63"/>
  <c r="L12" i="63"/>
  <c r="M11" i="63"/>
  <c r="L11" i="63"/>
  <c r="M10" i="63"/>
  <c r="L10" i="63"/>
  <c r="B10" i="63"/>
  <c r="M9" i="63"/>
  <c r="L9" i="63"/>
  <c r="M8" i="63"/>
  <c r="L8" i="63"/>
  <c r="M7" i="63"/>
  <c r="L7" i="63"/>
  <c r="N7" i="63"/>
  <c r="M6" i="63"/>
  <c r="L6" i="63"/>
  <c r="M5" i="63"/>
  <c r="L5" i="63"/>
  <c r="R21" i="63"/>
  <c r="P20" i="63"/>
  <c r="R17" i="63"/>
  <c r="P16" i="63"/>
  <c r="R13" i="63"/>
  <c r="P12" i="63"/>
  <c r="Q8" i="63"/>
  <c r="R8" i="63"/>
  <c r="Q21" i="63"/>
  <c r="Q17" i="63"/>
  <c r="Q13" i="63"/>
  <c r="R9" i="63"/>
  <c r="P8" i="63"/>
  <c r="R5" i="63"/>
  <c r="P21" i="63"/>
  <c r="R18" i="63"/>
  <c r="P17" i="63"/>
  <c r="R14" i="63"/>
  <c r="P13" i="63"/>
  <c r="R10" i="63"/>
  <c r="Q9" i="63"/>
  <c r="R11" i="63"/>
  <c r="P5" i="63"/>
  <c r="Q18" i="63"/>
  <c r="Q14" i="63"/>
  <c r="Q10" i="63"/>
  <c r="P9" i="63"/>
  <c r="Q5" i="63"/>
  <c r="R7" i="63"/>
  <c r="Q20" i="63"/>
  <c r="R19" i="63"/>
  <c r="P18" i="63"/>
  <c r="R15" i="63"/>
  <c r="P14" i="63"/>
  <c r="P10" i="63"/>
  <c r="R6" i="63"/>
  <c r="Q6" i="63"/>
  <c r="Q19" i="63"/>
  <c r="Q15" i="63"/>
  <c r="Q11" i="63"/>
  <c r="Q16" i="63"/>
  <c r="Q12" i="63"/>
  <c r="R20" i="63"/>
  <c r="P19" i="63"/>
  <c r="R16" i="63"/>
  <c r="P15" i="63"/>
  <c r="R12" i="63"/>
  <c r="P11" i="63"/>
  <c r="Q7" i="63"/>
  <c r="P6" i="63"/>
  <c r="P7" i="63"/>
  <c r="N8" i="63" l="1"/>
  <c r="N10" i="63"/>
  <c r="N12" i="63"/>
  <c r="N20" i="63"/>
  <c r="N18" i="63"/>
  <c r="N16" i="63"/>
  <c r="N9" i="63"/>
  <c r="N14" i="63"/>
  <c r="N5" i="63"/>
  <c r="N13" i="63"/>
  <c r="N17" i="63"/>
  <c r="N21" i="63"/>
  <c r="N15" i="63"/>
  <c r="N11" i="63"/>
  <c r="N6" i="63"/>
  <c r="N19" i="63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<sst xmlns="http://schemas.openxmlformats.org/spreadsheetml/2006/main" count="7819" uniqueCount="728">
  <si>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</si>
  <si>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</si>
  <si>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</si>
  <si>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</si>
  <si>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</si>
  <si>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</si>
  <si>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</si>
  <si>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</si>
  <si>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</si>
  <si>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</si>
  <si>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</si>
  <si>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</si>
  <si>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</si>
  <si>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</si>
  <si>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</si>
  <si>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</si>
  <si>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</si>
  <si>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</si>
  <si>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</si>
  <si>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</si>
  <si>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</si>
  <si>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</si>
  <si>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</si>
  <si>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</si>
  <si>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</si>
  <si>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</si>
  <si>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</si>
  <si>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</si>
  <si>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</si>
  <si>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</si>
  <si>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</si>
  <si>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</si>
  <si>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</si>
  <si>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</si>
  <si>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</si>
  <si>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</si>
  <si>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</si>
  <si>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</si>
  <si>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</si>
  <si>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</si>
  <si>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</si>
  <si>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</si>
  <si>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</si>
  <si>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</si>
  <si>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</si>
  <si>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</si>
  <si>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</si>
  <si>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</si>
  <si>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</si>
  <si>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</si>
  <si>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</si>
  <si>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</si>
  <si>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</si>
  <si>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</si>
  <si>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</si>
  <si>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</si>
  <si>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</si>
  <si>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</si>
  <si>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</si>
  <si>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</si>
  <si>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</si>
  <si>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</si>
  <si>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</si>
  <si>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</si>
  <si>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</si>
  <si>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</si>
  <si>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</si>
  <si>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</si>
  <si>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</si>
  <si>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</si>
  <si>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</si>
  <si>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</si>
  <si>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</si>
  <si>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</si>
  <si>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</si>
  <si>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</si>
  <si>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</si>
  <si>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</si>
  <si>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</si>
  <si>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</si>
  <si>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</si>
  <si>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</si>
  <si>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</si>
  <si>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</si>
  <si>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</si>
  <si>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</si>
  <si>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</si>
  <si>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</si>
  <si>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</si>
  <si>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</si>
  <si>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</si>
  <si>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</si>
  <si>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</si>
  <si>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</si>
  <si>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</si>
  <si>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</si>
  <si>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</si>
  <si>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</si>
  <si>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</si>
  <si>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</si>
  <si>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</si>
  <si>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</si>
  <si>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</si>
  <si>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</si>
  <si>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</si>
  <si>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</si>
  <si>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</si>
  <si>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</si>
  <si>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</si>
  <si>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</si>
  <si>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</si>
  <si>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</si>
  <si>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</si>
  <si>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</si>
  <si>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</si>
  <si>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</si>
  <si>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</si>
  <si>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</si>
  <si>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</si>
  <si>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</si>
  <si>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</si>
  <si>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</si>
  <si>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</si>
  <si>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</si>
  <si>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</si>
  <si>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</si>
  <si>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</si>
  <si>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</si>
  <si>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</si>
  <si>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</si>
  <si>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</si>
  <si>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 xml:space="preserve">This Worksheet Template: </t>
  </si>
  <si>
    <t>Factor description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</si>
  <si>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</si>
  <si>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</si>
  <si>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</si>
  <si>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</si>
  <si>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</si>
  <si>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</si>
  <si>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</si>
  <si>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</si>
  <si>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</si>
  <si>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</si>
  <si>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</si>
  <si>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</si>
  <si>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</si>
  <si>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</si>
  <si>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</si>
  <si>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</si>
  <si>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</si>
  <si>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</si>
  <si>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</si>
  <si>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</si>
  <si>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</si>
  <si>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</si>
  <si>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</si>
  <si>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</si>
  <si>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</si>
  <si>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</si>
  <si>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</si>
  <si>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</si>
  <si>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</si>
  <si>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</si>
  <si>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</si>
  <si>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</si>
  <si>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</si>
  <si>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</si>
  <si>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</si>
  <si>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residential</t>
  </si>
  <si>
    <t>medium</t>
  </si>
  <si>
    <t>yes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</si>
  <si>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</si>
  <si>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</si>
  <si>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</si>
  <si>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</si>
  <si>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</si>
  <si>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</si>
  <si>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</si>
  <si>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</si>
  <si>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</si>
  <si>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</si>
  <si>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</si>
  <si>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</si>
  <si>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</si>
  <si>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</si>
  <si>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</si>
  <si>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</si>
  <si>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</si>
  <si>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</si>
  <si>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</si>
  <si>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</si>
  <si>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</si>
  <si>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</si>
  <si>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</si>
  <si>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</si>
  <si>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Exterior Wall Finish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</si>
  <si>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</si>
  <si>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</si>
  <si>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</si>
  <si>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</si>
  <si>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</si>
  <si>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</si>
  <si>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</si>
  <si>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</si>
  <si>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</si>
  <si>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</si>
  <si>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</si>
  <si>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</si>
  <si>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</si>
  <si>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</si>
  <si>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</si>
  <si>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</si>
  <si>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</si>
  <si>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</si>
  <si>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</si>
  <si>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</si>
  <si>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</si>
  <si>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</si>
  <si>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</si>
  <si>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>interior wall finish</t>
  </si>
  <si>
    <t>ceiling finish</t>
  </si>
  <si>
    <t>paint 100%</t>
  </si>
  <si>
    <t>heating system</t>
  </si>
  <si>
    <t xml:space="preserve">forced air </t>
  </si>
  <si>
    <t xml:space="preserve">cooling system </t>
  </si>
  <si>
    <t>specitaly systems</t>
  </si>
  <si>
    <t>electrical service</t>
  </si>
  <si>
    <t>fireplaces</t>
  </si>
  <si>
    <t>lighting</t>
  </si>
  <si>
    <t>ceiling fan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</si>
  <si>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</si>
  <si>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</si>
  <si>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</si>
  <si>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</si>
  <si>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</si>
  <si>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</si>
  <si>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</si>
  <si>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</si>
  <si>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</si>
  <si>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</si>
  <si>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Bath</t>
  </si>
  <si>
    <t>Bath2</t>
  </si>
  <si>
    <t>small</t>
  </si>
  <si>
    <t>Bedroom2</t>
  </si>
  <si>
    <t>large</t>
  </si>
  <si>
    <t>Bedroom3</t>
  </si>
  <si>
    <t>LivingRoom</t>
  </si>
  <si>
    <t>UtilityRoom</t>
  </si>
  <si>
    <t>(performed with various routines)</t>
  </si>
  <si>
    <t>Response Category</t>
  </si>
  <si>
    <t>Calgary, Alberta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</si>
  <si>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</si>
  <si>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</si>
  <si>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</si>
  <si>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</si>
  <si>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</si>
  <si>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</si>
  <si>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</si>
  <si>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</si>
  <si>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</si>
  <si>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</si>
  <si>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</si>
  <si>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LF</t>
  </si>
  <si>
    <t>PNT</t>
  </si>
  <si>
    <t>FNC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</si>
  <si>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</si>
  <si>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</si>
  <si>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</si>
  <si>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</si>
  <si>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</si>
  <si>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</si>
  <si>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</si>
  <si>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</si>
  <si>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</si>
  <si>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</si>
  <si>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</si>
  <si>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</si>
  <si>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</si>
  <si>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</si>
  <si>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</si>
  <si>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</si>
  <si>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</si>
  <si>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</si>
  <si>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</si>
  <si>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</si>
  <si>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</si>
  <si>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</si>
  <si>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</si>
  <si>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</si>
  <si>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</si>
  <si>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</si>
  <si>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</si>
  <si>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</si>
  <si>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</si>
  <si>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</si>
  <si>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</si>
  <si>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</si>
  <si>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</si>
  <si>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</si>
  <si>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</si>
  <si>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</si>
  <si>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</si>
  <si>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Thermostat - High grade</t>
  </si>
  <si>
    <t>TS+</t>
  </si>
  <si>
    <t>Exterior light fixture</t>
  </si>
  <si>
    <t>X</t>
  </si>
  <si>
    <t>Door lockset &amp; deadbolt - exterior</t>
  </si>
  <si>
    <t>DBX</t>
  </si>
  <si>
    <t>WDP</t>
  </si>
  <si>
    <t>AV</t>
  </si>
  <si>
    <t>Phone, TV, or speaker outlet</t>
  </si>
  <si>
    <t>OL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</si>
  <si>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</si>
  <si>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</si>
  <si>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</si>
  <si>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</si>
  <si>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</si>
  <si>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</si>
  <si>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</si>
  <si>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</si>
  <si>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MBL</t>
  </si>
  <si>
    <t>Mortar bed for tile</t>
  </si>
  <si>
    <t>TIL</t>
  </si>
  <si>
    <t>BMUD</t>
  </si>
  <si>
    <t>Outlet</t>
  </si>
  <si>
    <t>OS</t>
  </si>
  <si>
    <t>Mirror - 1/4" plate glass</t>
  </si>
  <si>
    <t>MSD</t>
  </si>
  <si>
    <t>Ductwork - flexible - non-insulated - 3" round</t>
  </si>
  <si>
    <t>DCTFN3</t>
  </si>
  <si>
    <t>Ground fault interrupter (GFI) outlet</t>
  </si>
  <si>
    <t>GFI</t>
  </si>
  <si>
    <t>CAB</t>
  </si>
  <si>
    <t>Countertop - solid surface - High grade</t>
  </si>
  <si>
    <t>CTSS+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</si>
  <si>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</si>
  <si>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</si>
  <si>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</si>
  <si>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</si>
  <si>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</si>
  <si>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</si>
  <si>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</si>
  <si>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</si>
  <si>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</si>
  <si>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</si>
  <si>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</si>
  <si>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</si>
  <si>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</si>
  <si>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FCT</t>
  </si>
  <si>
    <t>Sand &amp; finish wood floor (natural finish)</t>
  </si>
  <si>
    <t>FCW</t>
  </si>
  <si>
    <t>FIN</t>
  </si>
  <si>
    <t>Oak flooring - select grade - no finish</t>
  </si>
  <si>
    <t>FCC</t>
  </si>
  <si>
    <t>Light fixture</t>
  </si>
  <si>
    <t>Paint bifold door set - slab only - 2 coats (per side)</t>
  </si>
  <si>
    <t>BF</t>
  </si>
  <si>
    <t>220 volt outlet</t>
  </si>
  <si>
    <t>OL220</t>
  </si>
  <si>
    <t>Appliance water line - 1/4"</t>
  </si>
  <si>
    <t>APP</t>
  </si>
  <si>
    <t>WL</t>
  </si>
  <si>
    <t>Cabinet knob or pull</t>
  </si>
  <si>
    <t>KNPL</t>
  </si>
  <si>
    <t>Cabinetry - laminate lower (base) units - High grade</t>
  </si>
  <si>
    <t>FLOW+</t>
  </si>
  <si>
    <t>Microwave oven - over range w/built-in hood</t>
  </si>
  <si>
    <t>MWS</t>
  </si>
  <si>
    <t>110 volt copper wiring run, box and outlet</t>
  </si>
  <si>
    <t>110</t>
  </si>
  <si>
    <t>220 volt copper wiring run, box and receptacle</t>
  </si>
  <si>
    <t>220</t>
  </si>
  <si>
    <t>Paint crown moulding, oversized - one coat</t>
  </si>
  <si>
    <t>CWN&gt;</t>
  </si>
  <si>
    <t>Crown moulding - 4 1/4" stain grade</t>
  </si>
  <si>
    <t>CWN&gt;+</t>
  </si>
  <si>
    <t>Patio</t>
  </si>
  <si>
    <t>Cat.Sel</t>
  </si>
  <si>
    <t>group_1</t>
  </si>
  <si>
    <t>general</t>
  </si>
  <si>
    <t>ELE.SMOKE+</t>
  </si>
  <si>
    <t>LIT.FL2-6+</t>
  </si>
  <si>
    <t>HVC.DVENT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</si>
  <si>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</si>
  <si>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</si>
  <si>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</si>
  <si>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</si>
  <si>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</si>
  <si>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</si>
  <si>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</si>
  <si>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</si>
  <si>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</si>
  <si>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</si>
  <si>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HVC.FRFAH&gt;</t>
  </si>
  <si>
    <t>HVC.TS+</t>
  </si>
  <si>
    <t>general_main</t>
  </si>
  <si>
    <t>LIT.X</t>
  </si>
  <si>
    <t>FNH.DBX</t>
  </si>
  <si>
    <t>ELE.OL</t>
  </si>
  <si>
    <t>ELE.LV</t>
  </si>
  <si>
    <t>ELE.XOS</t>
  </si>
  <si>
    <t>ELE.REWIRE</t>
  </si>
  <si>
    <t>FNC.CLROD</t>
  </si>
  <si>
    <t>TIL.BMUD</t>
  </si>
  <si>
    <t>ELE.OS</t>
  </si>
  <si>
    <t>MSD.AV</t>
  </si>
  <si>
    <t>HVC.DCTFN3</t>
  </si>
  <si>
    <t>ELE.GFI</t>
  </si>
  <si>
    <t>CAB.CTSS+</t>
  </si>
  <si>
    <t>WPR.BORDR-</t>
  </si>
  <si>
    <t>WPR.AV-</t>
  </si>
  <si>
    <t>PNT.S</t>
  </si>
  <si>
    <t>PNT.BS</t>
  </si>
  <si>
    <t>FNC.B3+</t>
  </si>
  <si>
    <t>PNT.P</t>
  </si>
  <si>
    <t>FCW.FIN</t>
  </si>
  <si>
    <t>FCW.AV+</t>
  </si>
  <si>
    <t>LIT.AV</t>
  </si>
  <si>
    <t>PNT.BF</t>
  </si>
  <si>
    <t>ELE.OL220</t>
  </si>
  <si>
    <t>APP.WL</t>
  </si>
  <si>
    <t>CAB.KNPL</t>
  </si>
  <si>
    <t>CAB.FLOW+</t>
  </si>
  <si>
    <t>APP.MWS</t>
  </si>
  <si>
    <t>ELE.110</t>
  </si>
  <si>
    <t>ELE.220</t>
  </si>
  <si>
    <t>PNT.CWN&gt;</t>
  </si>
  <si>
    <t>FNC.CWN&gt;+</t>
  </si>
  <si>
    <t>Full Bath-medium</t>
  </si>
  <si>
    <t>Bedroom-medium</t>
  </si>
  <si>
    <t>Kitchen-medium</t>
  </si>
  <si>
    <t>Bedroom-large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</si>
  <si>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</si>
  <si>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</si>
  <si>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</si>
  <si>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</si>
  <si>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</si>
  <si>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</si>
  <si>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</si>
  <si>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</si>
  <si>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david.sol</t>
  </si>
  <si>
    <t>impact</t>
  </si>
  <si>
    <t>R_1-C</t>
  </si>
  <si>
    <t>$/structure</t>
  </si>
  <si>
    <t>R_1-M-C-CU_VAL</t>
  </si>
  <si>
    <t>custom</t>
  </si>
  <si>
    <t>Custom</t>
  </si>
  <si>
    <t>6-7 Corners - L Shape</t>
  </si>
  <si>
    <t>stucco - traditional hard-coat 70%, brick veneer 30%</t>
  </si>
  <si>
    <t>carpet 40%, hardwood plank 40%, tile ceramic 20%</t>
  </si>
  <si>
    <t>specialty window (2)</t>
  </si>
  <si>
    <t>drywall 100%</t>
  </si>
  <si>
    <t>paint 50%, wallpaper 40%, paneling 10%</t>
  </si>
  <si>
    <t>central air</t>
  </si>
  <si>
    <t>water softener</t>
  </si>
  <si>
    <t>200 amp</t>
  </si>
  <si>
    <t>masonry fireplace</t>
  </si>
  <si>
    <t>built-in bookcase/entertainment</t>
  </si>
  <si>
    <t>laundry tub</t>
  </si>
  <si>
    <t>chair rail</t>
  </si>
  <si>
    <t>Garbage Disposal, Dishwasher, Range Hood - built in, space saver microwave, cook top, built-in oven, built-in refrigerator, built-in freezer</t>
  </si>
  <si>
    <t>quartz</t>
  </si>
  <si>
    <t>peninsula bar, glass cabinet doors (10), chair rail</t>
  </si>
  <si>
    <t>nat. marble tub/shower surrount, jetted tub, extra sink (1), brass faucet (1)</t>
  </si>
  <si>
    <t>nat. marble tub/shower surrount,  extra sink (1), brass faucet (1)</t>
  </si>
  <si>
    <t>Bath3</t>
  </si>
  <si>
    <t>half bath</t>
  </si>
  <si>
    <t>cathedral/vaulted ceiling, cornice or crown molding</t>
  </si>
  <si>
    <t>x-large</t>
  </si>
  <si>
    <t>FamilyRoom</t>
  </si>
  <si>
    <t>cathedral/vaulted ceiling, cornice or crown molding, decorative beams (1)</t>
  </si>
  <si>
    <t>DiningRoom</t>
  </si>
  <si>
    <t>Dining Room</t>
  </si>
  <si>
    <t>EntryFoyer</t>
  </si>
  <si>
    <t>Entry Foyer</t>
  </si>
  <si>
    <t>LaundryRoom</t>
  </si>
  <si>
    <t>Laundry Room</t>
  </si>
  <si>
    <t>cornice or crown molding</t>
  </si>
  <si>
    <t>WalkInCloset</t>
  </si>
  <si>
    <t>R_1-M-C-CU_ABCA</t>
  </si>
  <si>
    <t>R_1-M-C-CU_info</t>
  </si>
  <si>
    <t>R_1-M-C-CU_ABCA.xlsx</t>
  </si>
  <si>
    <t>R_1-M-C-CU_ABCA_rep.xlsx</t>
  </si>
  <si>
    <t>david.sol at 2023-09-07 22:46</t>
  </si>
  <si>
    <t>Stain &amp; finish wood window sill</t>
  </si>
  <si>
    <t>SILLS</t>
  </si>
  <si>
    <t>Window sill - hardwood</t>
  </si>
  <si>
    <t>SILLH</t>
  </si>
  <si>
    <t>HR</t>
  </si>
  <si>
    <t>LAB</t>
  </si>
  <si>
    <t>Finish Carpenter - per hour</t>
  </si>
  <si>
    <t>Ductwork system - hot or cold air - 1600 to 2199 SF home</t>
  </si>
  <si>
    <t>DCT&gt;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</si>
  <si>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</si>
  <si>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</si>
  <si>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</si>
  <si>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</si>
  <si>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</si>
  <si>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</si>
  <si>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</si>
  <si>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</si>
  <si>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</si>
  <si>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</si>
  <si>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</si>
  <si>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</si>
  <si>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</si>
  <si>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</si>
  <si>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</si>
  <si>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</si>
  <si>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</si>
  <si>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</si>
  <si>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</si>
  <si>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</si>
  <si>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</si>
  <si>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Ceiling fan without light - High grade</t>
  </si>
  <si>
    <t>FN+</t>
  </si>
  <si>
    <t>Exterior light fixture - High grade</t>
  </si>
  <si>
    <t>X+</t>
  </si>
  <si>
    <t>Exterior door - metal - insulated / wood - High grade</t>
  </si>
  <si>
    <t>6-0 6-8 vinyl sliding patio door - High grade</t>
  </si>
  <si>
    <t>6V+</t>
  </si>
  <si>
    <t>Breaker panel - 200 amp</t>
  </si>
  <si>
    <t>BPNL200</t>
  </si>
  <si>
    <t>Sink faucet - Brass</t>
  </si>
  <si>
    <t>FAUB</t>
  </si>
  <si>
    <t>Light fixture - High grade</t>
  </si>
  <si>
    <t>Paneling</t>
  </si>
  <si>
    <t>PNL</t>
  </si>
  <si>
    <t>Tile floor covering - Premium grade</t>
  </si>
  <si>
    <t>AV++</t>
  </si>
  <si>
    <t>Carpet pad - High grade</t>
  </si>
  <si>
    <t>PAD+</t>
  </si>
  <si>
    <t>Carpet - Premium grade</t>
  </si>
  <si>
    <t>Wall veneer panels - natural marble</t>
  </si>
  <si>
    <t>WN</t>
  </si>
  <si>
    <t>Toilet paper holder - High grade</t>
  </si>
  <si>
    <t>TP+</t>
  </si>
  <si>
    <t>Towel bar - High grade</t>
  </si>
  <si>
    <t>TBAR+</t>
  </si>
  <si>
    <t>Towel ring - High grade</t>
  </si>
  <si>
    <t>TR+</t>
  </si>
  <si>
    <t>Medicine cabinet - High grade</t>
  </si>
  <si>
    <t>MC+</t>
  </si>
  <si>
    <t>Toilet seat - High grade</t>
  </si>
  <si>
    <t>TLTS+</t>
  </si>
  <si>
    <t>Toilet - High grade</t>
  </si>
  <si>
    <t>TLT+</t>
  </si>
  <si>
    <t>Bathtub enclosure - sliding glass doors - High grade</t>
  </si>
  <si>
    <t>TUBDR+</t>
  </si>
  <si>
    <t>Tub/shower faucet - High grade</t>
  </si>
  <si>
    <t>TSFAU+</t>
  </si>
  <si>
    <t>Bathroom ventilation fan - High grade</t>
  </si>
  <si>
    <t>BVENT+</t>
  </si>
  <si>
    <t>Light bar - 3 lights - High grade</t>
  </si>
  <si>
    <t>BAR3+</t>
  </si>
  <si>
    <t>Jetted tub faucet - High grade</t>
  </si>
  <si>
    <t>JTFAU+</t>
  </si>
  <si>
    <t>Jetted tub - Acrylic - High grade</t>
  </si>
  <si>
    <t>JT+</t>
  </si>
  <si>
    <t>Vanity - High grade</t>
  </si>
  <si>
    <t>VAN+</t>
  </si>
  <si>
    <t>Sink faucet - Bathroom - High grade</t>
  </si>
  <si>
    <t>FAUBA+</t>
  </si>
  <si>
    <t>Sink - single - High grade</t>
  </si>
  <si>
    <t>SNK+</t>
  </si>
  <si>
    <t>Light bar - 2 lights - High grade</t>
  </si>
  <si>
    <t>BAR2+</t>
  </si>
  <si>
    <t>Bathtub - High grade</t>
  </si>
  <si>
    <t>TUB+</t>
  </si>
  <si>
    <t>Washing machine outlet box with valves</t>
  </si>
  <si>
    <t>WBOX</t>
  </si>
  <si>
    <t>Cabinetry - upper (wall) units - High grade</t>
  </si>
  <si>
    <t>UP+</t>
  </si>
  <si>
    <t>Shelving - 12" - in place</t>
  </si>
  <si>
    <t>SH12</t>
  </si>
  <si>
    <t>Trim board - 1" x 6" - installed (hardwood - oak or =)</t>
  </si>
  <si>
    <t>1X6H</t>
  </si>
  <si>
    <t>Trim board - 1" x 12" - installed (hardwood - oak or =)</t>
  </si>
  <si>
    <t>1X12H</t>
  </si>
  <si>
    <t>Bifold door set - Birch veneer - Double</t>
  </si>
  <si>
    <t>BF+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</si>
  <si>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</si>
  <si>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</si>
  <si>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</si>
  <si>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</si>
  <si>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</si>
  <si>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</si>
  <si>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</si>
  <si>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</si>
  <si>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</si>
  <si>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</si>
  <si>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</si>
  <si>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</si>
  <si>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</si>
  <si>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</si>
  <si>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Custom cabinets - wall units - up to 24" tall - High grade</t>
  </si>
  <si>
    <t>CUW24+</t>
  </si>
  <si>
    <t>Cabinetry - full height unit - High grade</t>
  </si>
  <si>
    <t>FH+</t>
  </si>
  <si>
    <t>Built-in freezer - 36" - High grade</t>
  </si>
  <si>
    <t>FRBI+</t>
  </si>
  <si>
    <t>Built-in refrigerator - 36" - High grade</t>
  </si>
  <si>
    <t>RFBI+</t>
  </si>
  <si>
    <t>Built-in oven - High grade</t>
  </si>
  <si>
    <t>OVBI+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</si>
  <si>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</si>
  <si>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</si>
  <si>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</si>
  <si>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</si>
  <si>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</si>
  <si>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</si>
  <si>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</si>
  <si>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</si>
  <si>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</si>
  <si>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</si>
  <si>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</si>
  <si>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</si>
  <si>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</si>
  <si>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</si>
  <si>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Storm door assembly - High grade</t>
  </si>
  <si>
    <t>STRMD+</t>
  </si>
  <si>
    <t>david.sol at 2023-09-07 22:47</t>
  </si>
  <si>
    <t>PNT.SILLS</t>
  </si>
  <si>
    <t>FNC.SILLH</t>
  </si>
  <si>
    <t>FNC.LAB</t>
  </si>
  <si>
    <t>INS.BTF10_c1</t>
  </si>
  <si>
    <t>HVC.DCT&gt;_m1</t>
  </si>
  <si>
    <t>HVC.DRNL</t>
  </si>
  <si>
    <t>HVC.AC&gt;_m</t>
  </si>
  <si>
    <t>PNT.MNTLS</t>
  </si>
  <si>
    <t>FPL.MNTL+</t>
  </si>
  <si>
    <t>PLM.WS&gt;</t>
  </si>
  <si>
    <t>PNT.BK</t>
  </si>
  <si>
    <t>FNC.BK12</t>
  </si>
  <si>
    <t>PLM.RGHFIX</t>
  </si>
  <si>
    <t>PLM.FAU+</t>
  </si>
  <si>
    <t>PLM.LTUB+</t>
  </si>
  <si>
    <t>LIT.FN+</t>
  </si>
  <si>
    <t>LIT.X+</t>
  </si>
  <si>
    <t>DOR.X+</t>
  </si>
  <si>
    <t>WDP.6V+</t>
  </si>
  <si>
    <t>ELE.BPNL200</t>
  </si>
  <si>
    <t>PLM.FAUB</t>
  </si>
  <si>
    <t>LIT.AV+</t>
  </si>
  <si>
    <t>PNL.AV</t>
  </si>
  <si>
    <t>FCT.AV++</t>
  </si>
  <si>
    <t>FCC.PAD+</t>
  </si>
  <si>
    <t>FCC.AV++</t>
  </si>
  <si>
    <t>MBL.WN</t>
  </si>
  <si>
    <t>FNH.TP+</t>
  </si>
  <si>
    <t>FNH.TBAR+</t>
  </si>
  <si>
    <t>FNH.TR+</t>
  </si>
  <si>
    <t>CAB.MC+</t>
  </si>
  <si>
    <t>PLM.TLTS+</t>
  </si>
  <si>
    <t>PLM.TLT+</t>
  </si>
  <si>
    <t>MSD.TUBDR+</t>
  </si>
  <si>
    <t>PLM.TSFAU+</t>
  </si>
  <si>
    <t>HVC.BVENT+</t>
  </si>
  <si>
    <t>LIT.BAR3+</t>
  </si>
  <si>
    <t>PLM.JTFAU+</t>
  </si>
  <si>
    <t>PLM.JT+</t>
  </si>
  <si>
    <t>CAB.VAN+</t>
  </si>
  <si>
    <t>PLM.FAUBA+</t>
  </si>
  <si>
    <t>PLM.SNK+</t>
  </si>
  <si>
    <t>LIT.BAR2+</t>
  </si>
  <si>
    <t>PLM.TUB+</t>
  </si>
  <si>
    <t>PLM.WBOX</t>
  </si>
  <si>
    <t>CAB.UP+</t>
  </si>
  <si>
    <t>FNC.SH12</t>
  </si>
  <si>
    <t>FNC.1X6H</t>
  </si>
  <si>
    <t>FNC.1X12H</t>
  </si>
  <si>
    <t>DOR.BF+</t>
  </si>
  <si>
    <t>CAB.GL+</t>
  </si>
  <si>
    <t>PLM.FAU++</t>
  </si>
  <si>
    <t>PLM.SNKD++</t>
  </si>
  <si>
    <t>LIT.FL4-4+</t>
  </si>
  <si>
    <t>CAB.FH++</t>
  </si>
  <si>
    <t>CAB.LOW++</t>
  </si>
  <si>
    <t>PLM.WSBOX</t>
  </si>
  <si>
    <t>CAB.CUW24+</t>
  </si>
  <si>
    <t>CAB.FH+</t>
  </si>
  <si>
    <t>APP.FRBI+</t>
  </si>
  <si>
    <t>APP.RFBI+</t>
  </si>
  <si>
    <t>APP.OVBI+</t>
  </si>
  <si>
    <t>APP.GD+</t>
  </si>
  <si>
    <t>CAB.RH42+</t>
  </si>
  <si>
    <t>APP.CTG+</t>
  </si>
  <si>
    <t>PLM.DW</t>
  </si>
  <si>
    <t>APP.DW++</t>
  </si>
  <si>
    <t>PNT.CHRS</t>
  </si>
  <si>
    <t>FNC.CHRH++</t>
  </si>
  <si>
    <t>DOR.STRMD+</t>
  </si>
  <si>
    <t>david.sol at 2023-09-07 22:50</t>
  </si>
  <si>
    <t>ABCA8X_AUG23</t>
  </si>
  <si>
    <t>6' 10" x 5' 2" x 9'</t>
  </si>
  <si>
    <t>6' 10" x 4' 3" x 9'</t>
  </si>
  <si>
    <t>4' 3" x 4' 3" x 9'</t>
  </si>
  <si>
    <t>6' x 4' 3" x 9'</t>
  </si>
  <si>
    <t>8' 7" x 6' 10" x 9'</t>
  </si>
  <si>
    <t>12' x 8' 7" x 9'</t>
  </si>
  <si>
    <t>12' x 10' 3" x 9'</t>
  </si>
  <si>
    <t>9' 5" x 8' 7" x 9'</t>
  </si>
  <si>
    <t>13' 8" x 12' x 9'</t>
  </si>
  <si>
    <t>8' 7" x 8' 7" x 9'</t>
  </si>
  <si>
    <t>17' 2" x 12' x 9'</t>
  </si>
  <si>
    <t>10' 11" x 10' 11" x 9'</t>
  </si>
  <si>
    <t>12' 10" x 5' 2" x 9'</t>
  </si>
  <si>
    <t>15' 5" x 10' 3" x 9'</t>
  </si>
  <si>
    <t>source: ABCA8X_AUG23</t>
  </si>
  <si>
    <t>Laundry Room-small</t>
  </si>
  <si>
    <t>Entry Foyer-small</t>
  </si>
  <si>
    <t>half bath-small</t>
  </si>
  <si>
    <t>Utility Room-medium</t>
  </si>
  <si>
    <t>Walk In Closet</t>
  </si>
  <si>
    <t>Walk In Closet-medium</t>
  </si>
  <si>
    <t>Living Area-small</t>
  </si>
  <si>
    <t>Bedroom-x-large</t>
  </si>
  <si>
    <t>Nook-medium</t>
  </si>
  <si>
    <t>Living Area-large</t>
  </si>
  <si>
    <t>Hallway-large</t>
  </si>
  <si>
    <t>Dining Room-medium</t>
  </si>
  <si>
    <t>david.sol at 2023-09-07 22:54</t>
  </si>
  <si>
    <t>david.sol at 2023-09-07 22:56</t>
  </si>
  <si>
    <t>david.sol at 2023-09-07 23:00</t>
  </si>
  <si>
    <t>R_1-M-C-CU_ABCA_m2</t>
  </si>
  <si>
    <t>DDFwork_R_1-M-C-CU_ABCA.xlsm</t>
  </si>
  <si>
    <t>R_1-M-C-CU_ABCA_struct</t>
  </si>
  <si>
    <t>david.sol at 2023-09-07 23:21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</si>
</sst>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7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0" xfId="0" applyBorder="1"/>
    <xf numFmtId="164" fontId="0" fillId="0" borderId="10" xfId="0" applyNumberFormat="1" applyBorder="1"/>
    <xf numFmtId="0" fontId="0" fillId="0" borderId="10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0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0" xfId="1" applyFont="1" applyFill="1" applyBorder="1" applyAlignment="1">
      <alignment horizontal="center" vertical="center"/>
    </xf>
    <xf numFmtId="0" fontId="2" fillId="6" borderId="10" xfId="1" applyFont="1" applyFill="1" applyBorder="1" applyAlignment="1">
      <alignment horizontal="center"/>
    </xf>
    <xf numFmtId="0" fontId="4" fillId="0" borderId="10" xfId="0" applyFont="1" applyBorder="1" applyAlignment="1">
      <alignment horizontal="right"/>
    </xf>
    <xf numFmtId="0" fontId="2" fillId="6" borderId="10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0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0" xfId="0" applyNumberFormat="1" applyFill="1" applyBorder="1"/>
    <xf numFmtId="0" fontId="3" fillId="0" borderId="0" xfId="5" applyAlignment="1">
      <alignment vertical="center"/>
    </xf>
    <xf numFmtId="165" fontId="1" fillId="0" borderId="0" xfId="1" applyNumberFormat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Fill="1" applyBorder="1" applyAlignment="1">
      <alignment wrapText="1"/>
    </xf>
    <xf numFmtId="0" fontId="0" fillId="8" borderId="13" xfId="0" applyFill="1" applyBorder="1"/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 wrapText="1"/>
    </xf>
    <xf numFmtId="0" fontId="0" fillId="0" borderId="14" xfId="0" applyBorder="1"/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1" xfId="1" applyFont="1" applyFill="1" applyBorder="1" applyAlignment="1">
      <alignment horizontal="center" vertical="center"/>
    </xf>
    <xf numFmtId="0" fontId="2" fillId="3" borderId="12" xfId="1" applyFont="1" applyFill="1" applyBorder="1" applyAlignment="1">
      <alignment horizontal="center" vertical="center"/>
    </xf>
    <xf numFmtId="0" fontId="2" fillId="8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0" fontId="0" fillId="0" borderId="15" xfId="0" applyFont="1" applyBorder="1"/>
    <xf numFmtId="0" fontId="13" fillId="0" borderId="14" xfId="5" applyFont="1" applyBorder="1" applyAlignment="1">
      <alignment horizontal="center" vertical="center" wrapText="1"/>
    </xf>
    <xf numFmtId="0" fontId="3" fillId="0" borderId="14" xfId="5" applyBorder="1" applyAlignment="1">
      <alignment horizontal="center" vertical="center" wrapText="1"/>
    </xf>
    <xf numFmtId="164" fontId="4" fillId="0" borderId="0" xfId="5" applyNumberFormat="1" applyFont="1"/>
    <xf numFmtId="164" fontId="4" fillId="3" borderId="14" xfId="5" applyNumberFormat="1" applyFont="1" applyFill="1" applyBorder="1" applyAlignment="1">
      <alignment horizontal="center" wrapText="1"/>
    </xf>
    <xf numFmtId="164" fontId="3" fillId="3" borderId="14" xfId="5" applyNumberForma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49" fontId="3" fillId="0" borderId="0" xfId="5" quotePrefix="1" applyNumberFormat="1"/>
    <xf numFmtId="0" fontId="1" fillId="0" borderId="0" xfId="1" applyBorder="1" applyAlignment="1">
      <alignment horizontal="left"/>
    </xf>
    <xf numFmtId="0" fontId="0" fillId="0" borderId="14" xfId="0" applyBorder="1" applyAlignment="1">
      <alignment horizontal="left"/>
    </xf>
    <xf numFmtId="164" fontId="4" fillId="3" borderId="16" xfId="5" applyNumberFormat="1" applyFont="1" applyFill="1" applyBorder="1" applyAlignment="1">
      <alignment horizontal="center"/>
    </xf>
    <xf numFmtId="0" fontId="4" fillId="3" borderId="16" xfId="5" applyFont="1" applyFill="1" applyBorder="1" applyAlignment="1">
      <alignment horizontal="center" wrapText="1"/>
    </xf>
    <xf numFmtId="164" fontId="4" fillId="3" borderId="16" xfId="5" applyNumberFormat="1" applyFont="1" applyFill="1" applyBorder="1" applyAlignment="1">
      <alignment horizontal="center" wrapText="1"/>
    </xf>
    <xf numFmtId="0" fontId="3" fillId="0" borderId="16" xfId="5" applyBorder="1"/>
    <xf numFmtId="164" fontId="3" fillId="0" borderId="16" xfId="5" applyNumberFormat="1" applyBorder="1"/>
    <xf numFmtId="0" fontId="4" fillId="3" borderId="16" xfId="0" applyFont="1" applyFill="1" applyBorder="1" applyAlignment="1">
      <alignment horizontal="center"/>
    </xf>
    <xf numFmtId="164" fontId="4" fillId="3" borderId="16" xfId="0" applyNumberFormat="1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164" fontId="4" fillId="3" borderId="16" xfId="0" applyNumberFormat="1" applyFont="1" applyFill="1" applyBorder="1" applyAlignment="1">
      <alignment horizontal="center" wrapText="1"/>
    </xf>
    <xf numFmtId="0" fontId="0" fillId="0" borderId="16" xfId="0" applyBorder="1"/>
    <xf numFmtId="164" fontId="0" fillId="0" borderId="16" xfId="0" applyNumberFormat="1" applyBorder="1"/>
    <xf numFmtId="0" fontId="14" fillId="11" borderId="17" xfId="0" applyFont="1" applyFill="1" applyBorder="1"/>
    <xf numFmtId="0" fontId="0" fillId="10" borderId="17" xfId="0" applyFont="1" applyFill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.sol/Documents/NRCAN/R1%202023-07-15/DDF_data/R_1-C_DDFwork_Template_2023-09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Rooms_Rpt"/>
      <sheetName val="Groups-Layout"/>
      <sheetName val="Pivot_Tables"/>
      <sheetName val="R_1-C_DDFwrk_grp2"/>
      <sheetName val="DDFwrk_grp3"/>
      <sheetName val="lists"/>
      <sheetName val="CanFlood_DDF"/>
    </sheetNames>
    <sheetDataSet>
      <sheetData sheetId="0" refreshError="1"/>
      <sheetData sheetId="1" refreshError="1"/>
      <sheetData sheetId="2">
        <row r="11">
          <cell r="C11" t="e">
            <v>#DIV/0!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956012268522" createdVersion="3" refreshedVersion="8" minRefreshableVersion="3" recordCount="543" xr:uid="{C1AFAEA6-9B42-409B-95AE-24C3CFB441FE}">
  <cacheSource type="worksheet">
    <worksheetSource ref="AH2:AZ545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Kitchen"/>
        <s v="Laundry Room"/>
        <s v="Entry Foyer"/>
        <s v="Full Bath"/>
        <s v="half bath"/>
        <s v="Utility Room"/>
        <s v="Walk In Closet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8682.07"/>
    </cacheField>
    <cacheField name="0" numFmtId="0">
      <sharedItems containsSemiMixedTypes="0" containsString="0" containsNumber="1" minValue="0" maxValue="8682.07"/>
    </cacheField>
    <cacheField name="0.03" numFmtId="0">
      <sharedItems containsSemiMixedTypes="0" containsString="0" containsNumber="1" minValue="0" maxValue="8682.07"/>
    </cacheField>
    <cacheField name="0.05" numFmtId="0">
      <sharedItems containsSemiMixedTypes="0" containsString="0" containsNumber="1" minValue="0" maxValue="8682.07"/>
    </cacheField>
    <cacheField name="0.1" numFmtId="0">
      <sharedItems containsSemiMixedTypes="0" containsString="0" containsNumber="1" minValue="0" maxValue="8682.07"/>
    </cacheField>
    <cacheField name="0.15" numFmtId="0">
      <sharedItems containsSemiMixedTypes="0" containsString="0" containsNumber="1" minValue="0" maxValue="9226.2199999999993"/>
    </cacheField>
    <cacheField name="0.3" numFmtId="0">
      <sharedItems containsSemiMixedTypes="0" containsString="0" containsNumber="1" minValue="0" maxValue="9226.2199999999993"/>
    </cacheField>
    <cacheField name="0.46" numFmtId="0">
      <sharedItems containsSemiMixedTypes="0" containsString="0" containsNumber="1" minValue="0" maxValue="9226.2199999999993"/>
    </cacheField>
    <cacheField name="0.61" numFmtId="0">
      <sharedItems containsSemiMixedTypes="0" containsString="0" containsNumber="1" minValue="0" maxValue="9226.2199999999993"/>
    </cacheField>
    <cacheField name="0.76" numFmtId="0">
      <sharedItems containsSemiMixedTypes="0" containsString="0" containsNumber="1" minValue="0" maxValue="9226.2199999999993"/>
    </cacheField>
    <cacheField name="0.91" numFmtId="0">
      <sharedItems containsSemiMixedTypes="0" containsString="0" containsNumber="1" minValue="0" maxValue="9226.2199999999993"/>
    </cacheField>
    <cacheField name="1.02" numFmtId="0">
      <sharedItems containsSemiMixedTypes="0" containsString="0" containsNumber="1" minValue="0" maxValue="9226.2199999999993"/>
    </cacheField>
    <cacheField name="1.22" numFmtId="0">
      <sharedItems containsSemiMixedTypes="0" containsString="0" containsNumber="1" minValue="0" maxValue="9226.2199999999993"/>
    </cacheField>
    <cacheField name="1.52" numFmtId="0">
      <sharedItems containsSemiMixedTypes="0" containsString="0" containsNumber="1" minValue="10.57" maxValue="9226.2199999999993"/>
    </cacheField>
    <cacheField name="1.83" numFmtId="0">
      <sharedItems containsSemiMixedTypes="0" containsString="0" containsNumber="1" minValue="10.57" maxValue="9226.2199999999993"/>
    </cacheField>
    <cacheField name="2.7" numFmtId="0">
      <sharedItems containsSemiMixedTypes="0" containsString="0" containsNumber="1" minValue="10.57" maxValue="9226.219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956012962961" createdVersion="3" refreshedVersion="8" minRefreshableVersion="3" recordCount="543" xr:uid="{7CD5EC30-3883-4E02-80FA-CF163053EC3C}">
  <cacheSource type="worksheet">
    <worksheetSource ref="AH2:AZ545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8682.07"/>
    </cacheField>
    <cacheField name="0" numFmtId="0">
      <sharedItems containsSemiMixedTypes="0" containsString="0" containsNumber="1" minValue="0" maxValue="8682.07"/>
    </cacheField>
    <cacheField name="0.03" numFmtId="0">
      <sharedItems containsSemiMixedTypes="0" containsString="0" containsNumber="1" minValue="0" maxValue="8682.07"/>
    </cacheField>
    <cacheField name="0.05" numFmtId="0">
      <sharedItems containsSemiMixedTypes="0" containsString="0" containsNumber="1" minValue="0" maxValue="8682.07"/>
    </cacheField>
    <cacheField name="0.1" numFmtId="0">
      <sharedItems containsSemiMixedTypes="0" containsString="0" containsNumber="1" minValue="0" maxValue="8682.07"/>
    </cacheField>
    <cacheField name="0.15" numFmtId="0">
      <sharedItems containsSemiMixedTypes="0" containsString="0" containsNumber="1" minValue="0" maxValue="9226.2199999999993"/>
    </cacheField>
    <cacheField name="0.3" numFmtId="0">
      <sharedItems containsSemiMixedTypes="0" containsString="0" containsNumber="1" minValue="0" maxValue="9226.2199999999993"/>
    </cacheField>
    <cacheField name="0.46" numFmtId="0">
      <sharedItems containsSemiMixedTypes="0" containsString="0" containsNumber="1" minValue="0" maxValue="9226.2199999999993"/>
    </cacheField>
    <cacheField name="0.61" numFmtId="0">
      <sharedItems containsSemiMixedTypes="0" containsString="0" containsNumber="1" minValue="0" maxValue="9226.2199999999993"/>
    </cacheField>
    <cacheField name="0.76" numFmtId="0">
      <sharedItems containsSemiMixedTypes="0" containsString="0" containsNumber="1" minValue="0" maxValue="9226.2199999999993"/>
    </cacheField>
    <cacheField name="0.91" numFmtId="0">
      <sharedItems containsSemiMixedTypes="0" containsString="0" containsNumber="1" minValue="0" maxValue="9226.2199999999993"/>
    </cacheField>
    <cacheField name="1.02" numFmtId="0">
      <sharedItems containsSemiMixedTypes="0" containsString="0" containsNumber="1" minValue="0" maxValue="9226.2199999999993"/>
    </cacheField>
    <cacheField name="1.22" numFmtId="0">
      <sharedItems containsSemiMixedTypes="0" containsString="0" containsNumber="1" minValue="0" maxValue="9226.2199999999993"/>
    </cacheField>
    <cacheField name="1.52" numFmtId="0">
      <sharedItems containsSemiMixedTypes="0" containsString="0" containsNumber="1" minValue="10.57" maxValue="9226.2199999999993"/>
    </cacheField>
    <cacheField name="1.83" numFmtId="0">
      <sharedItems containsSemiMixedTypes="0" containsString="0" containsNumber="1" minValue="10.57" maxValue="9226.2199999999993"/>
    </cacheField>
    <cacheField name="2.7" numFmtId="0">
      <sharedItems containsSemiMixedTypes="0" containsString="0" containsNumber="1" minValue="10.57" maxValue="9226.219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">
  <r>
    <s v="split"/>
    <x v="0"/>
    <n v="0"/>
    <n v="0"/>
    <n v="0"/>
    <n v="0"/>
    <n v="0"/>
    <n v="0"/>
    <n v="0"/>
    <n v="0"/>
    <n v="0"/>
    <n v="0"/>
    <n v="0"/>
    <n v="365.04"/>
    <n v="365.04"/>
    <n v="365.04"/>
    <n v="365.04"/>
    <n v="365.04"/>
    <n v="365.04"/>
  </r>
  <r>
    <s v="split"/>
    <x v="0"/>
    <n v="0"/>
    <n v="0"/>
    <n v="0"/>
    <n v="0"/>
    <n v="0"/>
    <n v="0"/>
    <n v="0"/>
    <n v="0"/>
    <n v="0"/>
    <n v="0"/>
    <n v="0"/>
    <n v="447.84"/>
    <n v="447.84"/>
    <n v="447.84"/>
    <n v="447.84"/>
    <n v="447.84"/>
    <n v="447.84"/>
  </r>
  <r>
    <s v="split"/>
    <x v="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split"/>
    <x v="0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126.41700000000002"/>
    <n v="126.41700000000002"/>
    <n v="252.83400000000003"/>
    <n v="252.83400000000003"/>
    <n v="252.83400000000003"/>
    <n v="379.25100000000003"/>
    <n v="379.25100000000003"/>
    <n v="632.08500000000004"/>
    <n v="1264.17"/>
    <n v="1264.17"/>
    <n v="1264.17"/>
    <n v="1264.17"/>
    <n v="1264.17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231.91"/>
    <n v="231.91"/>
    <n v="231.91"/>
    <n v="231.91"/>
    <n v="231.91"/>
    <n v="231.91"/>
  </r>
  <r>
    <s v="split"/>
    <x v="0"/>
    <n v="0"/>
    <n v="0"/>
    <n v="0"/>
    <n v="0"/>
    <n v="0"/>
    <n v="0"/>
    <n v="0"/>
    <n v="0"/>
    <n v="0"/>
    <n v="0"/>
    <n v="0"/>
    <n v="384.6"/>
    <n v="384.6"/>
    <n v="384.6"/>
    <n v="384.6"/>
    <n v="384.6"/>
    <n v="384.6"/>
  </r>
  <r>
    <s v="split"/>
    <x v="0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s v="split"/>
    <x v="0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s v="split"/>
    <x v="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split"/>
    <x v="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2"/>
    <n v="0"/>
    <n v="3385.9749999999999"/>
    <n v="3385.9749999999999"/>
    <n v="4232.46875"/>
    <n v="4232.46875"/>
    <n v="4232.46875"/>
    <n v="4232.46875"/>
    <n v="4232.46875"/>
    <n v="5078.9624999999996"/>
    <n v="5078.9624999999996"/>
    <n v="5078.9624999999996"/>
    <n v="5078.9624999999996"/>
    <n v="6771.95"/>
    <n v="6771.95"/>
    <n v="6771.95"/>
    <n v="6771.95"/>
    <n v="6771.95"/>
  </r>
  <r>
    <s v="main"/>
    <x v="2"/>
    <n v="0"/>
    <n v="2832"/>
    <n v="2832"/>
    <n v="3540"/>
    <n v="3540"/>
    <n v="3540"/>
    <n v="3540"/>
    <n v="3540"/>
    <n v="4248"/>
    <n v="4248"/>
    <n v="4248"/>
    <n v="4248"/>
    <n v="5664"/>
    <n v="5664"/>
    <n v="5664"/>
    <n v="5664"/>
    <n v="5664"/>
  </r>
  <r>
    <s v="mechanical"/>
    <x v="1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s v="mechanical"/>
    <x v="1"/>
    <n v="0"/>
    <n v="8682.07"/>
    <n v="8682.07"/>
    <n v="8682.07"/>
    <n v="8682.07"/>
    <n v="8682.07"/>
    <n v="8682.07"/>
    <n v="8682.07"/>
    <n v="8682.07"/>
    <n v="8682.07"/>
    <n v="8682.07"/>
    <n v="8682.07"/>
    <n v="8682.07"/>
    <n v="8682.07"/>
    <n v="8682.07"/>
    <n v="8682.07"/>
    <n v="8682.07"/>
  </r>
  <r>
    <s v="split"/>
    <x v="0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s v="mechanical"/>
    <x v="1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s v="mechanical"/>
    <x v="1"/>
    <n v="0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</r>
  <r>
    <s v="main"/>
    <x v="2"/>
    <n v="0"/>
    <n v="0"/>
    <n v="0"/>
    <n v="0"/>
    <n v="0"/>
    <n v="0"/>
    <n v="0"/>
    <n v="0"/>
    <n v="0"/>
    <n v="0"/>
    <n v="0"/>
    <n v="0"/>
    <n v="0"/>
    <n v="0"/>
    <n v="98.14"/>
    <n v="98.14"/>
    <n v="98.14"/>
  </r>
  <r>
    <s v="main"/>
    <x v="2"/>
    <n v="0"/>
    <n v="0"/>
    <n v="0"/>
    <n v="0"/>
    <n v="0"/>
    <n v="0"/>
    <n v="0"/>
    <n v="0"/>
    <n v="0"/>
    <n v="0"/>
    <n v="0"/>
    <n v="0"/>
    <n v="0"/>
    <n v="0"/>
    <n v="927.86"/>
    <n v="927.86"/>
    <n v="927.86"/>
  </r>
  <r>
    <s v="mechanical"/>
    <x v="1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s v="split"/>
    <x v="0"/>
    <n v="0"/>
    <n v="0"/>
    <n v="0"/>
    <n v="0"/>
    <n v="394.2"/>
    <n v="394.2"/>
    <n v="394.2"/>
    <n v="394.2"/>
    <n v="394.2"/>
    <n v="394.2"/>
    <n v="394.2"/>
    <n v="394.2"/>
    <n v="394.2"/>
    <n v="394.2"/>
    <n v="394.2"/>
    <n v="394.2"/>
    <n v="394.2"/>
  </r>
  <r>
    <s v="split"/>
    <x v="0"/>
    <n v="0"/>
    <n v="0"/>
    <n v="0"/>
    <n v="0"/>
    <n v="0"/>
    <n v="0"/>
    <n v="442.8"/>
    <n v="442.8"/>
    <n v="885.6"/>
    <n v="885.6"/>
    <n v="1771.2"/>
    <n v="1771.2"/>
    <n v="1771.2"/>
    <n v="1771.2"/>
    <n v="1771.2"/>
    <n v="1771.2"/>
    <n v="1771.2"/>
  </r>
  <r>
    <s v="split"/>
    <x v="0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500.37"/>
    <n v="500.37"/>
    <n v="500.37"/>
    <n v="500.37"/>
    <n v="500.37"/>
    <n v="500.37"/>
  </r>
  <r>
    <s v="main"/>
    <x v="4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s v="split"/>
    <x v="0"/>
    <n v="0"/>
    <n v="0"/>
    <n v="0"/>
    <n v="0"/>
    <n v="0"/>
    <n v="0"/>
    <n v="0"/>
    <n v="0"/>
    <n v="0"/>
    <n v="0"/>
    <n v="0"/>
    <n v="0"/>
    <n v="0"/>
    <n v="0"/>
    <n v="910.1"/>
    <n v="910.1"/>
    <n v="910.1"/>
  </r>
  <r>
    <s v="main"/>
    <x v="2"/>
    <n v="0"/>
    <n v="0"/>
    <n v="0"/>
    <n v="0"/>
    <n v="0"/>
    <n v="0"/>
    <n v="0"/>
    <n v="0"/>
    <n v="0"/>
    <n v="0"/>
    <n v="0"/>
    <n v="0"/>
    <n v="0"/>
    <n v="0"/>
    <n v="299.83999999999997"/>
    <n v="299.83999999999997"/>
    <n v="299.83999999999997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1521.8"/>
    <n v="1521.8"/>
    <n v="1521.8"/>
    <n v="1521.8"/>
    <n v="1521.8"/>
    <n v="1521.8"/>
    <n v="1521.8"/>
    <n v="1521.8"/>
    <n v="1521.8"/>
    <n v="1521.8"/>
    <n v="1521.8"/>
    <n v="1521.8"/>
    <n v="1521.8"/>
  </r>
  <r>
    <s v="main"/>
    <x v="2"/>
    <n v="0"/>
    <n v="0"/>
    <n v="0"/>
    <n v="0"/>
    <n v="1957.47"/>
    <n v="1957.47"/>
    <n v="1957.47"/>
    <n v="1957.47"/>
    <n v="1957.47"/>
    <n v="1957.47"/>
    <n v="1957.47"/>
    <n v="1957.47"/>
    <n v="1957.47"/>
    <n v="1957.47"/>
    <n v="1957.47"/>
    <n v="1957.47"/>
    <n v="1957.47"/>
  </r>
  <r>
    <s v="split"/>
    <x v="0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4872.96"/>
    <n v="4872.96"/>
    <n v="4872.96"/>
    <n v="4872.96"/>
    <n v="4872.96"/>
    <n v="4872.96"/>
    <n v="4872.96"/>
    <n v="4872.96"/>
    <n v="4872.96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s v="split"/>
    <x v="0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s v="split"/>
    <x v="0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split"/>
    <x v="0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s v="split"/>
    <x v="0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s v="split"/>
    <x v="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split"/>
    <x v="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split"/>
    <x v="0"/>
    <n v="0"/>
    <n v="0"/>
    <n v="0"/>
    <n v="0"/>
    <n v="0"/>
    <n v="0"/>
    <n v="0"/>
    <n v="0"/>
    <n v="0"/>
    <n v="0"/>
    <n v="0"/>
    <n v="1394.32"/>
    <n v="1394.32"/>
    <n v="1394.32"/>
    <n v="1394.32"/>
    <n v="1394.32"/>
    <n v="1394.32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5"/>
    <n v="0"/>
    <n v="0"/>
    <n v="0"/>
    <n v="0"/>
    <n v="0"/>
    <n v="0"/>
    <n v="0"/>
    <n v="0"/>
    <n v="0"/>
    <n v="0"/>
    <n v="0"/>
    <n v="44.13"/>
    <n v="44.13"/>
    <n v="44.13"/>
    <n v="44.13"/>
    <n v="44.13"/>
    <n v="44.13"/>
  </r>
  <r>
    <s v="main"/>
    <x v="5"/>
    <n v="0"/>
    <n v="0"/>
    <n v="0"/>
    <n v="343.18"/>
    <n v="343.18"/>
    <n v="343.18"/>
    <n v="343.18"/>
    <n v="343.18"/>
    <n v="343.18"/>
    <n v="343.18"/>
    <n v="343.18"/>
    <n v="343.18"/>
    <n v="343.18"/>
    <n v="343.18"/>
    <n v="343.18"/>
    <n v="343.18"/>
    <n v="343.18"/>
  </r>
  <r>
    <s v="main"/>
    <x v="5"/>
    <n v="0"/>
    <n v="0"/>
    <n v="0"/>
    <n v="0"/>
    <n v="0"/>
    <n v="0"/>
    <n v="0"/>
    <n v="0"/>
    <n v="0"/>
    <n v="0"/>
    <n v="0"/>
    <n v="0"/>
    <n v="0"/>
    <n v="0"/>
    <n v="109.9"/>
    <n v="109.9"/>
    <n v="109.9"/>
  </r>
  <r>
    <s v="main"/>
    <x v="5"/>
    <n v="0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s v="main"/>
    <x v="5"/>
    <n v="0"/>
    <n v="0"/>
    <n v="0"/>
    <n v="27.412500000000001"/>
    <n v="27.412500000000001"/>
    <n v="27.412500000000001"/>
    <n v="27.412500000000001"/>
    <n v="27.412500000000001"/>
    <n v="54.825000000000003"/>
    <n v="54.825000000000003"/>
    <n v="54.825000000000003"/>
    <n v="109.65"/>
    <n v="109.65"/>
    <n v="109.65"/>
    <n v="109.65"/>
    <n v="109.65"/>
    <n v="109.65"/>
  </r>
  <r>
    <s v="main"/>
    <x v="5"/>
    <n v="0"/>
    <n v="0"/>
    <n v="0"/>
    <n v="267.625"/>
    <n v="267.625"/>
    <n v="267.625"/>
    <n v="267.625"/>
    <n v="535.25"/>
    <n v="535.25"/>
    <n v="535.25"/>
    <n v="535.25"/>
    <n v="1070.5"/>
    <n v="1070.5"/>
    <n v="1070.5"/>
    <n v="1070.5"/>
    <n v="1070.5"/>
    <n v="1070.5"/>
  </r>
  <r>
    <s v="main"/>
    <x v="5"/>
    <n v="0"/>
    <n v="0"/>
    <n v="0"/>
    <n v="0"/>
    <n v="0"/>
    <n v="0"/>
    <n v="0"/>
    <n v="0"/>
    <n v="0"/>
    <n v="0"/>
    <n v="0"/>
    <n v="52.12"/>
    <n v="52.12"/>
    <n v="52.12"/>
    <n v="52.12"/>
    <n v="52.12"/>
    <n v="52.12"/>
  </r>
  <r>
    <s v="main"/>
    <x v="5"/>
    <n v="0"/>
    <n v="0"/>
    <n v="0"/>
    <n v="0"/>
    <n v="0"/>
    <n v="0"/>
    <n v="0"/>
    <n v="0"/>
    <n v="0"/>
    <n v="0"/>
    <n v="0"/>
    <n v="251.72"/>
    <n v="251.72"/>
    <n v="251.72"/>
    <n v="251.72"/>
    <n v="251.72"/>
    <n v="251.72"/>
  </r>
  <r>
    <s v="main"/>
    <x v="5"/>
    <n v="0"/>
    <n v="0"/>
    <n v="0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</r>
  <r>
    <s v="main"/>
    <x v="5"/>
    <n v="0"/>
    <n v="0"/>
    <n v="0"/>
    <n v="178.28"/>
    <n v="178.28"/>
    <n v="178.28"/>
    <n v="178.28"/>
    <n v="178.28"/>
    <n v="178.28"/>
    <n v="178.28"/>
    <n v="178.28"/>
    <n v="178.28"/>
    <n v="178.28"/>
    <n v="178.28"/>
    <n v="178.28"/>
    <n v="178.28"/>
    <n v="178.28"/>
  </r>
  <r>
    <s v="main"/>
    <x v="5"/>
    <n v="0"/>
    <n v="0"/>
    <n v="0"/>
    <n v="61.852499999999999"/>
    <n v="61.852499999999999"/>
    <n v="61.852499999999999"/>
    <n v="61.852499999999999"/>
    <n v="123.705"/>
    <n v="123.705"/>
    <n v="123.705"/>
    <n v="123.705"/>
    <n v="247.41"/>
    <n v="247.41"/>
    <n v="247.41"/>
    <n v="247.41"/>
    <n v="247.41"/>
    <n v="247.41"/>
  </r>
  <r>
    <s v="main"/>
    <x v="5"/>
    <n v="0"/>
    <n v="0"/>
    <n v="0"/>
    <n v="0"/>
    <n v="0"/>
    <n v="0"/>
    <n v="0"/>
    <n v="0"/>
    <n v="0"/>
    <n v="0"/>
    <n v="0"/>
    <n v="0"/>
    <n v="0"/>
    <n v="0"/>
    <n v="63.5"/>
    <n v="63.5"/>
    <n v="63.5"/>
  </r>
  <r>
    <s v="main"/>
    <x v="5"/>
    <n v="0"/>
    <n v="0"/>
    <n v="0"/>
    <n v="67.09"/>
    <n v="67.09"/>
    <n v="67.09"/>
    <n v="67.09"/>
    <n v="67.09"/>
    <n v="67.09"/>
    <n v="67.09"/>
    <n v="67.09"/>
    <n v="67.09"/>
    <n v="67.09"/>
    <n v="67.09"/>
    <n v="67.09"/>
    <n v="67.09"/>
    <n v="67.09"/>
  </r>
  <r>
    <s v="main"/>
    <x v="5"/>
    <n v="0"/>
    <n v="0"/>
    <n v="0"/>
    <n v="0"/>
    <n v="0"/>
    <n v="0"/>
    <n v="0"/>
    <n v="0"/>
    <n v="0"/>
    <n v="177.49"/>
    <n v="177.49"/>
    <n v="177.49"/>
    <n v="177.49"/>
    <n v="177.49"/>
    <n v="177.49"/>
    <n v="177.49"/>
    <n v="177.49"/>
  </r>
  <r>
    <s v="main"/>
    <x v="5"/>
    <n v="0"/>
    <n v="0"/>
    <n v="0"/>
    <n v="72.19"/>
    <n v="72.19"/>
    <n v="72.19"/>
    <n v="72.19"/>
    <n v="72.19"/>
    <n v="72.19"/>
    <n v="72.19"/>
    <n v="72.19"/>
    <n v="72.19"/>
    <n v="72.19"/>
    <n v="72.19"/>
    <n v="72.19"/>
    <n v="72.19"/>
    <n v="72.19"/>
  </r>
  <r>
    <s v="main"/>
    <x v="5"/>
    <n v="0"/>
    <n v="0"/>
    <n v="0"/>
    <n v="181.99"/>
    <n v="181.99"/>
    <n v="181.99"/>
    <n v="181.99"/>
    <n v="181.99"/>
    <n v="181.99"/>
    <n v="181.99"/>
    <n v="181.99"/>
    <n v="181.99"/>
    <n v="181.99"/>
    <n v="181.99"/>
    <n v="181.99"/>
    <n v="181.99"/>
    <n v="181.99"/>
  </r>
  <r>
    <s v="main"/>
    <x v="5"/>
    <n v="0"/>
    <n v="0"/>
    <n v="0"/>
    <n v="20.65"/>
    <n v="20.65"/>
    <n v="20.65"/>
    <n v="20.65"/>
    <n v="20.65"/>
    <n v="20.65"/>
    <n v="20.65"/>
    <n v="20.65"/>
    <n v="20.65"/>
    <n v="20.65"/>
    <n v="20.65"/>
    <n v="20.65"/>
    <n v="20.65"/>
    <n v="20.65"/>
  </r>
  <r>
    <s v="main"/>
    <x v="5"/>
    <n v="0"/>
    <n v="0"/>
    <n v="0"/>
    <n v="168.19"/>
    <n v="168.19"/>
    <n v="168.19"/>
    <n v="168.19"/>
    <n v="168.19"/>
    <n v="168.19"/>
    <n v="168.19"/>
    <n v="168.19"/>
    <n v="168.19"/>
    <n v="168.19"/>
    <n v="168.19"/>
    <n v="168.19"/>
    <n v="168.19"/>
    <n v="168.19"/>
  </r>
  <r>
    <s v="main"/>
    <x v="6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main"/>
    <x v="6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main"/>
    <x v="6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main"/>
    <x v="6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main"/>
    <x v="6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main"/>
    <x v="6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main"/>
    <x v="6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main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6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6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main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6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6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main"/>
    <x v="6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main"/>
    <x v="6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main"/>
    <x v="6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6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main"/>
    <x v="6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main"/>
    <x v="6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6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s v="main"/>
    <x v="6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s v="main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6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main"/>
    <x v="6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main"/>
    <x v="6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main"/>
    <x v="6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main"/>
    <x v="6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main"/>
    <x v="6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main"/>
    <x v="6"/>
    <n v="0"/>
    <n v="0"/>
    <n v="0"/>
    <n v="0"/>
    <n v="0"/>
    <n v="0"/>
    <n v="0"/>
    <n v="0"/>
    <n v="0"/>
    <n v="0"/>
    <n v="0"/>
    <n v="40.770000000000003"/>
    <n v="40.770000000000003"/>
    <n v="40.770000000000003"/>
    <n v="40.770000000000003"/>
    <n v="40.770000000000003"/>
    <n v="40.770000000000003"/>
  </r>
  <r>
    <s v="main"/>
    <x v="6"/>
    <n v="0"/>
    <n v="0"/>
    <n v="0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</r>
  <r>
    <s v="main"/>
    <x v="6"/>
    <n v="0"/>
    <n v="0"/>
    <n v="0"/>
    <n v="0"/>
    <n v="0"/>
    <n v="0"/>
    <n v="0"/>
    <n v="0"/>
    <n v="0"/>
    <n v="0"/>
    <n v="0"/>
    <n v="0"/>
    <n v="0"/>
    <n v="0"/>
    <n v="101.51"/>
    <n v="101.51"/>
    <n v="101.51"/>
  </r>
  <r>
    <s v="main"/>
    <x v="6"/>
    <n v="0"/>
    <n v="0"/>
    <n v="0"/>
    <n v="0"/>
    <n v="193.92"/>
    <n v="193.92"/>
    <n v="193.92"/>
    <n v="193.92"/>
    <n v="193.92"/>
    <n v="193.92"/>
    <n v="193.92"/>
    <n v="193.92"/>
    <n v="193.92"/>
    <n v="193.92"/>
    <n v="193.92"/>
    <n v="193.92"/>
    <n v="193.92"/>
  </r>
  <r>
    <s v="main"/>
    <x v="6"/>
    <n v="0"/>
    <n v="0"/>
    <n v="0"/>
    <n v="25.317499999999999"/>
    <n v="25.317499999999999"/>
    <n v="25.317499999999999"/>
    <n v="25.317499999999999"/>
    <n v="25.317499999999999"/>
    <n v="50.634999999999998"/>
    <n v="50.634999999999998"/>
    <n v="50.634999999999998"/>
    <n v="101.27"/>
    <n v="101.27"/>
    <n v="101.27"/>
    <n v="101.27"/>
    <n v="101.27"/>
    <n v="101.27"/>
  </r>
  <r>
    <s v="main"/>
    <x v="6"/>
    <n v="0"/>
    <n v="0"/>
    <n v="0"/>
    <n v="247.18"/>
    <n v="247.18"/>
    <n v="247.18"/>
    <n v="247.18"/>
    <n v="494.36"/>
    <n v="494.36"/>
    <n v="494.36"/>
    <n v="494.36"/>
    <n v="988.72"/>
    <n v="988.72"/>
    <n v="988.72"/>
    <n v="988.72"/>
    <n v="988.72"/>
    <n v="988.72"/>
  </r>
  <r>
    <s v="main"/>
    <x v="6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s v="main"/>
    <x v="6"/>
    <n v="0"/>
    <n v="0"/>
    <n v="0"/>
    <n v="164.67"/>
    <n v="164.67"/>
    <n v="164.67"/>
    <n v="164.67"/>
    <n v="164.67"/>
    <n v="164.67"/>
    <n v="164.67"/>
    <n v="164.67"/>
    <n v="164.67"/>
    <n v="164.67"/>
    <n v="164.67"/>
    <n v="164.67"/>
    <n v="164.67"/>
    <n v="164.67"/>
  </r>
  <r>
    <s v="main"/>
    <x v="6"/>
    <n v="0"/>
    <n v="0"/>
    <n v="0"/>
    <n v="35.979999999999997"/>
    <n v="35.979999999999997"/>
    <n v="35.979999999999997"/>
    <n v="35.979999999999997"/>
    <n v="71.959999999999994"/>
    <n v="71.959999999999994"/>
    <n v="71.959999999999994"/>
    <n v="71.959999999999994"/>
    <n v="143.91999999999999"/>
    <n v="143.91999999999999"/>
    <n v="143.91999999999999"/>
    <n v="143.91999999999999"/>
    <n v="143.91999999999999"/>
    <n v="143.91999999999999"/>
  </r>
  <r>
    <s v="main"/>
    <x v="6"/>
    <n v="0"/>
    <n v="0"/>
    <n v="0"/>
    <n v="0"/>
    <n v="0"/>
    <n v="0"/>
    <n v="0"/>
    <n v="0"/>
    <n v="0"/>
    <n v="0"/>
    <n v="0"/>
    <n v="0"/>
    <n v="0"/>
    <n v="0"/>
    <n v="36.94"/>
    <n v="36.94"/>
    <n v="36.94"/>
  </r>
  <r>
    <s v="main"/>
    <x v="6"/>
    <n v="0"/>
    <n v="0"/>
    <n v="0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</r>
  <r>
    <s v="main"/>
    <x v="6"/>
    <n v="0"/>
    <n v="0"/>
    <n v="0"/>
    <n v="0"/>
    <n v="0"/>
    <n v="0"/>
    <n v="0"/>
    <n v="0"/>
    <n v="0"/>
    <n v="146.06"/>
    <n v="146.06"/>
    <n v="146.06"/>
    <n v="146.06"/>
    <n v="146.06"/>
    <n v="146.06"/>
    <n v="146.06"/>
    <n v="146.06"/>
  </r>
  <r>
    <s v="main"/>
    <x v="6"/>
    <n v="0"/>
    <n v="0"/>
    <n v="0"/>
    <n v="59.4"/>
    <n v="59.4"/>
    <n v="59.4"/>
    <n v="59.4"/>
    <n v="59.4"/>
    <n v="59.4"/>
    <n v="59.4"/>
    <n v="59.4"/>
    <n v="59.4"/>
    <n v="59.4"/>
    <n v="59.4"/>
    <n v="59.4"/>
    <n v="59.4"/>
    <n v="59.4"/>
  </r>
  <r>
    <s v="main"/>
    <x v="6"/>
    <n v="0"/>
    <n v="0"/>
    <n v="0"/>
    <n v="149.76"/>
    <n v="149.76"/>
    <n v="149.76"/>
    <n v="149.76"/>
    <n v="149.76"/>
    <n v="149.76"/>
    <n v="149.76"/>
    <n v="149.76"/>
    <n v="149.76"/>
    <n v="149.76"/>
    <n v="149.76"/>
    <n v="149.76"/>
    <n v="149.76"/>
    <n v="149.76"/>
  </r>
  <r>
    <s v="main"/>
    <x v="6"/>
    <n v="0"/>
    <n v="0"/>
    <n v="0"/>
    <n v="17"/>
    <n v="17"/>
    <n v="17"/>
    <n v="17"/>
    <n v="17"/>
    <n v="17"/>
    <n v="17"/>
    <n v="17"/>
    <n v="17"/>
    <n v="17"/>
    <n v="17"/>
    <n v="17"/>
    <n v="17"/>
    <n v="17"/>
  </r>
  <r>
    <s v="main"/>
    <x v="6"/>
    <n v="0"/>
    <n v="0"/>
    <n v="0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</r>
  <r>
    <s v="main"/>
    <x v="7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7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7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main"/>
    <x v="7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main"/>
    <x v="7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main"/>
    <x v="7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main"/>
    <x v="7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7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7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main"/>
    <x v="7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7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main"/>
    <x v="7"/>
    <n v="0"/>
    <n v="0"/>
    <n v="0"/>
    <n v="0"/>
    <n v="0"/>
    <n v="0"/>
    <n v="0"/>
    <n v="0"/>
    <n v="0"/>
    <n v="0"/>
    <n v="0"/>
    <n v="0"/>
    <n v="0"/>
    <n v="0"/>
    <n v="176.53"/>
    <n v="176.53"/>
    <n v="176.53"/>
  </r>
  <r>
    <s v="main"/>
    <x v="7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7"/>
    <n v="0"/>
    <n v="0"/>
    <n v="0"/>
    <n v="0"/>
    <n v="1185.45"/>
    <n v="1185.45"/>
    <n v="1185.45"/>
    <n v="1185.45"/>
    <n v="1185.45"/>
    <n v="1185.45"/>
    <n v="1185.45"/>
    <n v="1185.45"/>
    <n v="1185.45"/>
    <n v="1185.45"/>
    <n v="1185.45"/>
    <n v="1185.45"/>
    <n v="1185.45"/>
  </r>
  <r>
    <s v="main"/>
    <x v="7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s v="main"/>
    <x v="7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s v="main"/>
    <x v="7"/>
    <n v="0"/>
    <n v="0"/>
    <n v="0"/>
    <n v="0"/>
    <n v="0"/>
    <n v="0"/>
    <n v="0"/>
    <n v="0"/>
    <n v="0"/>
    <n v="0"/>
    <n v="0"/>
    <n v="31.24"/>
    <n v="31.24"/>
    <n v="31.24"/>
    <n v="31.24"/>
    <n v="31.24"/>
    <n v="31.24"/>
  </r>
  <r>
    <s v="main"/>
    <x v="7"/>
    <n v="0"/>
    <n v="0"/>
    <n v="0"/>
    <n v="243.09"/>
    <n v="243.09"/>
    <n v="243.09"/>
    <n v="243.09"/>
    <n v="243.09"/>
    <n v="243.09"/>
    <n v="243.09"/>
    <n v="243.09"/>
    <n v="243.09"/>
    <n v="243.09"/>
    <n v="243.09"/>
    <n v="243.09"/>
    <n v="243.09"/>
    <n v="243.09"/>
  </r>
  <r>
    <s v="main"/>
    <x v="7"/>
    <n v="0"/>
    <n v="0"/>
    <n v="0"/>
    <n v="0"/>
    <n v="0"/>
    <n v="0"/>
    <n v="0"/>
    <n v="0"/>
    <n v="0"/>
    <n v="0"/>
    <n v="0"/>
    <n v="0"/>
    <n v="0"/>
    <n v="0"/>
    <n v="77.849999999999994"/>
    <n v="77.849999999999994"/>
    <n v="77.849999999999994"/>
  </r>
  <r>
    <s v="main"/>
    <x v="7"/>
    <n v="0"/>
    <n v="0"/>
    <n v="0"/>
    <n v="0"/>
    <n v="148.71"/>
    <n v="148.71"/>
    <n v="148.71"/>
    <n v="148.71"/>
    <n v="148.71"/>
    <n v="148.71"/>
    <n v="148.71"/>
    <n v="148.71"/>
    <n v="148.71"/>
    <n v="148.71"/>
    <n v="148.71"/>
    <n v="148.71"/>
    <n v="148.71"/>
  </r>
  <r>
    <s v="main"/>
    <x v="7"/>
    <n v="0"/>
    <n v="0"/>
    <n v="0"/>
    <n v="19.414999999999999"/>
    <n v="19.414999999999999"/>
    <n v="19.414999999999999"/>
    <n v="19.414999999999999"/>
    <n v="19.414999999999999"/>
    <n v="38.83"/>
    <n v="38.83"/>
    <n v="38.83"/>
    <n v="77.66"/>
    <n v="77.66"/>
    <n v="77.66"/>
    <n v="77.66"/>
    <n v="77.66"/>
    <n v="77.66"/>
  </r>
  <r>
    <s v="main"/>
    <x v="7"/>
    <n v="0"/>
    <n v="0"/>
    <n v="0"/>
    <n v="189.5675"/>
    <n v="189.5675"/>
    <n v="189.5675"/>
    <n v="189.5675"/>
    <n v="379.13499999999999"/>
    <n v="379.13499999999999"/>
    <n v="379.13499999999999"/>
    <n v="379.13499999999999"/>
    <n v="758.27"/>
    <n v="758.27"/>
    <n v="758.27"/>
    <n v="758.27"/>
    <n v="758.27"/>
    <n v="758.27"/>
  </r>
  <r>
    <s v="main"/>
    <x v="7"/>
    <n v="0"/>
    <n v="0"/>
    <n v="0"/>
    <n v="53.86"/>
    <n v="53.86"/>
    <n v="53.86"/>
    <n v="53.86"/>
    <n v="53.86"/>
    <n v="53.86"/>
    <n v="53.86"/>
    <n v="53.86"/>
    <n v="53.86"/>
    <n v="53.86"/>
    <n v="53.86"/>
    <n v="53.86"/>
    <n v="53.86"/>
    <n v="53.86"/>
  </r>
  <r>
    <s v="main"/>
    <x v="7"/>
    <n v="0"/>
    <n v="0"/>
    <n v="0"/>
    <n v="126.27"/>
    <n v="126.27"/>
    <n v="126.27"/>
    <n v="126.27"/>
    <n v="126.27"/>
    <n v="126.27"/>
    <n v="126.27"/>
    <n v="126.27"/>
    <n v="126.27"/>
    <n v="126.27"/>
    <n v="126.27"/>
    <n v="126.27"/>
    <n v="126.27"/>
    <n v="126.27"/>
  </r>
  <r>
    <s v="main"/>
    <x v="7"/>
    <n v="0"/>
    <n v="0"/>
    <n v="0"/>
    <n v="22.377500000000001"/>
    <n v="22.377500000000001"/>
    <n v="22.377500000000001"/>
    <n v="22.377500000000001"/>
    <n v="44.755000000000003"/>
    <n v="44.755000000000003"/>
    <n v="44.755000000000003"/>
    <n v="44.755000000000003"/>
    <n v="89.51"/>
    <n v="89.51"/>
    <n v="89.51"/>
    <n v="89.51"/>
    <n v="89.51"/>
    <n v="89.51"/>
  </r>
  <r>
    <s v="main"/>
    <x v="7"/>
    <n v="0"/>
    <n v="0"/>
    <n v="0"/>
    <n v="0"/>
    <n v="0"/>
    <n v="0"/>
    <n v="0"/>
    <n v="0"/>
    <n v="0"/>
    <n v="0"/>
    <n v="0"/>
    <n v="0"/>
    <n v="0"/>
    <n v="0"/>
    <n v="22.96"/>
    <n v="22.96"/>
    <n v="22.96"/>
  </r>
  <r>
    <s v="main"/>
    <x v="7"/>
    <n v="0"/>
    <n v="0"/>
    <n v="0"/>
    <n v="24.27"/>
    <n v="24.27"/>
    <n v="24.27"/>
    <n v="24.27"/>
    <n v="24.27"/>
    <n v="24.27"/>
    <n v="24.27"/>
    <n v="24.27"/>
    <n v="24.27"/>
    <n v="24.27"/>
    <n v="24.27"/>
    <n v="24.27"/>
    <n v="24.27"/>
    <n v="24.27"/>
  </r>
  <r>
    <s v="main"/>
    <x v="7"/>
    <n v="0"/>
    <n v="0"/>
    <n v="0"/>
    <n v="0"/>
    <n v="0"/>
    <n v="0"/>
    <n v="0"/>
    <n v="0"/>
    <n v="0"/>
    <n v="90.75"/>
    <n v="90.75"/>
    <n v="90.75"/>
    <n v="90.75"/>
    <n v="90.75"/>
    <n v="90.75"/>
    <n v="90.75"/>
    <n v="90.75"/>
  </r>
  <r>
    <s v="main"/>
    <x v="7"/>
    <n v="0"/>
    <n v="0"/>
    <n v="0"/>
    <n v="36.96"/>
    <n v="36.96"/>
    <n v="36.96"/>
    <n v="36.96"/>
    <n v="36.96"/>
    <n v="36.96"/>
    <n v="36.96"/>
    <n v="36.96"/>
    <n v="36.96"/>
    <n v="36.96"/>
    <n v="36.96"/>
    <n v="36.96"/>
    <n v="36.96"/>
    <n v="36.96"/>
  </r>
  <r>
    <s v="main"/>
    <x v="7"/>
    <n v="0"/>
    <n v="0"/>
    <n v="0"/>
    <n v="93.19"/>
    <n v="93.19"/>
    <n v="93.19"/>
    <n v="93.19"/>
    <n v="93.19"/>
    <n v="93.19"/>
    <n v="93.19"/>
    <n v="93.19"/>
    <n v="93.19"/>
    <n v="93.19"/>
    <n v="93.19"/>
    <n v="93.19"/>
    <n v="93.19"/>
    <n v="93.19"/>
  </r>
  <r>
    <s v="main"/>
    <x v="7"/>
    <n v="0"/>
    <n v="0"/>
    <n v="0"/>
    <n v="10.57"/>
    <n v="10.57"/>
    <n v="10.57"/>
    <n v="10.57"/>
    <n v="10.57"/>
    <n v="10.57"/>
    <n v="10.57"/>
    <n v="10.57"/>
    <n v="10.57"/>
    <n v="10.57"/>
    <n v="10.57"/>
    <n v="10.57"/>
    <n v="10.57"/>
    <n v="10.57"/>
  </r>
  <r>
    <s v="main"/>
    <x v="7"/>
    <n v="0"/>
    <n v="0"/>
    <n v="0"/>
    <n v="86.06"/>
    <n v="86.06"/>
    <n v="86.06"/>
    <n v="86.06"/>
    <n v="86.06"/>
    <n v="86.06"/>
    <n v="86.06"/>
    <n v="86.06"/>
    <n v="86.06"/>
    <n v="86.06"/>
    <n v="86.06"/>
    <n v="86.06"/>
    <n v="86.06"/>
    <n v="86.06"/>
  </r>
  <r>
    <s v="main"/>
    <x v="6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main"/>
    <x v="6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main"/>
    <x v="6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main"/>
    <x v="6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main"/>
    <x v="6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main"/>
    <x v="6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main"/>
    <x v="6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main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6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6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main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6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6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main"/>
    <x v="6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main"/>
    <x v="6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main"/>
    <x v="6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main"/>
    <x v="6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6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main"/>
    <x v="6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main"/>
    <x v="6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6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main"/>
    <x v="6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main"/>
    <x v="6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main"/>
    <x v="6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main"/>
    <x v="6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main"/>
    <x v="6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main"/>
    <x v="6"/>
    <n v="0"/>
    <n v="0"/>
    <n v="0"/>
    <n v="0"/>
    <n v="0"/>
    <n v="0"/>
    <n v="0"/>
    <n v="0"/>
    <n v="0"/>
    <n v="0"/>
    <n v="0"/>
    <n v="40.770000000000003"/>
    <n v="40.770000000000003"/>
    <n v="40.770000000000003"/>
    <n v="40.770000000000003"/>
    <n v="40.770000000000003"/>
    <n v="40.770000000000003"/>
  </r>
  <r>
    <s v="main"/>
    <x v="6"/>
    <n v="0"/>
    <n v="0"/>
    <n v="0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</r>
  <r>
    <s v="main"/>
    <x v="6"/>
    <n v="0"/>
    <n v="0"/>
    <n v="0"/>
    <n v="0"/>
    <n v="0"/>
    <n v="0"/>
    <n v="0"/>
    <n v="0"/>
    <n v="0"/>
    <n v="0"/>
    <n v="0"/>
    <n v="0"/>
    <n v="0"/>
    <n v="0"/>
    <n v="101.51"/>
    <n v="101.51"/>
    <n v="101.51"/>
  </r>
  <r>
    <s v="main"/>
    <x v="6"/>
    <n v="0"/>
    <n v="0"/>
    <n v="0"/>
    <n v="0"/>
    <n v="193.92"/>
    <n v="193.92"/>
    <n v="193.92"/>
    <n v="193.92"/>
    <n v="193.92"/>
    <n v="193.92"/>
    <n v="193.92"/>
    <n v="193.92"/>
    <n v="193.92"/>
    <n v="193.92"/>
    <n v="193.92"/>
    <n v="193.92"/>
    <n v="193.92"/>
  </r>
  <r>
    <s v="main"/>
    <x v="6"/>
    <n v="0"/>
    <n v="0"/>
    <n v="0"/>
    <n v="25.317499999999999"/>
    <n v="25.317499999999999"/>
    <n v="25.317499999999999"/>
    <n v="25.317499999999999"/>
    <n v="25.317499999999999"/>
    <n v="50.634999999999998"/>
    <n v="50.634999999999998"/>
    <n v="50.634999999999998"/>
    <n v="101.27"/>
    <n v="101.27"/>
    <n v="101.27"/>
    <n v="101.27"/>
    <n v="101.27"/>
    <n v="101.27"/>
  </r>
  <r>
    <s v="main"/>
    <x v="6"/>
    <n v="0"/>
    <n v="0"/>
    <n v="0"/>
    <n v="247.18"/>
    <n v="247.18"/>
    <n v="247.18"/>
    <n v="247.18"/>
    <n v="494.36"/>
    <n v="494.36"/>
    <n v="494.36"/>
    <n v="494.36"/>
    <n v="988.72"/>
    <n v="988.72"/>
    <n v="988.72"/>
    <n v="988.72"/>
    <n v="988.72"/>
    <n v="988.72"/>
  </r>
  <r>
    <s v="main"/>
    <x v="6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s v="main"/>
    <x v="6"/>
    <n v="0"/>
    <n v="0"/>
    <n v="0"/>
    <n v="164.67"/>
    <n v="164.67"/>
    <n v="164.67"/>
    <n v="164.67"/>
    <n v="164.67"/>
    <n v="164.67"/>
    <n v="164.67"/>
    <n v="164.67"/>
    <n v="164.67"/>
    <n v="164.67"/>
    <n v="164.67"/>
    <n v="164.67"/>
    <n v="164.67"/>
    <n v="164.67"/>
  </r>
  <r>
    <s v="main"/>
    <x v="6"/>
    <n v="0"/>
    <n v="0"/>
    <n v="0"/>
    <n v="35.979999999999997"/>
    <n v="35.979999999999997"/>
    <n v="35.979999999999997"/>
    <n v="35.979999999999997"/>
    <n v="71.959999999999994"/>
    <n v="71.959999999999994"/>
    <n v="71.959999999999994"/>
    <n v="71.959999999999994"/>
    <n v="143.91999999999999"/>
    <n v="143.91999999999999"/>
    <n v="143.91999999999999"/>
    <n v="143.91999999999999"/>
    <n v="143.91999999999999"/>
    <n v="143.91999999999999"/>
  </r>
  <r>
    <s v="main"/>
    <x v="6"/>
    <n v="0"/>
    <n v="0"/>
    <n v="0"/>
    <n v="0"/>
    <n v="0"/>
    <n v="0"/>
    <n v="0"/>
    <n v="0"/>
    <n v="0"/>
    <n v="0"/>
    <n v="0"/>
    <n v="0"/>
    <n v="0"/>
    <n v="0"/>
    <n v="36.94"/>
    <n v="36.94"/>
    <n v="36.94"/>
  </r>
  <r>
    <s v="main"/>
    <x v="6"/>
    <n v="0"/>
    <n v="0"/>
    <n v="0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</r>
  <r>
    <s v="main"/>
    <x v="6"/>
    <n v="0"/>
    <n v="0"/>
    <n v="0"/>
    <n v="0"/>
    <n v="0"/>
    <n v="0"/>
    <n v="0"/>
    <n v="0"/>
    <n v="0"/>
    <n v="146.06"/>
    <n v="146.06"/>
    <n v="146.06"/>
    <n v="146.06"/>
    <n v="146.06"/>
    <n v="146.06"/>
    <n v="146.06"/>
    <n v="146.06"/>
  </r>
  <r>
    <s v="main"/>
    <x v="6"/>
    <n v="0"/>
    <n v="0"/>
    <n v="0"/>
    <n v="59.4"/>
    <n v="59.4"/>
    <n v="59.4"/>
    <n v="59.4"/>
    <n v="59.4"/>
    <n v="59.4"/>
    <n v="59.4"/>
    <n v="59.4"/>
    <n v="59.4"/>
    <n v="59.4"/>
    <n v="59.4"/>
    <n v="59.4"/>
    <n v="59.4"/>
    <n v="59.4"/>
  </r>
  <r>
    <s v="main"/>
    <x v="6"/>
    <n v="0"/>
    <n v="0"/>
    <n v="0"/>
    <n v="149.76"/>
    <n v="149.76"/>
    <n v="149.76"/>
    <n v="149.76"/>
    <n v="149.76"/>
    <n v="149.76"/>
    <n v="149.76"/>
    <n v="149.76"/>
    <n v="149.76"/>
    <n v="149.76"/>
    <n v="149.76"/>
    <n v="149.76"/>
    <n v="149.76"/>
    <n v="149.76"/>
  </r>
  <r>
    <s v="main"/>
    <x v="6"/>
    <n v="0"/>
    <n v="0"/>
    <n v="0"/>
    <n v="17"/>
    <n v="17"/>
    <n v="17"/>
    <n v="17"/>
    <n v="17"/>
    <n v="17"/>
    <n v="17"/>
    <n v="17"/>
    <n v="17"/>
    <n v="17"/>
    <n v="17"/>
    <n v="17"/>
    <n v="17"/>
    <n v="17"/>
  </r>
  <r>
    <s v="main"/>
    <x v="6"/>
    <n v="0"/>
    <n v="0"/>
    <n v="0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</r>
  <r>
    <s v="main"/>
    <x v="4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main"/>
    <x v="4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4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4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4"/>
    <n v="0"/>
    <n v="0"/>
    <n v="0"/>
    <n v="0"/>
    <n v="0"/>
    <n v="0"/>
    <n v="0"/>
    <n v="0"/>
    <n v="0"/>
    <n v="0"/>
    <n v="0"/>
    <n v="0"/>
    <n v="857.74"/>
    <n v="857.74"/>
    <n v="857.74"/>
    <n v="857.74"/>
    <n v="857.74"/>
  </r>
  <r>
    <s v="main"/>
    <x v="4"/>
    <n v="0"/>
    <n v="0"/>
    <n v="0"/>
    <n v="0"/>
    <n v="0"/>
    <n v="0"/>
    <n v="0"/>
    <n v="0"/>
    <n v="0"/>
    <n v="0"/>
    <n v="0"/>
    <n v="37.69"/>
    <n v="37.69"/>
    <n v="37.69"/>
    <n v="37.69"/>
    <n v="37.69"/>
    <n v="37.69"/>
  </r>
  <r>
    <s v="main"/>
    <x v="4"/>
    <n v="0"/>
    <n v="0"/>
    <n v="0"/>
    <n v="293.14"/>
    <n v="293.14"/>
    <n v="293.14"/>
    <n v="293.14"/>
    <n v="293.14"/>
    <n v="293.14"/>
    <n v="293.14"/>
    <n v="293.14"/>
    <n v="293.14"/>
    <n v="293.14"/>
    <n v="293.14"/>
    <n v="293.14"/>
    <n v="293.14"/>
    <n v="293.14"/>
  </r>
  <r>
    <s v="main"/>
    <x v="4"/>
    <n v="0"/>
    <n v="0"/>
    <n v="0"/>
    <n v="0"/>
    <n v="0"/>
    <n v="0"/>
    <n v="0"/>
    <n v="0"/>
    <n v="0"/>
    <n v="0"/>
    <n v="0"/>
    <n v="0"/>
    <n v="0"/>
    <n v="0"/>
    <n v="93.87"/>
    <n v="93.87"/>
    <n v="93.87"/>
  </r>
  <r>
    <s v="main"/>
    <x v="4"/>
    <n v="0"/>
    <n v="0"/>
    <n v="0"/>
    <n v="0"/>
    <n v="179.35"/>
    <n v="179.35"/>
    <n v="179.35"/>
    <n v="179.35"/>
    <n v="179.35"/>
    <n v="179.35"/>
    <n v="179.35"/>
    <n v="179.35"/>
    <n v="179.35"/>
    <n v="179.35"/>
    <n v="179.35"/>
    <n v="179.35"/>
    <n v="179.35"/>
  </r>
  <r>
    <s v="main"/>
    <x v="4"/>
    <n v="0"/>
    <n v="0"/>
    <n v="0"/>
    <n v="23.41"/>
    <n v="23.41"/>
    <n v="23.41"/>
    <n v="23.41"/>
    <n v="23.41"/>
    <n v="46.82"/>
    <n v="46.82"/>
    <n v="46.82"/>
    <n v="93.64"/>
    <n v="93.64"/>
    <n v="93.64"/>
    <n v="93.64"/>
    <n v="93.64"/>
    <n v="93.64"/>
  </r>
  <r>
    <s v="main"/>
    <x v="4"/>
    <n v="0"/>
    <n v="0"/>
    <n v="0"/>
    <n v="228.5975"/>
    <n v="228.5975"/>
    <n v="228.5975"/>
    <n v="228.5975"/>
    <n v="457.19499999999999"/>
    <n v="457.19499999999999"/>
    <n v="457.19499999999999"/>
    <n v="457.19499999999999"/>
    <n v="914.39"/>
    <n v="914.39"/>
    <n v="914.39"/>
    <n v="914.39"/>
    <n v="914.39"/>
    <n v="914.39"/>
  </r>
  <r>
    <s v="main"/>
    <x v="4"/>
    <n v="0"/>
    <n v="0"/>
    <n v="0"/>
    <n v="64.94"/>
    <n v="64.94"/>
    <n v="64.94"/>
    <n v="64.94"/>
    <n v="64.94"/>
    <n v="64.94"/>
    <n v="64.94"/>
    <n v="64.94"/>
    <n v="64.94"/>
    <n v="64.94"/>
    <n v="64.94"/>
    <n v="64.94"/>
    <n v="64.94"/>
    <n v="64.94"/>
  </r>
  <r>
    <s v="main"/>
    <x v="4"/>
    <n v="0"/>
    <n v="0"/>
    <n v="0"/>
    <n v="152.28"/>
    <n v="152.28"/>
    <n v="152.28"/>
    <n v="152.28"/>
    <n v="152.28"/>
    <n v="152.28"/>
    <n v="152.28"/>
    <n v="152.28"/>
    <n v="152.28"/>
    <n v="152.28"/>
    <n v="152.28"/>
    <n v="152.28"/>
    <n v="152.28"/>
    <n v="152.28"/>
  </r>
  <r>
    <s v="main"/>
    <x v="4"/>
    <n v="0"/>
    <n v="0"/>
    <n v="0"/>
    <n v="31.594999999999999"/>
    <n v="31.594999999999999"/>
    <n v="31.594999999999999"/>
    <n v="31.594999999999999"/>
    <n v="63.19"/>
    <n v="63.19"/>
    <n v="63.19"/>
    <n v="63.19"/>
    <n v="126.38"/>
    <n v="126.38"/>
    <n v="126.38"/>
    <n v="126.38"/>
    <n v="126.38"/>
    <n v="126.38"/>
  </r>
  <r>
    <s v="main"/>
    <x v="4"/>
    <n v="0"/>
    <n v="0"/>
    <n v="0"/>
    <n v="0"/>
    <n v="0"/>
    <n v="0"/>
    <n v="0"/>
    <n v="0"/>
    <n v="0"/>
    <n v="0"/>
    <n v="0"/>
    <n v="0"/>
    <n v="0"/>
    <n v="0"/>
    <n v="32.43"/>
    <n v="32.43"/>
    <n v="32.43"/>
  </r>
  <r>
    <s v="main"/>
    <x v="4"/>
    <n v="0"/>
    <n v="0"/>
    <n v="0"/>
    <n v="34.28"/>
    <n v="34.28"/>
    <n v="34.28"/>
    <n v="34.28"/>
    <n v="34.28"/>
    <n v="34.28"/>
    <n v="34.28"/>
    <n v="34.28"/>
    <n v="34.28"/>
    <n v="34.28"/>
    <n v="34.28"/>
    <n v="34.28"/>
    <n v="34.28"/>
    <n v="34.28"/>
  </r>
  <r>
    <s v="main"/>
    <x v="4"/>
    <n v="0"/>
    <n v="0"/>
    <n v="0"/>
    <n v="0"/>
    <n v="0"/>
    <n v="0"/>
    <n v="0"/>
    <n v="0"/>
    <n v="0"/>
    <n v="128.22999999999999"/>
    <n v="128.22999999999999"/>
    <n v="128.22999999999999"/>
    <n v="128.22999999999999"/>
    <n v="128.22999999999999"/>
    <n v="128.22999999999999"/>
    <n v="128.22999999999999"/>
    <n v="128.22999999999999"/>
  </r>
  <r>
    <s v="main"/>
    <x v="4"/>
    <n v="0"/>
    <n v="0"/>
    <n v="0"/>
    <n v="52.15"/>
    <n v="52.15"/>
    <n v="52.15"/>
    <n v="52.15"/>
    <n v="52.15"/>
    <n v="52.15"/>
    <n v="52.15"/>
    <n v="52.15"/>
    <n v="52.15"/>
    <n v="52.15"/>
    <n v="52.15"/>
    <n v="52.15"/>
    <n v="52.15"/>
    <n v="52.15"/>
  </r>
  <r>
    <s v="main"/>
    <x v="4"/>
    <n v="0"/>
    <n v="0"/>
    <n v="0"/>
    <n v="131.47"/>
    <n v="131.47"/>
    <n v="131.47"/>
    <n v="131.47"/>
    <n v="131.47"/>
    <n v="131.47"/>
    <n v="131.47"/>
    <n v="131.47"/>
    <n v="131.47"/>
    <n v="131.47"/>
    <n v="131.47"/>
    <n v="131.47"/>
    <n v="131.47"/>
    <n v="131.47"/>
  </r>
  <r>
    <s v="main"/>
    <x v="4"/>
    <n v="0"/>
    <n v="0"/>
    <n v="0"/>
    <n v="14.91"/>
    <n v="14.91"/>
    <n v="14.91"/>
    <n v="14.91"/>
    <n v="14.91"/>
    <n v="14.91"/>
    <n v="14.91"/>
    <n v="14.91"/>
    <n v="14.91"/>
    <n v="14.91"/>
    <n v="14.91"/>
    <n v="14.91"/>
    <n v="14.91"/>
    <n v="14.91"/>
  </r>
  <r>
    <s v="main"/>
    <x v="4"/>
    <n v="0"/>
    <n v="0"/>
    <n v="0"/>
    <n v="121.47"/>
    <n v="121.47"/>
    <n v="121.47"/>
    <n v="121.47"/>
    <n v="121.47"/>
    <n v="121.47"/>
    <n v="121.47"/>
    <n v="121.47"/>
    <n v="121.47"/>
    <n v="121.47"/>
    <n v="121.47"/>
    <n v="121.47"/>
    <n v="121.47"/>
    <n v="121.47"/>
  </r>
  <r>
    <s v="main"/>
    <x v="8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8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main"/>
    <x v="8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main"/>
    <x v="8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main"/>
    <x v="8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8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8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8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8"/>
    <n v="0"/>
    <n v="0"/>
    <n v="0"/>
    <n v="0"/>
    <n v="0"/>
    <n v="0"/>
    <n v="0"/>
    <n v="0"/>
    <n v="0"/>
    <n v="0"/>
    <n v="0"/>
    <n v="56.66"/>
    <n v="56.66"/>
    <n v="56.66"/>
    <n v="56.66"/>
    <n v="56.66"/>
    <n v="56.66"/>
  </r>
  <r>
    <s v="main"/>
    <x v="8"/>
    <n v="0"/>
    <n v="0"/>
    <n v="0"/>
    <n v="440.89"/>
    <n v="440.89"/>
    <n v="440.89"/>
    <n v="440.89"/>
    <n v="440.89"/>
    <n v="440.89"/>
    <n v="440.89"/>
    <n v="440.89"/>
    <n v="440.89"/>
    <n v="440.89"/>
    <n v="440.89"/>
    <n v="440.89"/>
    <n v="440.89"/>
    <n v="440.89"/>
  </r>
  <r>
    <s v="main"/>
    <x v="8"/>
    <n v="0"/>
    <n v="0"/>
    <n v="0"/>
    <n v="0"/>
    <n v="0"/>
    <n v="0"/>
    <n v="0"/>
    <n v="0"/>
    <n v="0"/>
    <n v="0"/>
    <n v="0"/>
    <n v="0"/>
    <n v="0"/>
    <n v="0"/>
    <n v="141.19999999999999"/>
    <n v="141.19999999999999"/>
    <n v="141.19999999999999"/>
  </r>
  <r>
    <s v="main"/>
    <x v="8"/>
    <n v="0"/>
    <n v="0"/>
    <n v="0"/>
    <n v="0"/>
    <n v="269.74"/>
    <n v="269.74"/>
    <n v="269.74"/>
    <n v="269.74"/>
    <n v="269.74"/>
    <n v="269.74"/>
    <n v="269.74"/>
    <n v="269.74"/>
    <n v="269.74"/>
    <n v="269.74"/>
    <n v="269.74"/>
    <n v="269.74"/>
    <n v="269.74"/>
  </r>
  <r>
    <s v="main"/>
    <x v="8"/>
    <n v="0"/>
    <n v="0"/>
    <n v="0"/>
    <n v="35.215000000000003"/>
    <n v="35.215000000000003"/>
    <n v="35.215000000000003"/>
    <n v="35.215000000000003"/>
    <n v="35.215000000000003"/>
    <n v="70.430000000000007"/>
    <n v="70.430000000000007"/>
    <n v="70.430000000000007"/>
    <n v="140.86000000000001"/>
    <n v="140.86000000000001"/>
    <n v="140.86000000000001"/>
    <n v="140.86000000000001"/>
    <n v="140.86000000000001"/>
    <n v="140.86000000000001"/>
  </r>
  <r>
    <s v="main"/>
    <x v="8"/>
    <n v="0"/>
    <n v="0"/>
    <n v="0"/>
    <n v="343.82499999999999"/>
    <n v="343.82499999999999"/>
    <n v="343.82499999999999"/>
    <n v="343.82499999999999"/>
    <n v="687.65"/>
    <n v="687.65"/>
    <n v="687.65"/>
    <n v="687.65"/>
    <n v="1375.3"/>
    <n v="1375.3"/>
    <n v="1375.3"/>
    <n v="1375.3"/>
    <n v="1375.3"/>
    <n v="1375.3"/>
  </r>
  <r>
    <s v="main"/>
    <x v="8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s v="main"/>
    <x v="8"/>
    <n v="0"/>
    <n v="0"/>
    <n v="0"/>
    <n v="229"/>
    <n v="229"/>
    <n v="229"/>
    <n v="229"/>
    <n v="229"/>
    <n v="229"/>
    <n v="229"/>
    <n v="229"/>
    <n v="229"/>
    <n v="229"/>
    <n v="229"/>
    <n v="229"/>
    <n v="229"/>
    <n v="229"/>
  </r>
  <r>
    <s v="main"/>
    <x v="8"/>
    <n v="0"/>
    <n v="0"/>
    <n v="0"/>
    <n v="72.665000000000006"/>
    <n v="72.665000000000006"/>
    <n v="72.665000000000006"/>
    <n v="72.665000000000006"/>
    <n v="145.33000000000001"/>
    <n v="145.33000000000001"/>
    <n v="145.33000000000001"/>
    <n v="145.33000000000001"/>
    <n v="290.66000000000003"/>
    <n v="290.66000000000003"/>
    <n v="290.66000000000003"/>
    <n v="290.66000000000003"/>
    <n v="290.66000000000003"/>
    <n v="290.66000000000003"/>
  </r>
  <r>
    <s v="main"/>
    <x v="8"/>
    <n v="0"/>
    <n v="0"/>
    <n v="0"/>
    <n v="0"/>
    <n v="0"/>
    <n v="0"/>
    <n v="0"/>
    <n v="0"/>
    <n v="0"/>
    <n v="0"/>
    <n v="0"/>
    <n v="0"/>
    <n v="0"/>
    <n v="0"/>
    <n v="74.61"/>
    <n v="74.61"/>
    <n v="74.61"/>
  </r>
  <r>
    <s v="main"/>
    <x v="8"/>
    <n v="0"/>
    <n v="0"/>
    <n v="0"/>
    <n v="78.83"/>
    <n v="78.83"/>
    <n v="78.83"/>
    <n v="78.83"/>
    <n v="78.83"/>
    <n v="78.83"/>
    <n v="78.83"/>
    <n v="78.83"/>
    <n v="78.83"/>
    <n v="78.83"/>
    <n v="78.83"/>
    <n v="78.83"/>
    <n v="78.83"/>
    <n v="78.83"/>
  </r>
  <r>
    <s v="main"/>
    <x v="8"/>
    <n v="0"/>
    <n v="0"/>
    <n v="0"/>
    <n v="0"/>
    <n v="0"/>
    <n v="0"/>
    <n v="0"/>
    <n v="0"/>
    <n v="0"/>
    <n v="294.88"/>
    <n v="294.88"/>
    <n v="294.88"/>
    <n v="294.88"/>
    <n v="294.88"/>
    <n v="294.88"/>
    <n v="294.88"/>
    <n v="294.88"/>
  </r>
  <r>
    <s v="main"/>
    <x v="8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s v="main"/>
    <x v="8"/>
    <n v="0"/>
    <n v="0"/>
    <n v="0"/>
    <n v="302.36"/>
    <n v="302.36"/>
    <n v="302.36"/>
    <n v="302.36"/>
    <n v="302.36"/>
    <n v="302.36"/>
    <n v="302.36"/>
    <n v="302.36"/>
    <n v="302.36"/>
    <n v="302.36"/>
    <n v="302.36"/>
    <n v="302.36"/>
    <n v="302.36"/>
    <n v="302.36"/>
  </r>
  <r>
    <s v="main"/>
    <x v="8"/>
    <n v="0"/>
    <n v="0"/>
    <n v="0"/>
    <n v="34.32"/>
    <n v="34.32"/>
    <n v="34.32"/>
    <n v="34.32"/>
    <n v="34.32"/>
    <n v="34.32"/>
    <n v="34.32"/>
    <n v="34.32"/>
    <n v="34.32"/>
    <n v="34.32"/>
    <n v="34.32"/>
    <n v="34.32"/>
    <n v="34.32"/>
    <n v="34.32"/>
  </r>
  <r>
    <s v="main"/>
    <x v="8"/>
    <n v="0"/>
    <n v="0"/>
    <n v="0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</r>
  <r>
    <s v="main"/>
    <x v="9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9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main"/>
    <x v="9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main"/>
    <x v="9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main"/>
    <x v="9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main"/>
    <x v="9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9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9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9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9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9"/>
    <n v="0"/>
    <n v="0"/>
    <n v="0"/>
    <n v="0"/>
    <n v="0"/>
    <n v="0"/>
    <n v="0"/>
    <n v="0"/>
    <n v="0"/>
    <n v="0"/>
    <n v="0"/>
    <n v="56.66"/>
    <n v="56.66"/>
    <n v="56.66"/>
    <n v="56.66"/>
    <n v="56.66"/>
    <n v="56.66"/>
  </r>
  <r>
    <s v="main"/>
    <x v="9"/>
    <n v="0"/>
    <n v="0"/>
    <n v="0"/>
    <n v="440.89"/>
    <n v="440.89"/>
    <n v="440.89"/>
    <n v="440.89"/>
    <n v="440.89"/>
    <n v="440.89"/>
    <n v="440.89"/>
    <n v="440.89"/>
    <n v="440.89"/>
    <n v="440.89"/>
    <n v="440.89"/>
    <n v="440.89"/>
    <n v="440.89"/>
    <n v="440.89"/>
  </r>
  <r>
    <s v="main"/>
    <x v="9"/>
    <n v="0"/>
    <n v="0"/>
    <n v="0"/>
    <n v="0"/>
    <n v="0"/>
    <n v="0"/>
    <n v="0"/>
    <n v="0"/>
    <n v="0"/>
    <n v="0"/>
    <n v="0"/>
    <n v="0"/>
    <n v="0"/>
    <n v="0"/>
    <n v="141.19999999999999"/>
    <n v="141.19999999999999"/>
    <n v="141.19999999999999"/>
  </r>
  <r>
    <s v="main"/>
    <x v="9"/>
    <n v="0"/>
    <n v="0"/>
    <n v="0"/>
    <n v="0"/>
    <n v="269.74"/>
    <n v="269.74"/>
    <n v="269.74"/>
    <n v="269.74"/>
    <n v="269.74"/>
    <n v="269.74"/>
    <n v="269.74"/>
    <n v="269.74"/>
    <n v="269.74"/>
    <n v="269.74"/>
    <n v="269.74"/>
    <n v="269.74"/>
    <n v="269.74"/>
  </r>
  <r>
    <s v="main"/>
    <x v="9"/>
    <n v="0"/>
    <n v="0"/>
    <n v="0"/>
    <n v="35.215000000000003"/>
    <n v="35.215000000000003"/>
    <n v="35.215000000000003"/>
    <n v="35.215000000000003"/>
    <n v="35.215000000000003"/>
    <n v="70.430000000000007"/>
    <n v="70.430000000000007"/>
    <n v="70.430000000000007"/>
    <n v="140.86000000000001"/>
    <n v="140.86000000000001"/>
    <n v="140.86000000000001"/>
    <n v="140.86000000000001"/>
    <n v="140.86000000000001"/>
    <n v="140.86000000000001"/>
  </r>
  <r>
    <s v="main"/>
    <x v="9"/>
    <n v="0"/>
    <n v="0"/>
    <n v="0"/>
    <n v="343.82499999999999"/>
    <n v="343.82499999999999"/>
    <n v="343.82499999999999"/>
    <n v="343.82499999999999"/>
    <n v="687.65"/>
    <n v="687.65"/>
    <n v="687.65"/>
    <n v="687.65"/>
    <n v="1375.3"/>
    <n v="1375.3"/>
    <n v="1375.3"/>
    <n v="1375.3"/>
    <n v="1375.3"/>
    <n v="1375.3"/>
  </r>
  <r>
    <s v="main"/>
    <x v="9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s v="main"/>
    <x v="9"/>
    <n v="0"/>
    <n v="0"/>
    <n v="0"/>
    <n v="229"/>
    <n v="229"/>
    <n v="229"/>
    <n v="229"/>
    <n v="229"/>
    <n v="229"/>
    <n v="229"/>
    <n v="229"/>
    <n v="229"/>
    <n v="229"/>
    <n v="229"/>
    <n v="229"/>
    <n v="229"/>
    <n v="229"/>
  </r>
  <r>
    <s v="main"/>
    <x v="9"/>
    <n v="0"/>
    <n v="0"/>
    <n v="0"/>
    <n v="72.665000000000006"/>
    <n v="72.665000000000006"/>
    <n v="72.665000000000006"/>
    <n v="72.665000000000006"/>
    <n v="145.33000000000001"/>
    <n v="145.33000000000001"/>
    <n v="145.33000000000001"/>
    <n v="145.33000000000001"/>
    <n v="290.66000000000003"/>
    <n v="290.66000000000003"/>
    <n v="290.66000000000003"/>
    <n v="290.66000000000003"/>
    <n v="290.66000000000003"/>
    <n v="290.66000000000003"/>
  </r>
  <r>
    <s v="main"/>
    <x v="9"/>
    <n v="0"/>
    <n v="0"/>
    <n v="0"/>
    <n v="0"/>
    <n v="0"/>
    <n v="0"/>
    <n v="0"/>
    <n v="0"/>
    <n v="0"/>
    <n v="0"/>
    <n v="0"/>
    <n v="0"/>
    <n v="0"/>
    <n v="0"/>
    <n v="74.61"/>
    <n v="74.61"/>
    <n v="74.61"/>
  </r>
  <r>
    <s v="main"/>
    <x v="9"/>
    <n v="0"/>
    <n v="0"/>
    <n v="0"/>
    <n v="78.83"/>
    <n v="78.83"/>
    <n v="78.83"/>
    <n v="78.83"/>
    <n v="78.83"/>
    <n v="78.83"/>
    <n v="78.83"/>
    <n v="78.83"/>
    <n v="78.83"/>
    <n v="78.83"/>
    <n v="78.83"/>
    <n v="78.83"/>
    <n v="78.83"/>
    <n v="78.83"/>
  </r>
  <r>
    <s v="main"/>
    <x v="9"/>
    <n v="0"/>
    <n v="0"/>
    <n v="0"/>
    <n v="0"/>
    <n v="0"/>
    <n v="0"/>
    <n v="0"/>
    <n v="0"/>
    <n v="0"/>
    <n v="294.88"/>
    <n v="294.88"/>
    <n v="294.88"/>
    <n v="294.88"/>
    <n v="294.88"/>
    <n v="294.88"/>
    <n v="294.88"/>
    <n v="294.88"/>
  </r>
  <r>
    <s v="main"/>
    <x v="9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s v="main"/>
    <x v="9"/>
    <n v="0"/>
    <n v="0"/>
    <n v="0"/>
    <n v="302.36"/>
    <n v="302.36"/>
    <n v="302.36"/>
    <n v="302.36"/>
    <n v="302.36"/>
    <n v="302.36"/>
    <n v="302.36"/>
    <n v="302.36"/>
    <n v="302.36"/>
    <n v="302.36"/>
    <n v="302.36"/>
    <n v="302.36"/>
    <n v="302.36"/>
    <n v="302.36"/>
  </r>
  <r>
    <s v="main"/>
    <x v="9"/>
    <n v="0"/>
    <n v="0"/>
    <n v="0"/>
    <n v="34.32"/>
    <n v="34.32"/>
    <n v="34.32"/>
    <n v="34.32"/>
    <n v="34.32"/>
    <n v="34.32"/>
    <n v="34.32"/>
    <n v="34.32"/>
    <n v="34.32"/>
    <n v="34.32"/>
    <n v="34.32"/>
    <n v="34.32"/>
    <n v="34.32"/>
    <n v="34.32"/>
  </r>
  <r>
    <s v="main"/>
    <x v="9"/>
    <n v="0"/>
    <n v="0"/>
    <n v="0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</r>
  <r>
    <s v="main"/>
    <x v="10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main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0"/>
    <n v="0"/>
    <n v="0"/>
    <n v="0"/>
    <n v="0"/>
    <n v="0"/>
    <n v="0"/>
    <n v="0"/>
    <n v="0"/>
    <n v="0"/>
    <n v="0"/>
    <n v="0"/>
    <n v="75.7"/>
    <n v="75.7"/>
    <n v="75.7"/>
    <n v="75.7"/>
    <n v="75.7"/>
    <n v="75.7"/>
  </r>
  <r>
    <s v="main"/>
    <x v="10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s v="main"/>
    <x v="10"/>
    <n v="0"/>
    <n v="0"/>
    <n v="0"/>
    <n v="0"/>
    <n v="0"/>
    <n v="0"/>
    <n v="0"/>
    <n v="0"/>
    <n v="0"/>
    <n v="0"/>
    <n v="0"/>
    <n v="0"/>
    <n v="0"/>
    <n v="0"/>
    <n v="188.51"/>
    <n v="188.51"/>
    <n v="188.51"/>
  </r>
  <r>
    <s v="main"/>
    <x v="10"/>
    <n v="0"/>
    <n v="0"/>
    <n v="0"/>
    <n v="0"/>
    <n v="360.13"/>
    <n v="360.13"/>
    <n v="360.13"/>
    <n v="360.13"/>
    <n v="360.13"/>
    <n v="360.13"/>
    <n v="360.13"/>
    <n v="360.13"/>
    <n v="360.13"/>
    <n v="360.13"/>
    <n v="360.13"/>
    <n v="360.13"/>
    <n v="360.13"/>
  </r>
  <r>
    <s v="main"/>
    <x v="10"/>
    <n v="0"/>
    <n v="0"/>
    <n v="0"/>
    <n v="47.015000000000001"/>
    <n v="47.015000000000001"/>
    <n v="47.015000000000001"/>
    <n v="47.015000000000001"/>
    <n v="47.015000000000001"/>
    <n v="94.03"/>
    <n v="94.03"/>
    <n v="94.03"/>
    <n v="188.06"/>
    <n v="188.06"/>
    <n v="188.06"/>
    <n v="188.06"/>
    <n v="188.06"/>
    <n v="188.06"/>
  </r>
  <r>
    <s v="main"/>
    <x v="10"/>
    <n v="0"/>
    <n v="0"/>
    <n v="0"/>
    <n v="459.05250000000001"/>
    <n v="459.05250000000001"/>
    <n v="459.05250000000001"/>
    <n v="459.05250000000001"/>
    <n v="918.10500000000002"/>
    <n v="918.10500000000002"/>
    <n v="918.10500000000002"/>
    <n v="918.10500000000002"/>
    <n v="1836.21"/>
    <n v="1836.21"/>
    <n v="1836.21"/>
    <n v="1836.21"/>
    <n v="1836.21"/>
    <n v="1836.21"/>
  </r>
  <r>
    <s v="main"/>
    <x v="10"/>
    <n v="0"/>
    <n v="0"/>
    <n v="0"/>
    <n v="0"/>
    <n v="0"/>
    <n v="0"/>
    <n v="0"/>
    <n v="0"/>
    <n v="0"/>
    <n v="0"/>
    <n v="0"/>
    <n v="125.14"/>
    <n v="125.14"/>
    <n v="125.14"/>
    <n v="125.14"/>
    <n v="125.14"/>
    <n v="125.14"/>
  </r>
  <r>
    <s v="main"/>
    <x v="10"/>
    <n v="0"/>
    <n v="0"/>
    <n v="0"/>
    <n v="0"/>
    <n v="0"/>
    <n v="0"/>
    <n v="0"/>
    <n v="0"/>
    <n v="0"/>
    <n v="0"/>
    <n v="0"/>
    <n v="455.9"/>
    <n v="455.9"/>
    <n v="455.9"/>
    <n v="455.9"/>
    <n v="455.9"/>
    <n v="455.9"/>
  </r>
  <r>
    <s v="main"/>
    <x v="10"/>
    <n v="0"/>
    <n v="0"/>
    <n v="0"/>
    <n v="0"/>
    <n v="0"/>
    <n v="0"/>
    <n v="0"/>
    <n v="0"/>
    <n v="0"/>
    <n v="0"/>
    <n v="0"/>
    <n v="89.42"/>
    <n v="89.42"/>
    <n v="89.42"/>
    <n v="89.42"/>
    <n v="89.42"/>
    <n v="89.42"/>
  </r>
  <r>
    <s v="main"/>
    <x v="10"/>
    <n v="0"/>
    <n v="0"/>
    <n v="0"/>
    <n v="0"/>
    <n v="0"/>
    <n v="0"/>
    <n v="0"/>
    <n v="0"/>
    <n v="0"/>
    <n v="0"/>
    <n v="0"/>
    <n v="431.79"/>
    <n v="431.79"/>
    <n v="431.79"/>
    <n v="431.79"/>
    <n v="431.79"/>
    <n v="431.79"/>
  </r>
  <r>
    <s v="main"/>
    <x v="10"/>
    <n v="0"/>
    <n v="0"/>
    <n v="0"/>
    <n v="130.43"/>
    <n v="130.43"/>
    <n v="130.43"/>
    <n v="130.43"/>
    <n v="130.43"/>
    <n v="130.43"/>
    <n v="130.43"/>
    <n v="130.43"/>
    <n v="130.43"/>
    <n v="130.43"/>
    <n v="130.43"/>
    <n v="130.43"/>
    <n v="130.43"/>
    <n v="130.43"/>
  </r>
  <r>
    <s v="main"/>
    <x v="10"/>
    <n v="0"/>
    <n v="0"/>
    <n v="0"/>
    <n v="305.8"/>
    <n v="305.8"/>
    <n v="305.8"/>
    <n v="305.8"/>
    <n v="305.8"/>
    <n v="305.8"/>
    <n v="305.8"/>
    <n v="305.8"/>
    <n v="305.8"/>
    <n v="305.8"/>
    <n v="305.8"/>
    <n v="305.8"/>
    <n v="305.8"/>
    <n v="305.8"/>
  </r>
  <r>
    <s v="main"/>
    <x v="10"/>
    <n v="0"/>
    <n v="0"/>
    <n v="0"/>
    <n v="180.44749999999999"/>
    <n v="180.44749999999999"/>
    <n v="180.44749999999999"/>
    <n v="180.44749999999999"/>
    <n v="360.89499999999998"/>
    <n v="360.89499999999998"/>
    <n v="360.89499999999998"/>
    <n v="360.89499999999998"/>
    <n v="721.79"/>
    <n v="721.79"/>
    <n v="721.79"/>
    <n v="721.79"/>
    <n v="721.79"/>
    <n v="721.79"/>
  </r>
  <r>
    <s v="main"/>
    <x v="10"/>
    <n v="0"/>
    <n v="0"/>
    <n v="0"/>
    <n v="0"/>
    <n v="0"/>
    <n v="0"/>
    <n v="0"/>
    <n v="0"/>
    <n v="0"/>
    <n v="0"/>
    <n v="0"/>
    <n v="0"/>
    <n v="0"/>
    <n v="0"/>
    <n v="185.26"/>
    <n v="185.26"/>
    <n v="185.26"/>
  </r>
  <r>
    <s v="main"/>
    <x v="10"/>
    <n v="0"/>
    <n v="0"/>
    <n v="0"/>
    <n v="195.74"/>
    <n v="195.74"/>
    <n v="195.74"/>
    <n v="195.74"/>
    <n v="195.74"/>
    <n v="195.74"/>
    <n v="195.74"/>
    <n v="195.74"/>
    <n v="195.74"/>
    <n v="195.74"/>
    <n v="195.74"/>
    <n v="195.74"/>
    <n v="195.74"/>
    <n v="195.74"/>
  </r>
  <r>
    <s v="main"/>
    <x v="10"/>
    <n v="0"/>
    <n v="0"/>
    <n v="0"/>
    <n v="0"/>
    <n v="0"/>
    <n v="0"/>
    <n v="0"/>
    <n v="0"/>
    <n v="0"/>
    <n v="517.89"/>
    <n v="517.89"/>
    <n v="517.89"/>
    <n v="517.89"/>
    <n v="517.89"/>
    <n v="517.89"/>
    <n v="517.89"/>
    <n v="517.89"/>
  </r>
  <r>
    <s v="main"/>
    <x v="10"/>
    <n v="0"/>
    <n v="0"/>
    <n v="0"/>
    <n v="210.61"/>
    <n v="210.61"/>
    <n v="210.61"/>
    <n v="210.61"/>
    <n v="210.61"/>
    <n v="210.61"/>
    <n v="210.61"/>
    <n v="210.61"/>
    <n v="210.61"/>
    <n v="210.61"/>
    <n v="210.61"/>
    <n v="210.61"/>
    <n v="210.61"/>
    <n v="210.61"/>
  </r>
  <r>
    <s v="main"/>
    <x v="10"/>
    <n v="0"/>
    <n v="0"/>
    <n v="0"/>
    <n v="530.99"/>
    <n v="530.99"/>
    <n v="530.99"/>
    <n v="530.99"/>
    <n v="530.99"/>
    <n v="530.99"/>
    <n v="530.99"/>
    <n v="530.99"/>
    <n v="530.99"/>
    <n v="530.99"/>
    <n v="530.99"/>
    <n v="530.99"/>
    <n v="530.99"/>
    <n v="530.99"/>
  </r>
  <r>
    <s v="main"/>
    <x v="10"/>
    <n v="0"/>
    <n v="0"/>
    <n v="0"/>
    <n v="60.26"/>
    <n v="60.26"/>
    <n v="60.26"/>
    <n v="60.26"/>
    <n v="60.26"/>
    <n v="60.26"/>
    <n v="60.26"/>
    <n v="60.26"/>
    <n v="60.26"/>
    <n v="60.26"/>
    <n v="60.26"/>
    <n v="60.26"/>
    <n v="60.26"/>
    <n v="60.26"/>
  </r>
  <r>
    <s v="main"/>
    <x v="10"/>
    <n v="0"/>
    <n v="0"/>
    <n v="0"/>
    <n v="490.67"/>
    <n v="490.67"/>
    <n v="490.67"/>
    <n v="490.67"/>
    <n v="490.67"/>
    <n v="490.67"/>
    <n v="490.67"/>
    <n v="490.67"/>
    <n v="490.67"/>
    <n v="490.67"/>
    <n v="490.67"/>
    <n v="490.67"/>
    <n v="490.67"/>
    <n v="490.67"/>
  </r>
  <r>
    <s v="main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main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main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main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main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main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main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1"/>
    <n v="0"/>
    <n v="0"/>
    <n v="0"/>
    <n v="0"/>
    <n v="0"/>
    <n v="0"/>
    <n v="0"/>
    <n v="0"/>
    <n v="0"/>
    <n v="0"/>
    <n v="0"/>
    <n v="81.81"/>
    <n v="81.81"/>
    <n v="81.81"/>
    <n v="81.81"/>
    <n v="81.81"/>
    <n v="81.81"/>
  </r>
  <r>
    <s v="main"/>
    <x v="11"/>
    <n v="0"/>
    <n v="0"/>
    <n v="0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</r>
  <r>
    <s v="main"/>
    <x v="11"/>
    <n v="0"/>
    <n v="0"/>
    <n v="0"/>
    <n v="0"/>
    <n v="0"/>
    <n v="0"/>
    <n v="0"/>
    <n v="0"/>
    <n v="0"/>
    <n v="0"/>
    <n v="0"/>
    <n v="0"/>
    <n v="0"/>
    <n v="0"/>
    <n v="203.77"/>
    <n v="203.77"/>
    <n v="203.77"/>
  </r>
  <r>
    <s v="main"/>
    <x v="11"/>
    <n v="0"/>
    <n v="0"/>
    <n v="0"/>
    <n v="0"/>
    <n v="389.29"/>
    <n v="389.29"/>
    <n v="389.29"/>
    <n v="389.29"/>
    <n v="389.29"/>
    <n v="389.29"/>
    <n v="389.29"/>
    <n v="389.29"/>
    <n v="389.29"/>
    <n v="389.29"/>
    <n v="389.29"/>
    <n v="389.29"/>
    <n v="389.29"/>
  </r>
  <r>
    <s v="main"/>
    <x v="11"/>
    <n v="0"/>
    <n v="0"/>
    <n v="0"/>
    <n v="50.822499999999998"/>
    <n v="50.822499999999998"/>
    <n v="50.822499999999998"/>
    <n v="50.822499999999998"/>
    <n v="50.822499999999998"/>
    <n v="101.645"/>
    <n v="101.645"/>
    <n v="101.645"/>
    <n v="203.29"/>
    <n v="203.29"/>
    <n v="203.29"/>
    <n v="203.29"/>
    <n v="203.29"/>
    <n v="203.29"/>
  </r>
  <r>
    <s v="main"/>
    <x v="11"/>
    <n v="0"/>
    <n v="0"/>
    <n v="0"/>
    <n v="496.22250000000003"/>
    <n v="496.22250000000003"/>
    <n v="496.22250000000003"/>
    <n v="496.22250000000003"/>
    <n v="992.44500000000005"/>
    <n v="992.44500000000005"/>
    <n v="992.44500000000005"/>
    <n v="992.44500000000005"/>
    <n v="1984.89"/>
    <n v="1984.89"/>
    <n v="1984.89"/>
    <n v="1984.89"/>
    <n v="1984.89"/>
    <n v="1984.89"/>
  </r>
  <r>
    <s v="main"/>
    <x v="11"/>
    <n v="0"/>
    <n v="0"/>
    <n v="0"/>
    <n v="0"/>
    <n v="0"/>
    <n v="0"/>
    <n v="0"/>
    <n v="0"/>
    <n v="0"/>
    <n v="0"/>
    <n v="0"/>
    <n v="96.67"/>
    <n v="96.67"/>
    <n v="96.67"/>
    <n v="96.67"/>
    <n v="96.67"/>
    <n v="96.67"/>
  </r>
  <r>
    <s v="main"/>
    <x v="11"/>
    <n v="0"/>
    <n v="0"/>
    <n v="0"/>
    <n v="0"/>
    <n v="0"/>
    <n v="0"/>
    <n v="0"/>
    <n v="0"/>
    <n v="0"/>
    <n v="0"/>
    <n v="0"/>
    <n v="466.71"/>
    <n v="466.71"/>
    <n v="466.71"/>
    <n v="466.71"/>
    <n v="466.71"/>
    <n v="466.71"/>
  </r>
  <r>
    <s v="main"/>
    <x v="11"/>
    <n v="0"/>
    <n v="0"/>
    <n v="0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</r>
  <r>
    <s v="main"/>
    <x v="11"/>
    <n v="0"/>
    <n v="0"/>
    <n v="0"/>
    <n v="330.56"/>
    <n v="330.56"/>
    <n v="330.56"/>
    <n v="330.56"/>
    <n v="330.56"/>
    <n v="330.56"/>
    <n v="330.56"/>
    <n v="330.56"/>
    <n v="330.56"/>
    <n v="330.56"/>
    <n v="330.56"/>
    <n v="330.56"/>
    <n v="330.56"/>
    <n v="330.56"/>
  </r>
  <r>
    <s v="main"/>
    <x v="11"/>
    <n v="0"/>
    <n v="0"/>
    <n v="0"/>
    <n v="215.48750000000001"/>
    <n v="215.48750000000001"/>
    <n v="215.48750000000001"/>
    <n v="215.48750000000001"/>
    <n v="430.97500000000002"/>
    <n v="430.97500000000002"/>
    <n v="430.97500000000002"/>
    <n v="430.97500000000002"/>
    <n v="861.95"/>
    <n v="861.95"/>
    <n v="861.95"/>
    <n v="861.95"/>
    <n v="861.95"/>
    <n v="861.95"/>
  </r>
  <r>
    <s v="main"/>
    <x v="11"/>
    <n v="0"/>
    <n v="0"/>
    <n v="0"/>
    <n v="0"/>
    <n v="0"/>
    <n v="0"/>
    <n v="0"/>
    <n v="0"/>
    <n v="0"/>
    <n v="0"/>
    <n v="0"/>
    <n v="0"/>
    <n v="0"/>
    <n v="0"/>
    <n v="221.24"/>
    <n v="221.24"/>
    <n v="221.24"/>
  </r>
  <r>
    <s v="main"/>
    <x v="11"/>
    <n v="0"/>
    <n v="0"/>
    <n v="0"/>
    <n v="233.75"/>
    <n v="233.75"/>
    <n v="233.75"/>
    <n v="233.75"/>
    <n v="233.75"/>
    <n v="233.75"/>
    <n v="233.75"/>
    <n v="233.75"/>
    <n v="233.75"/>
    <n v="233.75"/>
    <n v="233.75"/>
    <n v="233.75"/>
    <n v="233.75"/>
    <n v="233.75"/>
  </r>
  <r>
    <s v="main"/>
    <x v="11"/>
    <n v="0"/>
    <n v="0"/>
    <n v="0"/>
    <n v="0"/>
    <n v="0"/>
    <n v="0"/>
    <n v="0"/>
    <n v="0"/>
    <n v="0"/>
    <n v="618.45000000000005"/>
    <n v="618.45000000000005"/>
    <n v="618.45000000000005"/>
    <n v="618.45000000000005"/>
    <n v="618.45000000000005"/>
    <n v="618.45000000000005"/>
    <n v="618.45000000000005"/>
    <n v="618.45000000000005"/>
  </r>
  <r>
    <s v="main"/>
    <x v="11"/>
    <n v="0"/>
    <n v="0"/>
    <n v="0"/>
    <n v="251.51"/>
    <n v="251.51"/>
    <n v="251.51"/>
    <n v="251.51"/>
    <n v="251.51"/>
    <n v="251.51"/>
    <n v="251.51"/>
    <n v="251.51"/>
    <n v="251.51"/>
    <n v="251.51"/>
    <n v="251.51"/>
    <n v="251.51"/>
    <n v="251.51"/>
    <n v="251.51"/>
  </r>
  <r>
    <s v="main"/>
    <x v="11"/>
    <n v="0"/>
    <n v="0"/>
    <n v="0"/>
    <n v="634.09"/>
    <n v="634.09"/>
    <n v="634.09"/>
    <n v="634.09"/>
    <n v="634.09"/>
    <n v="634.09"/>
    <n v="634.09"/>
    <n v="634.09"/>
    <n v="634.09"/>
    <n v="634.09"/>
    <n v="634.09"/>
    <n v="634.09"/>
    <n v="634.09"/>
    <n v="634.09"/>
  </r>
  <r>
    <s v="main"/>
    <x v="11"/>
    <n v="0"/>
    <n v="0"/>
    <n v="0"/>
    <n v="71.97"/>
    <n v="71.97"/>
    <n v="71.97"/>
    <n v="71.97"/>
    <n v="71.97"/>
    <n v="71.97"/>
    <n v="71.97"/>
    <n v="71.97"/>
    <n v="71.97"/>
    <n v="71.97"/>
    <n v="71.97"/>
    <n v="71.97"/>
    <n v="71.97"/>
    <n v="71.97"/>
  </r>
  <r>
    <s v="main"/>
    <x v="11"/>
    <n v="0"/>
    <n v="0"/>
    <n v="0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3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3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681.57"/>
    <n v="681.57"/>
    <n v="681.57"/>
    <n v="681.57"/>
    <n v="681.57"/>
    <n v="681.5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0"/>
    <n v="0"/>
    <n v="0"/>
    <n v="0"/>
    <n v="0"/>
    <n v="182.02"/>
    <n v="182.02"/>
    <n v="182.02"/>
  </r>
  <r>
    <s v="main"/>
    <x v="3"/>
    <n v="0"/>
    <n v="0"/>
    <n v="0"/>
    <n v="0"/>
    <n v="2656.36"/>
    <n v="2656.36"/>
    <n v="2656.36"/>
    <n v="2656.36"/>
    <n v="2656.36"/>
    <n v="2656.36"/>
    <n v="2656.36"/>
    <n v="2656.36"/>
    <n v="2656.36"/>
    <n v="2656.36"/>
    <n v="2656.36"/>
    <n v="2656.36"/>
    <n v="2656.36"/>
  </r>
  <r>
    <s v="main"/>
    <x v="3"/>
    <n v="0"/>
    <n v="0"/>
    <n v="0"/>
    <n v="0"/>
    <n v="2990.74"/>
    <n v="2990.74"/>
    <n v="2990.74"/>
    <n v="2990.74"/>
    <n v="2990.74"/>
    <n v="2990.74"/>
    <n v="2990.74"/>
    <n v="2990.74"/>
    <n v="2990.74"/>
    <n v="2990.74"/>
    <n v="2990.74"/>
    <n v="2990.74"/>
    <n v="2990.74"/>
  </r>
  <r>
    <s v="main"/>
    <x v="3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s v="main"/>
    <x v="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3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3"/>
    <n v="0"/>
    <n v="0"/>
    <n v="0"/>
    <n v="0"/>
    <n v="0"/>
    <n v="0"/>
    <n v="0"/>
    <n v="0"/>
    <n v="0"/>
    <n v="0"/>
    <n v="0"/>
    <n v="0"/>
    <n v="4956.68"/>
    <n v="4956.68"/>
    <n v="4956.68"/>
    <n v="4956.68"/>
    <n v="4956.68"/>
  </r>
  <r>
    <s v="main"/>
    <x v="3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s v="main"/>
    <x v="3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s v="main"/>
    <x v="3"/>
    <n v="0"/>
    <n v="0"/>
    <n v="0"/>
    <n v="0"/>
    <n v="0"/>
    <n v="0"/>
    <n v="0"/>
    <n v="0"/>
    <n v="0"/>
    <n v="0"/>
    <n v="4396.8999999999996"/>
    <n v="4396.8999999999996"/>
    <n v="4396.8999999999996"/>
    <n v="4396.8999999999996"/>
    <n v="4396.8999999999996"/>
    <n v="4396.8999999999996"/>
    <n v="4396.8999999999996"/>
  </r>
  <r>
    <s v="main"/>
    <x v="3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s v="main"/>
    <x v="3"/>
    <n v="0"/>
    <n v="0"/>
    <n v="0"/>
    <n v="0"/>
    <n v="1258.56"/>
    <n v="1258.56"/>
    <n v="1258.56"/>
    <n v="1258.56"/>
    <n v="1258.56"/>
    <n v="1258.56"/>
    <n v="1258.56"/>
    <n v="1258.56"/>
    <n v="1258.56"/>
    <n v="1258.56"/>
    <n v="1258.56"/>
    <n v="1258.56"/>
    <n v="1258.56"/>
  </r>
  <r>
    <s v="main"/>
    <x v="3"/>
    <n v="0"/>
    <n v="0"/>
    <n v="0"/>
    <n v="0"/>
    <n v="0"/>
    <n v="0"/>
    <n v="7144.54"/>
    <n v="7144.54"/>
    <n v="7144.54"/>
    <n v="7144.54"/>
    <n v="7144.54"/>
    <n v="7144.54"/>
    <n v="7144.54"/>
    <n v="7144.54"/>
    <n v="7144.54"/>
    <n v="7144.54"/>
    <n v="7144.54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</r>
  <r>
    <s v="main"/>
    <x v="3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3"/>
    <n v="0"/>
    <n v="0"/>
    <n v="0"/>
    <n v="0"/>
    <n v="0"/>
    <n v="0"/>
    <n v="0"/>
    <n v="0"/>
    <n v="0"/>
    <n v="1910.37"/>
    <n v="1910.37"/>
    <n v="1910.37"/>
    <n v="1910.37"/>
    <n v="1910.37"/>
    <n v="1910.37"/>
    <n v="1910.37"/>
    <n v="1910.37"/>
  </r>
  <r>
    <s v="main"/>
    <x v="3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s v="main"/>
    <x v="3"/>
    <n v="0"/>
    <n v="0"/>
    <n v="0"/>
    <n v="0"/>
    <n v="0"/>
    <n v="0"/>
    <n v="0"/>
    <n v="0"/>
    <n v="0"/>
    <n v="0"/>
    <n v="0"/>
    <n v="0"/>
    <n v="0"/>
    <n v="2698.42"/>
    <n v="2698.42"/>
    <n v="2698.42"/>
    <n v="2698.42"/>
  </r>
  <r>
    <s v="main"/>
    <x v="3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s v="main"/>
    <x v="3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s v="main"/>
    <x v="3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s v="main"/>
    <x v="3"/>
    <n v="0"/>
    <n v="0"/>
    <n v="0"/>
    <n v="0"/>
    <n v="0"/>
    <n v="0"/>
    <n v="0"/>
    <n v="0"/>
    <n v="0"/>
    <n v="0"/>
    <n v="0"/>
    <n v="66.19"/>
    <n v="66.19"/>
    <n v="66.19"/>
    <n v="66.19"/>
    <n v="66.19"/>
    <n v="66.19"/>
  </r>
  <r>
    <s v="main"/>
    <x v="3"/>
    <n v="0"/>
    <n v="0"/>
    <n v="0"/>
    <n v="514.78"/>
    <n v="514.78"/>
    <n v="514.78"/>
    <n v="514.78"/>
    <n v="514.78"/>
    <n v="514.78"/>
    <n v="514.78"/>
    <n v="514.78"/>
    <n v="514.78"/>
    <n v="514.78"/>
    <n v="514.78"/>
    <n v="514.78"/>
    <n v="514.78"/>
    <n v="514.78"/>
  </r>
  <r>
    <s v="main"/>
    <x v="3"/>
    <n v="0"/>
    <n v="0"/>
    <n v="0"/>
    <n v="0"/>
    <n v="0"/>
    <n v="0"/>
    <n v="0"/>
    <n v="0"/>
    <n v="0"/>
    <n v="0"/>
    <n v="0"/>
    <n v="0"/>
    <n v="0"/>
    <n v="0"/>
    <n v="164.86"/>
    <n v="164.86"/>
    <n v="164.86"/>
  </r>
  <r>
    <s v="main"/>
    <x v="3"/>
    <n v="0"/>
    <n v="0"/>
    <n v="0"/>
    <n v="0"/>
    <n v="314.92"/>
    <n v="314.92"/>
    <n v="314.92"/>
    <n v="314.92"/>
    <n v="314.92"/>
    <n v="314.92"/>
    <n v="314.92"/>
    <n v="314.92"/>
    <n v="314.92"/>
    <n v="314.92"/>
    <n v="314.92"/>
    <n v="314.92"/>
    <n v="314.92"/>
  </r>
  <r>
    <s v="main"/>
    <x v="3"/>
    <n v="0"/>
    <n v="0"/>
    <n v="0"/>
    <n v="41.1175"/>
    <n v="41.1175"/>
    <n v="41.1175"/>
    <n v="41.1175"/>
    <n v="41.1175"/>
    <n v="82.234999999999999"/>
    <n v="82.234999999999999"/>
    <n v="82.234999999999999"/>
    <n v="164.47"/>
    <n v="164.47"/>
    <n v="164.47"/>
    <n v="164.47"/>
    <n v="164.47"/>
    <n v="164.47"/>
  </r>
  <r>
    <s v="main"/>
    <x v="3"/>
    <n v="0"/>
    <n v="0"/>
    <n v="0"/>
    <n v="401.435"/>
    <n v="401.435"/>
    <n v="401.435"/>
    <n v="401.435"/>
    <n v="802.87"/>
    <n v="802.87"/>
    <n v="802.87"/>
    <n v="802.87"/>
    <n v="1605.74"/>
    <n v="1605.74"/>
    <n v="1605.74"/>
    <n v="1605.74"/>
    <n v="1605.74"/>
    <n v="1605.74"/>
  </r>
  <r>
    <s v="main"/>
    <x v="3"/>
    <n v="0"/>
    <n v="0"/>
    <n v="0"/>
    <n v="0"/>
    <n v="0"/>
    <n v="0"/>
    <n v="0"/>
    <n v="0"/>
    <n v="0"/>
    <n v="0"/>
    <n v="114.04"/>
    <n v="114.04"/>
    <n v="114.04"/>
    <n v="114.04"/>
    <n v="114.04"/>
    <n v="114.04"/>
    <n v="114.04"/>
  </r>
  <r>
    <s v="main"/>
    <x v="3"/>
    <n v="0"/>
    <n v="0"/>
    <n v="0"/>
    <n v="0"/>
    <n v="0"/>
    <n v="0"/>
    <n v="0"/>
    <n v="0"/>
    <n v="0"/>
    <n v="0"/>
    <n v="342.14"/>
    <n v="342.14"/>
    <n v="342.14"/>
    <n v="342.14"/>
    <n v="342.14"/>
    <n v="342.14"/>
    <n v="342.14"/>
  </r>
  <r>
    <s v="main"/>
    <x v="3"/>
    <n v="0"/>
    <n v="0"/>
    <n v="0"/>
    <n v="114.04"/>
    <n v="114.04"/>
    <n v="114.04"/>
    <n v="114.04"/>
    <n v="114.04"/>
    <n v="114.04"/>
    <n v="114.04"/>
    <n v="114.04"/>
    <n v="114.04"/>
    <n v="114.04"/>
    <n v="114.04"/>
    <n v="114.04"/>
    <n v="114.04"/>
    <n v="114.04"/>
  </r>
  <r>
    <s v="main"/>
    <x v="3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s v="main"/>
    <x v="3"/>
    <n v="0"/>
    <n v="0"/>
    <n v="0"/>
    <n v="100.14749999999999"/>
    <n v="100.14749999999999"/>
    <n v="100.14749999999999"/>
    <n v="100.14749999999999"/>
    <n v="200.29499999999999"/>
    <n v="200.29499999999999"/>
    <n v="200.29499999999999"/>
    <n v="200.29499999999999"/>
    <n v="400.59"/>
    <n v="400.59"/>
    <n v="400.59"/>
    <n v="400.59"/>
    <n v="400.59"/>
    <n v="400.59"/>
  </r>
  <r>
    <s v="main"/>
    <x v="3"/>
    <n v="0"/>
    <n v="0"/>
    <n v="0"/>
    <n v="0"/>
    <n v="0"/>
    <n v="0"/>
    <n v="0"/>
    <n v="0"/>
    <n v="0"/>
    <n v="0"/>
    <n v="0"/>
    <n v="0"/>
    <n v="0"/>
    <n v="0"/>
    <n v="102.82"/>
    <n v="102.82"/>
    <n v="102.82"/>
  </r>
  <r>
    <s v="main"/>
    <x v="3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s v="main"/>
    <x v="3"/>
    <n v="0"/>
    <n v="0"/>
    <n v="0"/>
    <n v="0"/>
    <n v="0"/>
    <n v="0"/>
    <n v="0"/>
    <n v="0"/>
    <n v="0"/>
    <n v="406.52"/>
    <n v="406.52"/>
    <n v="406.52"/>
    <n v="406.52"/>
    <n v="406.52"/>
    <n v="406.52"/>
    <n v="406.52"/>
    <n v="406.52"/>
  </r>
  <r>
    <s v="main"/>
    <x v="3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s v="main"/>
    <x v="3"/>
    <n v="0"/>
    <n v="0"/>
    <n v="0"/>
    <n v="416.66"/>
    <n v="416.66"/>
    <n v="416.66"/>
    <n v="416.66"/>
    <n v="416.66"/>
    <n v="416.66"/>
    <n v="416.66"/>
    <n v="416.66"/>
    <n v="416.66"/>
    <n v="416.66"/>
    <n v="416.66"/>
    <n v="416.66"/>
    <n v="416.66"/>
    <n v="416.66"/>
  </r>
  <r>
    <s v="main"/>
    <x v="3"/>
    <n v="0"/>
    <n v="0"/>
    <n v="0"/>
    <n v="47.29"/>
    <n v="47.29"/>
    <n v="47.29"/>
    <n v="47.29"/>
    <n v="47.29"/>
    <n v="47.29"/>
    <n v="47.29"/>
    <n v="47.29"/>
    <n v="47.29"/>
    <n v="47.29"/>
    <n v="47.29"/>
    <n v="47.29"/>
    <n v="47.29"/>
    <n v="47.29"/>
  </r>
  <r>
    <s v="main"/>
    <x v="3"/>
    <n v="0"/>
    <n v="0"/>
    <n v="0"/>
    <n v="385.04"/>
    <n v="385.04"/>
    <n v="385.04"/>
    <n v="385.04"/>
    <n v="385.04"/>
    <n v="385.04"/>
    <n v="385.04"/>
    <n v="385.04"/>
    <n v="385.04"/>
    <n v="385.04"/>
    <n v="385.04"/>
    <n v="385.04"/>
    <n v="385.04"/>
    <n v="385.04"/>
  </r>
  <r>
    <s v="main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main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main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main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main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main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main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1"/>
    <n v="0"/>
    <n v="0"/>
    <n v="0"/>
    <n v="0"/>
    <n v="0"/>
    <n v="0"/>
    <n v="0"/>
    <n v="0"/>
    <n v="0"/>
    <n v="0"/>
    <n v="0"/>
    <n v="94.35"/>
    <n v="94.35"/>
    <n v="94.35"/>
    <n v="94.35"/>
    <n v="94.35"/>
    <n v="94.35"/>
  </r>
  <r>
    <s v="main"/>
    <x v="11"/>
    <n v="0"/>
    <n v="0"/>
    <n v="0"/>
    <n v="734.03"/>
    <n v="734.03"/>
    <n v="734.03"/>
    <n v="734.03"/>
    <n v="734.03"/>
    <n v="734.03"/>
    <n v="734.03"/>
    <n v="734.03"/>
    <n v="734.03"/>
    <n v="734.03"/>
    <n v="734.03"/>
    <n v="734.03"/>
    <n v="734.03"/>
    <n v="734.03"/>
  </r>
  <r>
    <s v="main"/>
    <x v="11"/>
    <n v="0"/>
    <n v="0"/>
    <n v="0"/>
    <n v="0"/>
    <n v="0"/>
    <n v="0"/>
    <n v="0"/>
    <n v="0"/>
    <n v="0"/>
    <n v="0"/>
    <n v="0"/>
    <n v="0"/>
    <n v="0"/>
    <n v="0"/>
    <n v="235.07"/>
    <n v="235.07"/>
    <n v="235.07"/>
  </r>
  <r>
    <s v="main"/>
    <x v="11"/>
    <n v="0"/>
    <n v="0"/>
    <n v="0"/>
    <n v="0"/>
    <n v="449.06"/>
    <n v="449.06"/>
    <n v="449.06"/>
    <n v="449.06"/>
    <n v="449.06"/>
    <n v="449.06"/>
    <n v="449.06"/>
    <n v="449.06"/>
    <n v="449.06"/>
    <n v="449.06"/>
    <n v="449.06"/>
    <n v="449.06"/>
    <n v="449.06"/>
  </r>
  <r>
    <s v="main"/>
    <x v="11"/>
    <n v="0"/>
    <n v="0"/>
    <n v="0"/>
    <n v="58.627499999999998"/>
    <n v="58.627499999999998"/>
    <n v="58.627499999999998"/>
    <n v="58.627499999999998"/>
    <n v="58.627499999999998"/>
    <n v="117.255"/>
    <n v="117.255"/>
    <n v="117.255"/>
    <n v="234.51"/>
    <n v="234.51"/>
    <n v="234.51"/>
    <n v="234.51"/>
    <n v="234.51"/>
    <n v="234.51"/>
  </r>
  <r>
    <s v="main"/>
    <x v="11"/>
    <n v="0"/>
    <n v="0"/>
    <n v="0"/>
    <n v="572.41999999999996"/>
    <n v="572.41999999999996"/>
    <n v="572.41999999999996"/>
    <n v="572.41999999999996"/>
    <n v="1144.8399999999999"/>
    <n v="1144.8399999999999"/>
    <n v="1144.8399999999999"/>
    <n v="1144.8399999999999"/>
    <n v="2289.6799999999998"/>
    <n v="2289.6799999999998"/>
    <n v="2289.6799999999998"/>
    <n v="2289.6799999999998"/>
    <n v="2289.6799999999998"/>
    <n v="2289.6799999999998"/>
  </r>
  <r>
    <s v="main"/>
    <x v="11"/>
    <n v="0"/>
    <n v="0"/>
    <n v="0"/>
    <n v="0"/>
    <n v="0"/>
    <n v="0"/>
    <n v="0"/>
    <n v="0"/>
    <n v="0"/>
    <n v="0"/>
    <n v="0"/>
    <n v="111.49"/>
    <n v="111.49"/>
    <n v="111.49"/>
    <n v="111.49"/>
    <n v="111.49"/>
    <n v="111.49"/>
  </r>
  <r>
    <s v="main"/>
    <x v="11"/>
    <n v="0"/>
    <n v="0"/>
    <n v="0"/>
    <n v="0"/>
    <n v="0"/>
    <n v="0"/>
    <n v="0"/>
    <n v="0"/>
    <n v="0"/>
    <n v="0"/>
    <n v="0"/>
    <n v="538.34"/>
    <n v="538.34"/>
    <n v="538.34"/>
    <n v="538.34"/>
    <n v="538.34"/>
    <n v="538.34"/>
  </r>
  <r>
    <s v="main"/>
    <x v="11"/>
    <n v="0"/>
    <n v="0"/>
    <n v="0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</r>
  <r>
    <s v="main"/>
    <x v="11"/>
    <n v="0"/>
    <n v="0"/>
    <n v="0"/>
    <n v="381.27"/>
    <n v="381.27"/>
    <n v="381.27"/>
    <n v="381.27"/>
    <n v="381.27"/>
    <n v="381.27"/>
    <n v="381.27"/>
    <n v="381.27"/>
    <n v="381.27"/>
    <n v="381.27"/>
    <n v="381.27"/>
    <n v="381.27"/>
    <n v="381.27"/>
    <n v="381.27"/>
  </r>
  <r>
    <s v="main"/>
    <x v="11"/>
    <n v="0"/>
    <n v="0"/>
    <n v="0"/>
    <n v="287.32749999999999"/>
    <n v="287.32749999999999"/>
    <n v="287.32749999999999"/>
    <n v="287.32749999999999"/>
    <n v="574.65499999999997"/>
    <n v="574.65499999999997"/>
    <n v="574.65499999999997"/>
    <n v="574.65499999999997"/>
    <n v="1149.31"/>
    <n v="1149.31"/>
    <n v="1149.31"/>
    <n v="1149.31"/>
    <n v="1149.31"/>
    <n v="1149.31"/>
  </r>
  <r>
    <s v="main"/>
    <x v="11"/>
    <n v="0"/>
    <n v="0"/>
    <n v="0"/>
    <n v="0"/>
    <n v="0"/>
    <n v="0"/>
    <n v="0"/>
    <n v="0"/>
    <n v="0"/>
    <n v="0"/>
    <n v="0"/>
    <n v="0"/>
    <n v="0"/>
    <n v="0"/>
    <n v="294.97000000000003"/>
    <n v="294.97000000000003"/>
    <n v="294.97000000000003"/>
  </r>
  <r>
    <s v="main"/>
    <x v="11"/>
    <n v="0"/>
    <n v="0"/>
    <n v="0"/>
    <n v="311.67"/>
    <n v="311.67"/>
    <n v="311.67"/>
    <n v="311.67"/>
    <n v="311.67"/>
    <n v="311.67"/>
    <n v="311.67"/>
    <n v="311.67"/>
    <n v="311.67"/>
    <n v="311.67"/>
    <n v="311.67"/>
    <n v="311.67"/>
    <n v="311.67"/>
    <n v="311.67"/>
  </r>
  <r>
    <s v="main"/>
    <x v="11"/>
    <n v="0"/>
    <n v="0"/>
    <n v="0"/>
    <n v="0"/>
    <n v="0"/>
    <n v="0"/>
    <n v="0"/>
    <n v="0"/>
    <n v="0"/>
    <n v="824.6"/>
    <n v="824.6"/>
    <n v="824.6"/>
    <n v="824.6"/>
    <n v="824.6"/>
    <n v="824.6"/>
    <n v="824.6"/>
    <n v="824.6"/>
  </r>
  <r>
    <s v="main"/>
    <x v="11"/>
    <n v="0"/>
    <n v="0"/>
    <n v="0"/>
    <n v="335.36"/>
    <n v="335.36"/>
    <n v="335.36"/>
    <n v="335.36"/>
    <n v="335.36"/>
    <n v="335.36"/>
    <n v="335.36"/>
    <n v="335.36"/>
    <n v="335.36"/>
    <n v="335.36"/>
    <n v="335.36"/>
    <n v="335.36"/>
    <n v="335.36"/>
    <n v="335.36"/>
  </r>
  <r>
    <s v="main"/>
    <x v="11"/>
    <n v="0"/>
    <n v="0"/>
    <n v="0"/>
    <n v="845.44"/>
    <n v="845.44"/>
    <n v="845.44"/>
    <n v="845.44"/>
    <n v="845.44"/>
    <n v="845.44"/>
    <n v="845.44"/>
    <n v="845.44"/>
    <n v="845.44"/>
    <n v="845.44"/>
    <n v="845.44"/>
    <n v="845.44"/>
    <n v="845.44"/>
    <n v="845.44"/>
  </r>
  <r>
    <s v="main"/>
    <x v="11"/>
    <n v="0"/>
    <n v="0"/>
    <n v="0"/>
    <n v="95.97"/>
    <n v="95.97"/>
    <n v="95.97"/>
    <n v="95.97"/>
    <n v="95.97"/>
    <n v="95.97"/>
    <n v="95.97"/>
    <n v="95.97"/>
    <n v="95.97"/>
    <n v="95.97"/>
    <n v="95.97"/>
    <n v="95.97"/>
    <n v="95.97"/>
    <n v="95.97"/>
  </r>
  <r>
    <s v="main"/>
    <x v="11"/>
    <n v="0"/>
    <n v="0"/>
    <n v="0"/>
    <n v="781.27"/>
    <n v="781.27"/>
    <n v="781.27"/>
    <n v="781.27"/>
    <n v="781.27"/>
    <n v="781.27"/>
    <n v="781.27"/>
    <n v="781.27"/>
    <n v="781.27"/>
    <n v="781.27"/>
    <n v="781.27"/>
    <n v="781.27"/>
    <n v="781.27"/>
    <n v="781.27"/>
  </r>
  <r>
    <s v="main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main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main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main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main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main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main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1"/>
    <n v="0"/>
    <n v="0"/>
    <n v="0"/>
    <n v="0"/>
    <n v="0"/>
    <n v="0"/>
    <n v="0"/>
    <n v="0"/>
    <n v="0"/>
    <n v="0"/>
    <n v="0"/>
    <n v="63.11"/>
    <n v="63.11"/>
    <n v="63.11"/>
    <n v="63.11"/>
    <n v="63.11"/>
    <n v="63.11"/>
  </r>
  <r>
    <s v="main"/>
    <x v="11"/>
    <n v="0"/>
    <n v="0"/>
    <n v="0"/>
    <n v="490.94"/>
    <n v="490.94"/>
    <n v="490.94"/>
    <n v="490.94"/>
    <n v="490.94"/>
    <n v="490.94"/>
    <n v="490.94"/>
    <n v="490.94"/>
    <n v="490.94"/>
    <n v="490.94"/>
    <n v="490.94"/>
    <n v="490.94"/>
    <n v="490.94"/>
    <n v="490.94"/>
  </r>
  <r>
    <s v="main"/>
    <x v="11"/>
    <n v="0"/>
    <n v="0"/>
    <n v="0"/>
    <n v="0"/>
    <n v="0"/>
    <n v="0"/>
    <n v="0"/>
    <n v="0"/>
    <n v="0"/>
    <n v="0"/>
    <n v="0"/>
    <n v="0"/>
    <n v="0"/>
    <n v="0"/>
    <n v="157.22"/>
    <n v="157.22"/>
    <n v="157.22"/>
  </r>
  <r>
    <s v="main"/>
    <x v="11"/>
    <n v="0"/>
    <n v="0"/>
    <n v="0"/>
    <n v="0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</r>
  <r>
    <s v="main"/>
    <x v="11"/>
    <n v="0"/>
    <n v="0"/>
    <n v="0"/>
    <n v="39.212499999999999"/>
    <n v="39.212499999999999"/>
    <n v="39.212499999999999"/>
    <n v="39.212499999999999"/>
    <n v="39.212499999999999"/>
    <n v="78.424999999999997"/>
    <n v="78.424999999999997"/>
    <n v="78.424999999999997"/>
    <n v="156.85"/>
    <n v="156.85"/>
    <n v="156.85"/>
    <n v="156.85"/>
    <n v="156.85"/>
    <n v="156.85"/>
  </r>
  <r>
    <s v="main"/>
    <x v="11"/>
    <n v="0"/>
    <n v="0"/>
    <n v="0"/>
    <n v="382.85250000000002"/>
    <n v="382.85250000000002"/>
    <n v="382.85250000000002"/>
    <n v="382.85250000000002"/>
    <n v="765.70500000000004"/>
    <n v="765.70500000000004"/>
    <n v="765.70500000000004"/>
    <n v="765.70500000000004"/>
    <n v="1531.41"/>
    <n v="1531.41"/>
    <n v="1531.41"/>
    <n v="1531.41"/>
    <n v="1531.41"/>
    <n v="1531.41"/>
  </r>
  <r>
    <s v="main"/>
    <x v="11"/>
    <n v="0"/>
    <n v="0"/>
    <n v="0"/>
    <n v="0"/>
    <n v="0"/>
    <n v="0"/>
    <n v="0"/>
    <n v="0"/>
    <n v="0"/>
    <n v="0"/>
    <n v="0"/>
    <n v="74.56"/>
    <n v="74.56"/>
    <n v="74.56"/>
    <n v="74.56"/>
    <n v="74.56"/>
    <n v="74.56"/>
  </r>
  <r>
    <s v="main"/>
    <x v="11"/>
    <n v="0"/>
    <n v="0"/>
    <n v="0"/>
    <n v="0"/>
    <n v="0"/>
    <n v="0"/>
    <n v="0"/>
    <n v="0"/>
    <n v="0"/>
    <n v="0"/>
    <n v="0"/>
    <n v="360.04"/>
    <n v="360.04"/>
    <n v="360.04"/>
    <n v="360.04"/>
    <n v="360.04"/>
    <n v="360.04"/>
  </r>
  <r>
    <s v="main"/>
    <x v="11"/>
    <n v="0"/>
    <n v="0"/>
    <n v="0"/>
    <n v="108.75"/>
    <n v="108.75"/>
    <n v="108.75"/>
    <n v="108.75"/>
    <n v="108.75"/>
    <n v="108.75"/>
    <n v="108.75"/>
    <n v="108.75"/>
    <n v="108.75"/>
    <n v="108.75"/>
    <n v="108.75"/>
    <n v="108.75"/>
    <n v="108.75"/>
    <n v="108.75"/>
  </r>
  <r>
    <s v="main"/>
    <x v="11"/>
    <n v="0"/>
    <n v="0"/>
    <n v="0"/>
    <n v="255"/>
    <n v="255"/>
    <n v="255"/>
    <n v="255"/>
    <n v="255"/>
    <n v="255"/>
    <n v="255"/>
    <n v="255"/>
    <n v="255"/>
    <n v="255"/>
    <n v="255"/>
    <n v="255"/>
    <n v="255"/>
    <n v="255"/>
  </r>
  <r>
    <s v="main"/>
    <x v="11"/>
    <n v="0"/>
    <n v="0"/>
    <n v="0"/>
    <n v="129.065"/>
    <n v="129.065"/>
    <n v="129.065"/>
    <n v="129.065"/>
    <n v="258.13"/>
    <n v="258.13"/>
    <n v="258.13"/>
    <n v="258.13"/>
    <n v="516.26"/>
    <n v="516.26"/>
    <n v="516.26"/>
    <n v="516.26"/>
    <n v="516.26"/>
    <n v="516.26"/>
  </r>
  <r>
    <s v="main"/>
    <x v="11"/>
    <n v="0"/>
    <n v="0"/>
    <n v="0"/>
    <n v="0"/>
    <n v="0"/>
    <n v="0"/>
    <n v="0"/>
    <n v="0"/>
    <n v="0"/>
    <n v="0"/>
    <n v="0"/>
    <n v="0"/>
    <n v="0"/>
    <n v="0"/>
    <n v="132.5"/>
    <n v="132.5"/>
    <n v="132.5"/>
  </r>
  <r>
    <s v="main"/>
    <x v="11"/>
    <n v="0"/>
    <n v="0"/>
    <n v="0"/>
    <n v="140.01"/>
    <n v="140.01"/>
    <n v="140.01"/>
    <n v="140.01"/>
    <n v="140.01"/>
    <n v="140.01"/>
    <n v="140.01"/>
    <n v="140.01"/>
    <n v="140.01"/>
    <n v="140.01"/>
    <n v="140.01"/>
    <n v="140.01"/>
    <n v="140.01"/>
    <n v="140.01"/>
  </r>
  <r>
    <s v="main"/>
    <x v="11"/>
    <n v="0"/>
    <n v="0"/>
    <n v="0"/>
    <n v="0"/>
    <n v="0"/>
    <n v="0"/>
    <n v="0"/>
    <n v="0"/>
    <n v="0"/>
    <n v="370.31"/>
    <n v="370.31"/>
    <n v="370.31"/>
    <n v="370.31"/>
    <n v="370.31"/>
    <n v="370.31"/>
    <n v="370.31"/>
    <n v="370.31"/>
  </r>
  <r>
    <s v="main"/>
    <x v="11"/>
    <n v="0"/>
    <n v="0"/>
    <n v="0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</r>
  <r>
    <s v="main"/>
    <x v="11"/>
    <n v="0"/>
    <n v="0"/>
    <n v="0"/>
    <n v="379.81"/>
    <n v="379.81"/>
    <n v="379.81"/>
    <n v="379.81"/>
    <n v="379.81"/>
    <n v="379.81"/>
    <n v="379.81"/>
    <n v="379.81"/>
    <n v="379.81"/>
    <n v="379.81"/>
    <n v="379.81"/>
    <n v="379.81"/>
    <n v="379.81"/>
    <n v="379.81"/>
  </r>
  <r>
    <s v="main"/>
    <x v="11"/>
    <n v="0"/>
    <n v="0"/>
    <n v="0"/>
    <n v="43.1"/>
    <n v="43.1"/>
    <n v="43.1"/>
    <n v="43.1"/>
    <n v="43.1"/>
    <n v="43.1"/>
    <n v="43.1"/>
    <n v="43.1"/>
    <n v="43.1"/>
    <n v="43.1"/>
    <n v="43.1"/>
    <n v="43.1"/>
    <n v="43.1"/>
    <n v="43.1"/>
  </r>
  <r>
    <s v="main"/>
    <x v="11"/>
    <n v="0"/>
    <n v="0"/>
    <n v="0"/>
    <n v="350.97"/>
    <n v="350.97"/>
    <n v="350.97"/>
    <n v="350.97"/>
    <n v="350.97"/>
    <n v="350.97"/>
    <n v="350.97"/>
    <n v="350.97"/>
    <n v="350.97"/>
    <n v="350.97"/>
    <n v="350.97"/>
    <n v="350.97"/>
    <n v="350.97"/>
    <n v="350.97"/>
  </r>
  <r>
    <s v="main"/>
    <x v="12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2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2"/>
    <n v="0"/>
    <n v="0"/>
    <n v="0"/>
    <n v="0"/>
    <n v="0"/>
    <n v="0"/>
    <n v="0"/>
    <n v="0"/>
    <n v="0"/>
    <n v="0"/>
    <n v="0"/>
    <n v="63.11"/>
    <n v="63.11"/>
    <n v="63.11"/>
    <n v="63.11"/>
    <n v="63.11"/>
    <n v="63.11"/>
  </r>
  <r>
    <s v="main"/>
    <x v="12"/>
    <n v="0"/>
    <n v="0"/>
    <n v="0"/>
    <n v="490.94"/>
    <n v="490.94"/>
    <n v="490.94"/>
    <n v="490.94"/>
    <n v="490.94"/>
    <n v="490.94"/>
    <n v="490.94"/>
    <n v="490.94"/>
    <n v="490.94"/>
    <n v="490.94"/>
    <n v="490.94"/>
    <n v="490.94"/>
    <n v="490.94"/>
    <n v="490.94"/>
  </r>
  <r>
    <s v="main"/>
    <x v="12"/>
    <n v="0"/>
    <n v="0"/>
    <n v="0"/>
    <n v="0"/>
    <n v="0"/>
    <n v="0"/>
    <n v="0"/>
    <n v="0"/>
    <n v="0"/>
    <n v="0"/>
    <n v="0"/>
    <n v="0"/>
    <n v="0"/>
    <n v="0"/>
    <n v="157.22"/>
    <n v="157.22"/>
    <n v="157.22"/>
  </r>
  <r>
    <s v="main"/>
    <x v="12"/>
    <n v="0"/>
    <n v="0"/>
    <n v="0"/>
    <n v="0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</r>
  <r>
    <s v="main"/>
    <x v="12"/>
    <n v="0"/>
    <n v="0"/>
    <n v="0"/>
    <n v="39.212499999999999"/>
    <n v="39.212499999999999"/>
    <n v="39.212499999999999"/>
    <n v="39.212499999999999"/>
    <n v="39.212499999999999"/>
    <n v="78.424999999999997"/>
    <n v="78.424999999999997"/>
    <n v="78.424999999999997"/>
    <n v="156.85"/>
    <n v="156.85"/>
    <n v="156.85"/>
    <n v="156.85"/>
    <n v="156.85"/>
    <n v="156.85"/>
  </r>
  <r>
    <s v="main"/>
    <x v="12"/>
    <n v="0"/>
    <n v="0"/>
    <n v="0"/>
    <n v="382.85250000000002"/>
    <n v="382.85250000000002"/>
    <n v="382.85250000000002"/>
    <n v="382.85250000000002"/>
    <n v="765.70500000000004"/>
    <n v="765.70500000000004"/>
    <n v="765.70500000000004"/>
    <n v="765.70500000000004"/>
    <n v="1531.41"/>
    <n v="1531.41"/>
    <n v="1531.41"/>
    <n v="1531.41"/>
    <n v="1531.41"/>
    <n v="1531.41"/>
  </r>
  <r>
    <s v="main"/>
    <x v="12"/>
    <n v="0"/>
    <n v="0"/>
    <n v="0"/>
    <n v="0"/>
    <n v="0"/>
    <n v="0"/>
    <n v="0"/>
    <n v="0"/>
    <n v="0"/>
    <n v="0"/>
    <n v="0"/>
    <n v="74.56"/>
    <n v="74.56"/>
    <n v="74.56"/>
    <n v="74.56"/>
    <n v="74.56"/>
    <n v="74.56"/>
  </r>
  <r>
    <s v="main"/>
    <x v="12"/>
    <n v="0"/>
    <n v="0"/>
    <n v="0"/>
    <n v="0"/>
    <n v="0"/>
    <n v="0"/>
    <n v="0"/>
    <n v="0"/>
    <n v="0"/>
    <n v="0"/>
    <n v="0"/>
    <n v="360.04"/>
    <n v="360.04"/>
    <n v="360.04"/>
    <n v="360.04"/>
    <n v="360.04"/>
    <n v="360.04"/>
  </r>
  <r>
    <s v="main"/>
    <x v="12"/>
    <n v="0"/>
    <n v="0"/>
    <n v="0"/>
    <n v="108.75"/>
    <n v="108.75"/>
    <n v="108.75"/>
    <n v="108.75"/>
    <n v="108.75"/>
    <n v="108.75"/>
    <n v="108.75"/>
    <n v="108.75"/>
    <n v="108.75"/>
    <n v="108.75"/>
    <n v="108.75"/>
    <n v="108.75"/>
    <n v="108.75"/>
    <n v="108.75"/>
  </r>
  <r>
    <s v="main"/>
    <x v="12"/>
    <n v="0"/>
    <n v="0"/>
    <n v="0"/>
    <n v="255"/>
    <n v="255"/>
    <n v="255"/>
    <n v="255"/>
    <n v="255"/>
    <n v="255"/>
    <n v="255"/>
    <n v="255"/>
    <n v="255"/>
    <n v="255"/>
    <n v="255"/>
    <n v="255"/>
    <n v="255"/>
    <n v="255"/>
  </r>
  <r>
    <s v="main"/>
    <x v="12"/>
    <n v="0"/>
    <n v="0"/>
    <n v="0"/>
    <n v="129.065"/>
    <n v="129.065"/>
    <n v="129.065"/>
    <n v="129.065"/>
    <n v="258.13"/>
    <n v="258.13"/>
    <n v="258.13"/>
    <n v="258.13"/>
    <n v="516.26"/>
    <n v="516.26"/>
    <n v="516.26"/>
    <n v="516.26"/>
    <n v="516.26"/>
    <n v="516.26"/>
  </r>
  <r>
    <s v="main"/>
    <x v="12"/>
    <n v="0"/>
    <n v="0"/>
    <n v="0"/>
    <n v="0"/>
    <n v="0"/>
    <n v="0"/>
    <n v="0"/>
    <n v="0"/>
    <n v="0"/>
    <n v="0"/>
    <n v="0"/>
    <n v="0"/>
    <n v="0"/>
    <n v="0"/>
    <n v="132.5"/>
    <n v="132.5"/>
    <n v="132.5"/>
  </r>
  <r>
    <s v="main"/>
    <x v="12"/>
    <n v="0"/>
    <n v="0"/>
    <n v="0"/>
    <n v="140.01"/>
    <n v="140.01"/>
    <n v="140.01"/>
    <n v="140.01"/>
    <n v="140.01"/>
    <n v="140.01"/>
    <n v="140.01"/>
    <n v="140.01"/>
    <n v="140.01"/>
    <n v="140.01"/>
    <n v="140.01"/>
    <n v="140.01"/>
    <n v="140.01"/>
    <n v="140.01"/>
  </r>
  <r>
    <s v="main"/>
    <x v="12"/>
    <n v="0"/>
    <n v="0"/>
    <n v="0"/>
    <n v="0"/>
    <n v="0"/>
    <n v="0"/>
    <n v="0"/>
    <n v="0"/>
    <n v="0"/>
    <n v="370.31"/>
    <n v="370.31"/>
    <n v="370.31"/>
    <n v="370.31"/>
    <n v="370.31"/>
    <n v="370.31"/>
    <n v="370.31"/>
    <n v="370.31"/>
  </r>
  <r>
    <s v="main"/>
    <x v="12"/>
    <n v="0"/>
    <n v="0"/>
    <n v="0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</r>
  <r>
    <s v="main"/>
    <x v="12"/>
    <n v="0"/>
    <n v="0"/>
    <n v="0"/>
    <n v="379.81"/>
    <n v="379.81"/>
    <n v="379.81"/>
    <n v="379.81"/>
    <n v="379.81"/>
    <n v="379.81"/>
    <n v="379.81"/>
    <n v="379.81"/>
    <n v="379.81"/>
    <n v="379.81"/>
    <n v="379.81"/>
    <n v="379.81"/>
    <n v="379.81"/>
    <n v="379.81"/>
  </r>
  <r>
    <s v="main"/>
    <x v="12"/>
    <n v="0"/>
    <n v="0"/>
    <n v="0"/>
    <n v="43.1"/>
    <n v="43.1"/>
    <n v="43.1"/>
    <n v="43.1"/>
    <n v="43.1"/>
    <n v="43.1"/>
    <n v="43.1"/>
    <n v="43.1"/>
    <n v="43.1"/>
    <n v="43.1"/>
    <n v="43.1"/>
    <n v="43.1"/>
    <n v="43.1"/>
    <n v="43.1"/>
  </r>
  <r>
    <s v="main"/>
    <x v="12"/>
    <n v="0"/>
    <n v="0"/>
    <n v="0"/>
    <n v="350.97"/>
    <n v="350.97"/>
    <n v="350.97"/>
    <n v="350.97"/>
    <n v="350.97"/>
    <n v="350.97"/>
    <n v="350.97"/>
    <n v="350.97"/>
    <n v="350.97"/>
    <n v="350.97"/>
    <n v="350.97"/>
    <n v="350.97"/>
    <n v="350.97"/>
    <n v="350.97"/>
  </r>
  <r>
    <s v="main"/>
    <x v="10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main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0"/>
    <n v="0"/>
    <n v="0"/>
    <n v="0"/>
    <n v="0"/>
    <n v="0"/>
    <n v="0"/>
    <n v="0"/>
    <n v="0"/>
    <n v="0"/>
    <n v="0"/>
    <n v="0"/>
    <n v="107.23"/>
    <n v="107.23"/>
    <n v="107.23"/>
    <n v="107.23"/>
    <n v="107.23"/>
    <n v="107.23"/>
  </r>
  <r>
    <s v="main"/>
    <x v="10"/>
    <n v="0"/>
    <n v="0"/>
    <n v="0"/>
    <n v="834.12"/>
    <n v="834.12"/>
    <n v="834.12"/>
    <n v="834.12"/>
    <n v="834.12"/>
    <n v="834.12"/>
    <n v="834.12"/>
    <n v="834.12"/>
    <n v="834.12"/>
    <n v="834.12"/>
    <n v="834.12"/>
    <n v="834.12"/>
    <n v="834.12"/>
    <n v="834.12"/>
  </r>
  <r>
    <s v="main"/>
    <x v="10"/>
    <n v="0"/>
    <n v="0"/>
    <n v="0"/>
    <n v="0"/>
    <n v="0"/>
    <n v="0"/>
    <n v="0"/>
    <n v="0"/>
    <n v="0"/>
    <n v="0"/>
    <n v="0"/>
    <n v="0"/>
    <n v="0"/>
    <n v="0"/>
    <n v="267.12"/>
    <n v="267.12"/>
    <n v="267.12"/>
  </r>
  <r>
    <s v="main"/>
    <x v="10"/>
    <n v="0"/>
    <n v="0"/>
    <n v="0"/>
    <n v="0"/>
    <n v="510.31"/>
    <n v="510.31"/>
    <n v="510.31"/>
    <n v="510.31"/>
    <n v="510.31"/>
    <n v="510.31"/>
    <n v="510.31"/>
    <n v="510.31"/>
    <n v="510.31"/>
    <n v="510.31"/>
    <n v="510.31"/>
    <n v="510.31"/>
    <n v="510.31"/>
  </r>
  <r>
    <s v="main"/>
    <x v="10"/>
    <n v="0"/>
    <n v="0"/>
    <n v="0"/>
    <n v="66.625"/>
    <n v="66.625"/>
    <n v="66.625"/>
    <n v="66.625"/>
    <n v="66.625"/>
    <n v="133.25"/>
    <n v="133.25"/>
    <n v="133.25"/>
    <n v="266.5"/>
    <n v="266.5"/>
    <n v="266.5"/>
    <n v="266.5"/>
    <n v="266.5"/>
    <n v="266.5"/>
  </r>
  <r>
    <s v="main"/>
    <x v="10"/>
    <n v="0"/>
    <n v="0"/>
    <n v="0"/>
    <n v="650.47749999999996"/>
    <n v="650.47749999999996"/>
    <n v="650.47749999999996"/>
    <n v="650.47749999999996"/>
    <n v="1300.9549999999999"/>
    <n v="1300.9549999999999"/>
    <n v="1300.9549999999999"/>
    <n v="1300.9549999999999"/>
    <n v="2601.91"/>
    <n v="2601.91"/>
    <n v="2601.91"/>
    <n v="2601.91"/>
    <n v="2601.91"/>
    <n v="2601.91"/>
  </r>
  <r>
    <s v="main"/>
    <x v="10"/>
    <n v="0"/>
    <n v="0"/>
    <n v="0"/>
    <n v="0"/>
    <n v="0"/>
    <n v="0"/>
    <n v="0"/>
    <n v="0"/>
    <n v="0"/>
    <n v="0"/>
    <n v="0"/>
    <n v="179.05"/>
    <n v="179.05"/>
    <n v="179.05"/>
    <n v="179.05"/>
    <n v="179.05"/>
    <n v="179.05"/>
  </r>
  <r>
    <s v="main"/>
    <x v="10"/>
    <n v="0"/>
    <n v="0"/>
    <n v="0"/>
    <n v="0"/>
    <n v="0"/>
    <n v="0"/>
    <n v="0"/>
    <n v="0"/>
    <n v="0"/>
    <n v="0"/>
    <n v="0"/>
    <n v="652.12"/>
    <n v="652.12"/>
    <n v="652.12"/>
    <n v="652.12"/>
    <n v="652.12"/>
    <n v="652.12"/>
  </r>
  <r>
    <s v="main"/>
    <x v="10"/>
    <n v="0"/>
    <n v="0"/>
    <n v="0"/>
    <n v="0"/>
    <n v="0"/>
    <n v="0"/>
    <n v="0"/>
    <n v="0"/>
    <n v="0"/>
    <n v="0"/>
    <n v="0"/>
    <n v="126.7"/>
    <n v="126.7"/>
    <n v="126.7"/>
    <n v="126.7"/>
    <n v="126.7"/>
    <n v="126.7"/>
  </r>
  <r>
    <s v="main"/>
    <x v="10"/>
    <n v="0"/>
    <n v="0"/>
    <n v="0"/>
    <n v="0"/>
    <n v="0"/>
    <n v="0"/>
    <n v="0"/>
    <n v="0"/>
    <n v="0"/>
    <n v="0"/>
    <n v="0"/>
    <n v="611.76"/>
    <n v="611.76"/>
    <n v="611.76"/>
    <n v="611.76"/>
    <n v="611.76"/>
    <n v="611.76"/>
  </r>
  <r>
    <s v="main"/>
    <x v="10"/>
    <n v="0"/>
    <n v="0"/>
    <n v="0"/>
    <n v="184.79"/>
    <n v="184.79"/>
    <n v="184.79"/>
    <n v="184.79"/>
    <n v="184.79"/>
    <n v="184.79"/>
    <n v="184.79"/>
    <n v="184.79"/>
    <n v="184.79"/>
    <n v="184.79"/>
    <n v="184.79"/>
    <n v="184.79"/>
    <n v="184.79"/>
    <n v="184.79"/>
  </r>
  <r>
    <s v="main"/>
    <x v="10"/>
    <n v="0"/>
    <n v="0"/>
    <n v="0"/>
    <n v="433.28"/>
    <n v="433.28"/>
    <n v="433.28"/>
    <n v="433.28"/>
    <n v="433.28"/>
    <n v="433.28"/>
    <n v="433.28"/>
    <n v="433.28"/>
    <n v="433.28"/>
    <n v="433.28"/>
    <n v="433.28"/>
    <n v="433.28"/>
    <n v="433.28"/>
    <n v="433.28"/>
  </r>
  <r>
    <s v="main"/>
    <x v="10"/>
    <n v="0"/>
    <n v="0"/>
    <n v="0"/>
    <n v="360.89749999999998"/>
    <n v="360.89749999999998"/>
    <n v="360.89749999999998"/>
    <n v="360.89749999999998"/>
    <n v="721.79499999999996"/>
    <n v="721.79499999999996"/>
    <n v="721.79499999999996"/>
    <n v="721.79499999999996"/>
    <n v="1443.59"/>
    <n v="1443.59"/>
    <n v="1443.59"/>
    <n v="1443.59"/>
    <n v="1443.59"/>
    <n v="1443.59"/>
  </r>
  <r>
    <s v="main"/>
    <x v="10"/>
    <n v="0"/>
    <n v="0"/>
    <n v="0"/>
    <n v="0"/>
    <n v="0"/>
    <n v="0"/>
    <n v="0"/>
    <n v="0"/>
    <n v="0"/>
    <n v="0"/>
    <n v="0"/>
    <n v="0"/>
    <n v="0"/>
    <n v="0"/>
    <n v="370.52"/>
    <n v="370.52"/>
    <n v="370.52"/>
  </r>
  <r>
    <s v="main"/>
    <x v="10"/>
    <n v="0"/>
    <n v="0"/>
    <n v="0"/>
    <n v="391.47"/>
    <n v="391.47"/>
    <n v="391.47"/>
    <n v="391.47"/>
    <n v="391.47"/>
    <n v="391.47"/>
    <n v="391.47"/>
    <n v="391.47"/>
    <n v="391.47"/>
    <n v="391.47"/>
    <n v="391.47"/>
    <n v="391.47"/>
    <n v="391.47"/>
    <n v="391.47"/>
  </r>
  <r>
    <s v="main"/>
    <x v="10"/>
    <n v="0"/>
    <n v="0"/>
    <n v="0"/>
    <n v="0"/>
    <n v="0"/>
    <n v="0"/>
    <n v="0"/>
    <n v="0"/>
    <n v="0"/>
    <n v="1035.76"/>
    <n v="1035.76"/>
    <n v="1035.76"/>
    <n v="1035.76"/>
    <n v="1035.76"/>
    <n v="1035.76"/>
    <n v="1035.76"/>
    <n v="1035.76"/>
  </r>
  <r>
    <s v="main"/>
    <x v="10"/>
    <n v="0"/>
    <n v="0"/>
    <n v="0"/>
    <n v="421.22"/>
    <n v="421.22"/>
    <n v="421.22"/>
    <n v="421.22"/>
    <n v="421.22"/>
    <n v="421.22"/>
    <n v="421.22"/>
    <n v="421.22"/>
    <n v="421.22"/>
    <n v="421.22"/>
    <n v="421.22"/>
    <n v="421.22"/>
    <n v="421.22"/>
    <n v="421.22"/>
  </r>
  <r>
    <s v="main"/>
    <x v="10"/>
    <n v="0"/>
    <n v="0"/>
    <n v="0"/>
    <n v="1061.98"/>
    <n v="1061.98"/>
    <n v="1061.98"/>
    <n v="1061.98"/>
    <n v="1061.98"/>
    <n v="1061.98"/>
    <n v="1061.98"/>
    <n v="1061.98"/>
    <n v="1061.98"/>
    <n v="1061.98"/>
    <n v="1061.98"/>
    <n v="1061.98"/>
    <n v="1061.98"/>
    <n v="1061.98"/>
  </r>
  <r>
    <s v="main"/>
    <x v="10"/>
    <n v="0"/>
    <n v="0"/>
    <n v="0"/>
    <n v="120.55"/>
    <n v="120.55"/>
    <n v="120.55"/>
    <n v="120.55"/>
    <n v="120.55"/>
    <n v="120.55"/>
    <n v="120.55"/>
    <n v="120.55"/>
    <n v="120.55"/>
    <n v="120.55"/>
    <n v="120.55"/>
    <n v="120.55"/>
    <n v="120.55"/>
    <n v="120.55"/>
  </r>
  <r>
    <s v="main"/>
    <x v="10"/>
    <n v="0"/>
    <n v="0"/>
    <n v="0"/>
    <n v="981.34"/>
    <n v="981.34"/>
    <n v="981.34"/>
    <n v="981.34"/>
    <n v="981.34"/>
    <n v="981.34"/>
    <n v="981.34"/>
    <n v="981.34"/>
    <n v="981.34"/>
    <n v="981.34"/>
    <n v="981.34"/>
    <n v="981.34"/>
    <n v="981.34"/>
    <n v="981.34"/>
  </r>
  <r>
    <s v="main"/>
    <x v="2"/>
    <n v="0"/>
    <n v="0"/>
    <n v="0"/>
    <n v="0"/>
    <n v="548.73"/>
    <n v="548.73"/>
    <n v="548.73"/>
    <n v="548.73"/>
    <n v="548.73"/>
    <n v="548.73"/>
    <n v="548.73"/>
    <n v="548.73"/>
    <n v="548.73"/>
    <n v="548.73"/>
    <n v="548.73"/>
    <n v="548.73"/>
    <n v="548.73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s v="main"/>
    <x v="13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main"/>
    <x v="13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s v="main"/>
    <x v="13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3"/>
    <n v="0"/>
    <n v="0"/>
    <n v="0"/>
    <n v="0"/>
    <n v="0"/>
    <n v="0"/>
    <n v="0"/>
    <n v="0"/>
    <n v="0"/>
    <n v="0"/>
    <n v="0"/>
    <n v="66.19"/>
    <n v="66.19"/>
    <n v="66.19"/>
    <n v="66.19"/>
    <n v="66.19"/>
    <n v="66.19"/>
  </r>
  <r>
    <s v="main"/>
    <x v="13"/>
    <n v="0"/>
    <n v="0"/>
    <n v="0"/>
    <n v="514.78"/>
    <n v="514.78"/>
    <n v="514.78"/>
    <n v="514.78"/>
    <n v="514.78"/>
    <n v="514.78"/>
    <n v="514.78"/>
    <n v="514.78"/>
    <n v="514.78"/>
    <n v="514.78"/>
    <n v="514.78"/>
    <n v="514.78"/>
    <n v="514.78"/>
    <n v="514.78"/>
  </r>
  <r>
    <s v="main"/>
    <x v="13"/>
    <n v="0"/>
    <n v="0"/>
    <n v="0"/>
    <n v="0"/>
    <n v="0"/>
    <n v="0"/>
    <n v="0"/>
    <n v="0"/>
    <n v="0"/>
    <n v="0"/>
    <n v="0"/>
    <n v="0"/>
    <n v="0"/>
    <n v="0"/>
    <n v="164.86"/>
    <n v="164.86"/>
    <n v="164.86"/>
  </r>
  <r>
    <s v="main"/>
    <x v="13"/>
    <n v="0"/>
    <n v="0"/>
    <n v="0"/>
    <n v="0"/>
    <n v="314.92"/>
    <n v="314.92"/>
    <n v="314.92"/>
    <n v="314.92"/>
    <n v="314.92"/>
    <n v="314.92"/>
    <n v="314.92"/>
    <n v="314.92"/>
    <n v="314.92"/>
    <n v="314.92"/>
    <n v="314.92"/>
    <n v="314.92"/>
    <n v="314.92"/>
  </r>
  <r>
    <s v="main"/>
    <x v="13"/>
    <n v="0"/>
    <n v="0"/>
    <n v="0"/>
    <n v="41.1175"/>
    <n v="41.1175"/>
    <n v="41.1175"/>
    <n v="41.1175"/>
    <n v="41.1175"/>
    <n v="82.234999999999999"/>
    <n v="82.234999999999999"/>
    <n v="82.234999999999999"/>
    <n v="164.47"/>
    <n v="164.47"/>
    <n v="164.47"/>
    <n v="164.47"/>
    <n v="164.47"/>
    <n v="164.47"/>
  </r>
  <r>
    <s v="main"/>
    <x v="13"/>
    <n v="0"/>
    <n v="0"/>
    <n v="0"/>
    <n v="401.435"/>
    <n v="401.435"/>
    <n v="401.435"/>
    <n v="401.435"/>
    <n v="802.87"/>
    <n v="802.87"/>
    <n v="802.87"/>
    <n v="802.87"/>
    <n v="1605.74"/>
    <n v="1605.74"/>
    <n v="1605.74"/>
    <n v="1605.74"/>
    <n v="1605.74"/>
    <n v="1605.74"/>
  </r>
  <r>
    <s v="main"/>
    <x v="13"/>
    <n v="0"/>
    <n v="0"/>
    <n v="0"/>
    <n v="0"/>
    <n v="0"/>
    <n v="0"/>
    <n v="0"/>
    <n v="0"/>
    <n v="0"/>
    <n v="0"/>
    <n v="0"/>
    <n v="78.2"/>
    <n v="78.2"/>
    <n v="78.2"/>
    <n v="78.2"/>
    <n v="78.2"/>
    <n v="78.2"/>
  </r>
  <r>
    <s v="main"/>
    <x v="13"/>
    <n v="0"/>
    <n v="0"/>
    <n v="0"/>
    <n v="0"/>
    <n v="0"/>
    <n v="0"/>
    <n v="0"/>
    <n v="0"/>
    <n v="0"/>
    <n v="0"/>
    <n v="0"/>
    <n v="377.56"/>
    <n v="377.56"/>
    <n v="377.56"/>
    <n v="377.56"/>
    <n v="377.56"/>
    <n v="377.56"/>
  </r>
  <r>
    <s v="main"/>
    <x v="13"/>
    <n v="0"/>
    <n v="0"/>
    <n v="0"/>
    <n v="114.04"/>
    <n v="114.04"/>
    <n v="114.04"/>
    <n v="114.04"/>
    <n v="114.04"/>
    <n v="114.04"/>
    <n v="114.04"/>
    <n v="114.04"/>
    <n v="114.04"/>
    <n v="114.04"/>
    <n v="114.04"/>
    <n v="114.04"/>
    <n v="114.04"/>
    <n v="114.04"/>
  </r>
  <r>
    <s v="main"/>
    <x v="13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s v="main"/>
    <x v="13"/>
    <n v="0"/>
    <n v="0"/>
    <n v="0"/>
    <n v="82.16"/>
    <n v="82.16"/>
    <n v="82.16"/>
    <n v="82.16"/>
    <n v="164.32"/>
    <n v="164.32"/>
    <n v="164.32"/>
    <n v="164.32"/>
    <n v="328.64"/>
    <n v="328.64"/>
    <n v="328.64"/>
    <n v="328.64"/>
    <n v="328.64"/>
    <n v="328.64"/>
  </r>
  <r>
    <s v="main"/>
    <x v="13"/>
    <n v="0"/>
    <n v="0"/>
    <n v="0"/>
    <n v="0"/>
    <n v="0"/>
    <n v="0"/>
    <n v="0"/>
    <n v="0"/>
    <n v="0"/>
    <n v="0"/>
    <n v="0"/>
    <n v="0"/>
    <n v="0"/>
    <n v="0"/>
    <n v="84.35"/>
    <n v="84.35"/>
    <n v="84.35"/>
  </r>
  <r>
    <s v="main"/>
    <x v="13"/>
    <n v="0"/>
    <n v="0"/>
    <n v="0"/>
    <n v="89.13"/>
    <n v="89.13"/>
    <n v="89.13"/>
    <n v="89.13"/>
    <n v="89.13"/>
    <n v="89.13"/>
    <n v="89.13"/>
    <n v="89.13"/>
    <n v="89.13"/>
    <n v="89.13"/>
    <n v="89.13"/>
    <n v="89.13"/>
    <n v="89.13"/>
    <n v="89.13"/>
  </r>
  <r>
    <s v="main"/>
    <x v="13"/>
    <n v="0"/>
    <n v="0"/>
    <n v="0"/>
    <n v="0"/>
    <n v="0"/>
    <n v="0"/>
    <n v="0"/>
    <n v="0"/>
    <n v="0"/>
    <n v="333.36"/>
    <n v="333.36"/>
    <n v="333.36"/>
    <n v="333.36"/>
    <n v="333.36"/>
    <n v="333.36"/>
    <n v="333.36"/>
    <n v="333.36"/>
  </r>
  <r>
    <s v="main"/>
    <x v="13"/>
    <n v="0"/>
    <n v="0"/>
    <n v="0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</r>
  <r>
    <s v="main"/>
    <x v="13"/>
    <n v="0"/>
    <n v="0"/>
    <n v="0"/>
    <n v="341.78"/>
    <n v="341.78"/>
    <n v="341.78"/>
    <n v="341.78"/>
    <n v="341.78"/>
    <n v="341.78"/>
    <n v="341.78"/>
    <n v="341.78"/>
    <n v="341.78"/>
    <n v="341.78"/>
    <n v="341.78"/>
    <n v="341.78"/>
    <n v="341.78"/>
    <n v="341.78"/>
  </r>
  <r>
    <s v="main"/>
    <x v="13"/>
    <n v="0"/>
    <n v="0"/>
    <n v="0"/>
    <n v="38.79"/>
    <n v="38.79"/>
    <n v="38.79"/>
    <n v="38.79"/>
    <n v="38.79"/>
    <n v="38.79"/>
    <n v="38.79"/>
    <n v="38.79"/>
    <n v="38.79"/>
    <n v="38.79"/>
    <n v="38.79"/>
    <n v="38.79"/>
    <n v="38.79"/>
    <n v="38.79"/>
  </r>
  <r>
    <s v="main"/>
    <x v="13"/>
    <n v="0"/>
    <n v="0"/>
    <n v="0"/>
    <n v="315.86"/>
    <n v="315.86"/>
    <n v="315.86"/>
    <n v="315.86"/>
    <n v="315.86"/>
    <n v="315.86"/>
    <n v="315.86"/>
    <n v="315.86"/>
    <n v="315.86"/>
    <n v="315.86"/>
    <n v="315.86"/>
    <n v="315.86"/>
    <n v="315.86"/>
    <n v="315.86"/>
  </r>
  <r>
    <s v="main"/>
    <x v="1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4"/>
    <n v="0"/>
    <n v="0"/>
    <n v="0"/>
    <n v="0"/>
    <n v="0"/>
    <n v="0"/>
    <n v="0"/>
    <n v="0"/>
    <n v="0"/>
    <n v="0"/>
    <n v="0"/>
    <n v="94.35"/>
    <n v="94.35"/>
    <n v="94.35"/>
    <n v="94.35"/>
    <n v="94.35"/>
    <n v="94.35"/>
  </r>
  <r>
    <s v="main"/>
    <x v="14"/>
    <n v="0"/>
    <n v="0"/>
    <n v="0"/>
    <n v="734.03"/>
    <n v="734.03"/>
    <n v="734.03"/>
    <n v="734.03"/>
    <n v="734.03"/>
    <n v="734.03"/>
    <n v="734.03"/>
    <n v="734.03"/>
    <n v="734.03"/>
    <n v="734.03"/>
    <n v="734.03"/>
    <n v="734.03"/>
    <n v="734.03"/>
    <n v="734.03"/>
  </r>
  <r>
    <s v="main"/>
    <x v="14"/>
    <n v="0"/>
    <n v="0"/>
    <n v="0"/>
    <n v="0"/>
    <n v="0"/>
    <n v="0"/>
    <n v="0"/>
    <n v="0"/>
    <n v="0"/>
    <n v="0"/>
    <n v="0"/>
    <n v="0"/>
    <n v="0"/>
    <n v="0"/>
    <n v="235.07"/>
    <n v="235.07"/>
    <n v="235.07"/>
  </r>
  <r>
    <s v="main"/>
    <x v="14"/>
    <n v="0"/>
    <n v="0"/>
    <n v="0"/>
    <n v="0"/>
    <n v="449.06"/>
    <n v="449.06"/>
    <n v="449.06"/>
    <n v="449.06"/>
    <n v="449.06"/>
    <n v="449.06"/>
    <n v="449.06"/>
    <n v="449.06"/>
    <n v="449.06"/>
    <n v="449.06"/>
    <n v="449.06"/>
    <n v="449.06"/>
    <n v="449.06"/>
  </r>
  <r>
    <s v="main"/>
    <x v="14"/>
    <n v="0"/>
    <n v="0"/>
    <n v="0"/>
    <n v="58.627499999999998"/>
    <n v="58.627499999999998"/>
    <n v="58.627499999999998"/>
    <n v="58.627499999999998"/>
    <n v="58.627499999999998"/>
    <n v="117.255"/>
    <n v="117.255"/>
    <n v="117.255"/>
    <n v="234.51"/>
    <n v="234.51"/>
    <n v="234.51"/>
    <n v="234.51"/>
    <n v="234.51"/>
    <n v="234.51"/>
  </r>
  <r>
    <s v="main"/>
    <x v="14"/>
    <n v="0"/>
    <n v="0"/>
    <n v="0"/>
    <n v="572.41999999999996"/>
    <n v="572.41999999999996"/>
    <n v="572.41999999999996"/>
    <n v="572.41999999999996"/>
    <n v="1144.8399999999999"/>
    <n v="1144.8399999999999"/>
    <n v="1144.8399999999999"/>
    <n v="1144.8399999999999"/>
    <n v="2289.6799999999998"/>
    <n v="2289.6799999999998"/>
    <n v="2289.6799999999998"/>
    <n v="2289.6799999999998"/>
    <n v="2289.6799999999998"/>
    <n v="2289.6799999999998"/>
  </r>
  <r>
    <s v="main"/>
    <x v="14"/>
    <n v="0"/>
    <n v="0"/>
    <n v="0"/>
    <n v="0"/>
    <n v="0"/>
    <n v="0"/>
    <n v="0"/>
    <n v="0"/>
    <n v="0"/>
    <n v="0"/>
    <n v="0"/>
    <n v="111.49"/>
    <n v="111.49"/>
    <n v="111.49"/>
    <n v="111.49"/>
    <n v="111.49"/>
    <n v="111.49"/>
  </r>
  <r>
    <s v="main"/>
    <x v="14"/>
    <n v="0"/>
    <n v="0"/>
    <n v="0"/>
    <n v="0"/>
    <n v="0"/>
    <n v="0"/>
    <n v="0"/>
    <n v="0"/>
    <n v="0"/>
    <n v="0"/>
    <n v="0"/>
    <n v="538.34"/>
    <n v="538.34"/>
    <n v="538.34"/>
    <n v="538.34"/>
    <n v="538.34"/>
    <n v="538.34"/>
  </r>
  <r>
    <s v="main"/>
    <x v="14"/>
    <n v="0"/>
    <n v="0"/>
    <n v="0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</r>
  <r>
    <s v="main"/>
    <x v="14"/>
    <n v="0"/>
    <n v="0"/>
    <n v="0"/>
    <n v="381.27"/>
    <n v="381.27"/>
    <n v="381.27"/>
    <n v="381.27"/>
    <n v="381.27"/>
    <n v="381.27"/>
    <n v="381.27"/>
    <n v="381.27"/>
    <n v="381.27"/>
    <n v="381.27"/>
    <n v="381.27"/>
    <n v="381.27"/>
    <n v="381.27"/>
    <n v="381.27"/>
  </r>
  <r>
    <s v="main"/>
    <x v="14"/>
    <n v="0"/>
    <n v="0"/>
    <n v="0"/>
    <n v="276.84249999999997"/>
    <n v="276.84249999999997"/>
    <n v="276.84249999999997"/>
    <n v="276.84249999999997"/>
    <n v="553.68499999999995"/>
    <n v="553.68499999999995"/>
    <n v="553.68499999999995"/>
    <n v="553.68499999999995"/>
    <n v="1107.3699999999999"/>
    <n v="1107.3699999999999"/>
    <n v="1107.3699999999999"/>
    <n v="1107.3699999999999"/>
    <n v="1107.3699999999999"/>
    <n v="1107.3699999999999"/>
  </r>
  <r>
    <s v="main"/>
    <x v="14"/>
    <n v="0"/>
    <n v="0"/>
    <n v="0"/>
    <n v="0"/>
    <n v="0"/>
    <n v="0"/>
    <n v="0"/>
    <n v="0"/>
    <n v="0"/>
    <n v="0"/>
    <n v="0"/>
    <n v="0"/>
    <n v="0"/>
    <n v="0"/>
    <n v="284.23"/>
    <n v="284.23"/>
    <n v="284.23"/>
  </r>
  <r>
    <s v="main"/>
    <x v="14"/>
    <n v="0"/>
    <n v="0"/>
    <n v="0"/>
    <n v="300.31"/>
    <n v="300.31"/>
    <n v="300.31"/>
    <n v="300.31"/>
    <n v="300.31"/>
    <n v="300.31"/>
    <n v="300.31"/>
    <n v="300.31"/>
    <n v="300.31"/>
    <n v="300.31"/>
    <n v="300.31"/>
    <n v="300.31"/>
    <n v="300.31"/>
    <n v="300.31"/>
  </r>
  <r>
    <s v="main"/>
    <x v="14"/>
    <n v="0"/>
    <n v="0"/>
    <n v="0"/>
    <n v="0"/>
    <n v="0"/>
    <n v="0"/>
    <n v="0"/>
    <n v="0"/>
    <n v="0"/>
    <n v="794.42"/>
    <n v="794.42"/>
    <n v="794.42"/>
    <n v="794.42"/>
    <n v="794.42"/>
    <n v="794.42"/>
    <n v="794.42"/>
    <n v="794.42"/>
  </r>
  <r>
    <s v="main"/>
    <x v="14"/>
    <n v="0"/>
    <n v="0"/>
    <n v="0"/>
    <n v="323.13"/>
    <n v="323.13"/>
    <n v="323.13"/>
    <n v="323.13"/>
    <n v="323.13"/>
    <n v="323.13"/>
    <n v="323.13"/>
    <n v="323.13"/>
    <n v="323.13"/>
    <n v="323.13"/>
    <n v="323.13"/>
    <n v="323.13"/>
    <n v="323.13"/>
    <n v="323.13"/>
  </r>
  <r>
    <s v="main"/>
    <x v="14"/>
    <n v="0"/>
    <n v="0"/>
    <n v="0"/>
    <n v="814.66"/>
    <n v="814.66"/>
    <n v="814.66"/>
    <n v="814.66"/>
    <n v="814.66"/>
    <n v="814.66"/>
    <n v="814.66"/>
    <n v="814.66"/>
    <n v="814.66"/>
    <n v="814.66"/>
    <n v="814.66"/>
    <n v="814.66"/>
    <n v="814.66"/>
    <n v="814.66"/>
  </r>
  <r>
    <s v="main"/>
    <x v="14"/>
    <n v="0"/>
    <n v="0"/>
    <n v="0"/>
    <n v="92.47"/>
    <n v="92.47"/>
    <n v="92.47"/>
    <n v="92.47"/>
    <n v="92.47"/>
    <n v="92.47"/>
    <n v="92.47"/>
    <n v="92.47"/>
    <n v="92.47"/>
    <n v="92.47"/>
    <n v="92.47"/>
    <n v="92.47"/>
    <n v="92.47"/>
    <n v="92.47"/>
  </r>
  <r>
    <s v="main"/>
    <x v="14"/>
    <n v="0"/>
    <n v="0"/>
    <n v="0"/>
    <n v="752.77"/>
    <n v="752.77"/>
    <n v="752.77"/>
    <n v="752.77"/>
    <n v="752.77"/>
    <n v="752.77"/>
    <n v="752.77"/>
    <n v="752.77"/>
    <n v="752.77"/>
    <n v="752.77"/>
    <n v="752.77"/>
    <n v="752.77"/>
    <n v="752.77"/>
    <n v="752.7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">
  <r>
    <x v="0"/>
    <s v="general-split"/>
    <n v="0"/>
    <n v="0"/>
    <n v="0"/>
    <n v="0"/>
    <n v="0"/>
    <n v="0"/>
    <n v="0"/>
    <n v="0"/>
    <n v="0"/>
    <n v="0"/>
    <n v="0"/>
    <n v="365.04"/>
    <n v="365.04"/>
    <n v="365.04"/>
    <n v="365.04"/>
    <n v="365.04"/>
    <n v="365.04"/>
  </r>
  <r>
    <x v="0"/>
    <s v="general-split"/>
    <n v="0"/>
    <n v="0"/>
    <n v="0"/>
    <n v="0"/>
    <n v="0"/>
    <n v="0"/>
    <n v="0"/>
    <n v="0"/>
    <n v="0"/>
    <n v="0"/>
    <n v="0"/>
    <n v="447.84"/>
    <n v="447.84"/>
    <n v="447.84"/>
    <n v="447.84"/>
    <n v="447.84"/>
    <n v="447.8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126.41700000000002"/>
    <n v="126.41700000000002"/>
    <n v="252.83400000000003"/>
    <n v="252.83400000000003"/>
    <n v="252.83400000000003"/>
    <n v="379.25100000000003"/>
    <n v="379.25100000000003"/>
    <n v="632.08500000000004"/>
    <n v="1264.17"/>
    <n v="1264.17"/>
    <n v="1264.17"/>
    <n v="1264.17"/>
    <n v="1264.17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231.91"/>
    <n v="231.91"/>
    <n v="231.91"/>
    <n v="231.91"/>
    <n v="231.91"/>
    <n v="231.91"/>
  </r>
  <r>
    <x v="0"/>
    <s v="general-split"/>
    <n v="0"/>
    <n v="0"/>
    <n v="0"/>
    <n v="0"/>
    <n v="0"/>
    <n v="0"/>
    <n v="0"/>
    <n v="0"/>
    <n v="0"/>
    <n v="0"/>
    <n v="0"/>
    <n v="384.6"/>
    <n v="384.6"/>
    <n v="384.6"/>
    <n v="384.6"/>
    <n v="384.6"/>
    <n v="384.6"/>
  </r>
  <r>
    <x v="0"/>
    <s v="general-split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x v="0"/>
    <s v="general-split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x v="0"/>
    <s v="general-spli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0"/>
    <s v="general-spli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general-main"/>
    <n v="0"/>
    <n v="3385.9749999999999"/>
    <n v="3385.9749999999999"/>
    <n v="4232.46875"/>
    <n v="4232.46875"/>
    <n v="4232.46875"/>
    <n v="4232.46875"/>
    <n v="4232.46875"/>
    <n v="5078.9624999999996"/>
    <n v="5078.9624999999996"/>
    <n v="5078.9624999999996"/>
    <n v="5078.9624999999996"/>
    <n v="6771.95"/>
    <n v="6771.95"/>
    <n v="6771.95"/>
    <n v="6771.95"/>
    <n v="6771.95"/>
  </r>
  <r>
    <x v="2"/>
    <s v="general-main"/>
    <n v="0"/>
    <n v="2832"/>
    <n v="2832"/>
    <n v="3540"/>
    <n v="3540"/>
    <n v="3540"/>
    <n v="3540"/>
    <n v="3540"/>
    <n v="4248"/>
    <n v="4248"/>
    <n v="4248"/>
    <n v="4248"/>
    <n v="5664"/>
    <n v="5664"/>
    <n v="5664"/>
    <n v="5664"/>
    <n v="5664"/>
  </r>
  <r>
    <x v="1"/>
    <s v="general-mechanical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x v="1"/>
    <s v="general-mechanical"/>
    <n v="0"/>
    <n v="8682.07"/>
    <n v="8682.07"/>
    <n v="8682.07"/>
    <n v="8682.07"/>
    <n v="8682.07"/>
    <n v="8682.07"/>
    <n v="8682.07"/>
    <n v="8682.07"/>
    <n v="8682.07"/>
    <n v="8682.07"/>
    <n v="8682.07"/>
    <n v="8682.07"/>
    <n v="8682.07"/>
    <n v="8682.07"/>
    <n v="8682.07"/>
    <n v="8682.07"/>
  </r>
  <r>
    <x v="0"/>
    <s v="general-split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x v="1"/>
    <s v="general-mechanical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x v="1"/>
    <s v="general-mechanical"/>
    <n v="0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</r>
  <r>
    <x v="2"/>
    <s v="general-main"/>
    <n v="0"/>
    <n v="0"/>
    <n v="0"/>
    <n v="0"/>
    <n v="0"/>
    <n v="0"/>
    <n v="0"/>
    <n v="0"/>
    <n v="0"/>
    <n v="0"/>
    <n v="0"/>
    <n v="0"/>
    <n v="0"/>
    <n v="0"/>
    <n v="98.14"/>
    <n v="98.14"/>
    <n v="98.1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27.86"/>
    <n v="927.86"/>
    <n v="927.86"/>
  </r>
  <r>
    <x v="1"/>
    <s v="general-mechanical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x v="0"/>
    <s v="general-split"/>
    <n v="0"/>
    <n v="0"/>
    <n v="0"/>
    <n v="0"/>
    <n v="394.2"/>
    <n v="394.2"/>
    <n v="394.2"/>
    <n v="394.2"/>
    <n v="394.2"/>
    <n v="394.2"/>
    <n v="394.2"/>
    <n v="394.2"/>
    <n v="394.2"/>
    <n v="394.2"/>
    <n v="394.2"/>
    <n v="394.2"/>
    <n v="394.2"/>
  </r>
  <r>
    <x v="0"/>
    <s v="general-split"/>
    <n v="0"/>
    <n v="0"/>
    <n v="0"/>
    <n v="0"/>
    <n v="0"/>
    <n v="0"/>
    <n v="442.8"/>
    <n v="442.8"/>
    <n v="885.6"/>
    <n v="885.6"/>
    <n v="1771.2"/>
    <n v="1771.2"/>
    <n v="1771.2"/>
    <n v="1771.2"/>
    <n v="1771.2"/>
    <n v="1771.2"/>
    <n v="1771.2"/>
  </r>
  <r>
    <x v="0"/>
    <s v="general-split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500.37"/>
    <n v="500.37"/>
    <n v="500.37"/>
    <n v="500.37"/>
    <n v="500.37"/>
    <n v="500.37"/>
  </r>
  <r>
    <x v="2"/>
    <s v="Laundry Room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910.1"/>
    <n v="910.1"/>
    <n v="910.1"/>
  </r>
  <r>
    <x v="2"/>
    <s v="general-main"/>
    <n v="0"/>
    <n v="0"/>
    <n v="0"/>
    <n v="0"/>
    <n v="0"/>
    <n v="0"/>
    <n v="0"/>
    <n v="0"/>
    <n v="0"/>
    <n v="0"/>
    <n v="0"/>
    <n v="0"/>
    <n v="0"/>
    <n v="0"/>
    <n v="299.83999999999997"/>
    <n v="299.83999999999997"/>
    <n v="299.83999999999997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1521.8"/>
    <n v="1521.8"/>
    <n v="1521.8"/>
    <n v="1521.8"/>
    <n v="1521.8"/>
    <n v="1521.8"/>
    <n v="1521.8"/>
    <n v="1521.8"/>
    <n v="1521.8"/>
    <n v="1521.8"/>
    <n v="1521.8"/>
    <n v="1521.8"/>
    <n v="1521.8"/>
  </r>
  <r>
    <x v="2"/>
    <s v="general-main"/>
    <n v="0"/>
    <n v="0"/>
    <n v="0"/>
    <n v="0"/>
    <n v="1957.47"/>
    <n v="1957.47"/>
    <n v="1957.47"/>
    <n v="1957.47"/>
    <n v="1957.47"/>
    <n v="1957.47"/>
    <n v="1957.47"/>
    <n v="1957.47"/>
    <n v="1957.47"/>
    <n v="1957.47"/>
    <n v="1957.47"/>
    <n v="1957.47"/>
    <n v="1957.47"/>
  </r>
  <r>
    <x v="0"/>
    <s v="general-split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4872.96"/>
    <n v="4872.96"/>
    <n v="4872.96"/>
    <n v="4872.96"/>
    <n v="4872.96"/>
    <n v="4872.96"/>
    <n v="4872.96"/>
    <n v="4872.96"/>
    <n v="4872.96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x v="0"/>
    <s v="general-split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x v="0"/>
    <s v="general-split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0"/>
    <s v="general-split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x v="0"/>
    <s v="general-split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x v="0"/>
    <s v="general-spli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0"/>
    <s v="general-spli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0"/>
    <s v="general-split"/>
    <n v="0"/>
    <n v="0"/>
    <n v="0"/>
    <n v="0"/>
    <n v="0"/>
    <n v="0"/>
    <n v="0"/>
    <n v="0"/>
    <n v="0"/>
    <n v="0"/>
    <n v="0"/>
    <n v="1394.32"/>
    <n v="1394.32"/>
    <n v="1394.32"/>
    <n v="1394.32"/>
    <n v="1394.32"/>
    <n v="1394.32"/>
  </r>
  <r>
    <x v="2"/>
    <s v="Entry Foyer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Entry Foyer"/>
    <n v="0"/>
    <n v="0"/>
    <n v="0"/>
    <n v="0"/>
    <n v="0"/>
    <n v="0"/>
    <n v="0"/>
    <n v="0"/>
    <n v="0"/>
    <n v="0"/>
    <n v="0"/>
    <n v="44.13"/>
    <n v="44.13"/>
    <n v="44.13"/>
    <n v="44.13"/>
    <n v="44.13"/>
    <n v="44.13"/>
  </r>
  <r>
    <x v="2"/>
    <s v="Entry Foyer"/>
    <n v="0"/>
    <n v="0"/>
    <n v="0"/>
    <n v="343.18"/>
    <n v="343.18"/>
    <n v="343.18"/>
    <n v="343.18"/>
    <n v="343.18"/>
    <n v="343.18"/>
    <n v="343.18"/>
    <n v="343.18"/>
    <n v="343.18"/>
    <n v="343.18"/>
    <n v="343.18"/>
    <n v="343.18"/>
    <n v="343.18"/>
    <n v="343.18"/>
  </r>
  <r>
    <x v="2"/>
    <s v="Entry Foyer"/>
    <n v="0"/>
    <n v="0"/>
    <n v="0"/>
    <n v="0"/>
    <n v="0"/>
    <n v="0"/>
    <n v="0"/>
    <n v="0"/>
    <n v="0"/>
    <n v="0"/>
    <n v="0"/>
    <n v="0"/>
    <n v="0"/>
    <n v="0"/>
    <n v="109.9"/>
    <n v="109.9"/>
    <n v="109.9"/>
  </r>
  <r>
    <x v="2"/>
    <s v="Entry Foyer"/>
    <n v="0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x v="2"/>
    <s v="Entry Foyer"/>
    <n v="0"/>
    <n v="0"/>
    <n v="0"/>
    <n v="27.412500000000001"/>
    <n v="27.412500000000001"/>
    <n v="27.412500000000001"/>
    <n v="27.412500000000001"/>
    <n v="27.412500000000001"/>
    <n v="54.825000000000003"/>
    <n v="54.825000000000003"/>
    <n v="54.825000000000003"/>
    <n v="109.65"/>
    <n v="109.65"/>
    <n v="109.65"/>
    <n v="109.65"/>
    <n v="109.65"/>
    <n v="109.65"/>
  </r>
  <r>
    <x v="2"/>
    <s v="Entry Foyer"/>
    <n v="0"/>
    <n v="0"/>
    <n v="0"/>
    <n v="267.625"/>
    <n v="267.625"/>
    <n v="267.625"/>
    <n v="267.625"/>
    <n v="535.25"/>
    <n v="535.25"/>
    <n v="535.25"/>
    <n v="535.25"/>
    <n v="1070.5"/>
    <n v="1070.5"/>
    <n v="1070.5"/>
    <n v="1070.5"/>
    <n v="1070.5"/>
    <n v="1070.5"/>
  </r>
  <r>
    <x v="2"/>
    <s v="Entry Foyer"/>
    <n v="0"/>
    <n v="0"/>
    <n v="0"/>
    <n v="0"/>
    <n v="0"/>
    <n v="0"/>
    <n v="0"/>
    <n v="0"/>
    <n v="0"/>
    <n v="0"/>
    <n v="0"/>
    <n v="52.12"/>
    <n v="52.12"/>
    <n v="52.12"/>
    <n v="52.12"/>
    <n v="52.12"/>
    <n v="52.12"/>
  </r>
  <r>
    <x v="2"/>
    <s v="Entry Foyer"/>
    <n v="0"/>
    <n v="0"/>
    <n v="0"/>
    <n v="0"/>
    <n v="0"/>
    <n v="0"/>
    <n v="0"/>
    <n v="0"/>
    <n v="0"/>
    <n v="0"/>
    <n v="0"/>
    <n v="251.72"/>
    <n v="251.72"/>
    <n v="251.72"/>
    <n v="251.72"/>
    <n v="251.72"/>
    <n v="251.72"/>
  </r>
  <r>
    <x v="2"/>
    <s v="Entry Foyer"/>
    <n v="0"/>
    <n v="0"/>
    <n v="0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</r>
  <r>
    <x v="2"/>
    <s v="Entry Foyer"/>
    <n v="0"/>
    <n v="0"/>
    <n v="0"/>
    <n v="178.28"/>
    <n v="178.28"/>
    <n v="178.28"/>
    <n v="178.28"/>
    <n v="178.28"/>
    <n v="178.28"/>
    <n v="178.28"/>
    <n v="178.28"/>
    <n v="178.28"/>
    <n v="178.28"/>
    <n v="178.28"/>
    <n v="178.28"/>
    <n v="178.28"/>
    <n v="178.28"/>
  </r>
  <r>
    <x v="2"/>
    <s v="Entry Foyer"/>
    <n v="0"/>
    <n v="0"/>
    <n v="0"/>
    <n v="61.852499999999999"/>
    <n v="61.852499999999999"/>
    <n v="61.852499999999999"/>
    <n v="61.852499999999999"/>
    <n v="123.705"/>
    <n v="123.705"/>
    <n v="123.705"/>
    <n v="123.705"/>
    <n v="247.41"/>
    <n v="247.41"/>
    <n v="247.41"/>
    <n v="247.41"/>
    <n v="247.41"/>
    <n v="247.41"/>
  </r>
  <r>
    <x v="2"/>
    <s v="Entry Foyer"/>
    <n v="0"/>
    <n v="0"/>
    <n v="0"/>
    <n v="0"/>
    <n v="0"/>
    <n v="0"/>
    <n v="0"/>
    <n v="0"/>
    <n v="0"/>
    <n v="0"/>
    <n v="0"/>
    <n v="0"/>
    <n v="0"/>
    <n v="0"/>
    <n v="63.5"/>
    <n v="63.5"/>
    <n v="63.5"/>
  </r>
  <r>
    <x v="2"/>
    <s v="Entry Foyer"/>
    <n v="0"/>
    <n v="0"/>
    <n v="0"/>
    <n v="67.09"/>
    <n v="67.09"/>
    <n v="67.09"/>
    <n v="67.09"/>
    <n v="67.09"/>
    <n v="67.09"/>
    <n v="67.09"/>
    <n v="67.09"/>
    <n v="67.09"/>
    <n v="67.09"/>
    <n v="67.09"/>
    <n v="67.09"/>
    <n v="67.09"/>
    <n v="67.09"/>
  </r>
  <r>
    <x v="2"/>
    <s v="Entry Foyer"/>
    <n v="0"/>
    <n v="0"/>
    <n v="0"/>
    <n v="0"/>
    <n v="0"/>
    <n v="0"/>
    <n v="0"/>
    <n v="0"/>
    <n v="0"/>
    <n v="177.49"/>
    <n v="177.49"/>
    <n v="177.49"/>
    <n v="177.49"/>
    <n v="177.49"/>
    <n v="177.49"/>
    <n v="177.49"/>
    <n v="177.49"/>
  </r>
  <r>
    <x v="2"/>
    <s v="Entry Foyer"/>
    <n v="0"/>
    <n v="0"/>
    <n v="0"/>
    <n v="72.19"/>
    <n v="72.19"/>
    <n v="72.19"/>
    <n v="72.19"/>
    <n v="72.19"/>
    <n v="72.19"/>
    <n v="72.19"/>
    <n v="72.19"/>
    <n v="72.19"/>
    <n v="72.19"/>
    <n v="72.19"/>
    <n v="72.19"/>
    <n v="72.19"/>
    <n v="72.19"/>
  </r>
  <r>
    <x v="2"/>
    <s v="Entry Foyer"/>
    <n v="0"/>
    <n v="0"/>
    <n v="0"/>
    <n v="181.99"/>
    <n v="181.99"/>
    <n v="181.99"/>
    <n v="181.99"/>
    <n v="181.99"/>
    <n v="181.99"/>
    <n v="181.99"/>
    <n v="181.99"/>
    <n v="181.99"/>
    <n v="181.99"/>
    <n v="181.99"/>
    <n v="181.99"/>
    <n v="181.99"/>
    <n v="181.99"/>
  </r>
  <r>
    <x v="2"/>
    <s v="Entry Foyer"/>
    <n v="0"/>
    <n v="0"/>
    <n v="0"/>
    <n v="20.65"/>
    <n v="20.65"/>
    <n v="20.65"/>
    <n v="20.65"/>
    <n v="20.65"/>
    <n v="20.65"/>
    <n v="20.65"/>
    <n v="20.65"/>
    <n v="20.65"/>
    <n v="20.65"/>
    <n v="20.65"/>
    <n v="20.65"/>
    <n v="20.65"/>
    <n v="20.65"/>
  </r>
  <r>
    <x v="2"/>
    <s v="Entry Foyer"/>
    <n v="0"/>
    <n v="0"/>
    <n v="0"/>
    <n v="168.19"/>
    <n v="168.19"/>
    <n v="168.19"/>
    <n v="168.19"/>
    <n v="168.19"/>
    <n v="168.19"/>
    <n v="168.19"/>
    <n v="168.19"/>
    <n v="168.19"/>
    <n v="168.19"/>
    <n v="168.19"/>
    <n v="168.19"/>
    <n v="168.19"/>
    <n v="168.19"/>
  </r>
  <r>
    <x v="2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2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2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2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2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2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2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2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2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2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2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x v="2"/>
    <s v="Full Bath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2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2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2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2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2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2"/>
    <s v="Full Bath"/>
    <n v="0"/>
    <n v="0"/>
    <n v="0"/>
    <n v="0"/>
    <n v="0"/>
    <n v="0"/>
    <n v="0"/>
    <n v="0"/>
    <n v="0"/>
    <n v="0"/>
    <n v="0"/>
    <n v="40.770000000000003"/>
    <n v="40.770000000000003"/>
    <n v="40.770000000000003"/>
    <n v="40.770000000000003"/>
    <n v="40.770000000000003"/>
    <n v="40.770000000000003"/>
  </r>
  <r>
    <x v="2"/>
    <s v="Full Bath"/>
    <n v="0"/>
    <n v="0"/>
    <n v="0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</r>
  <r>
    <x v="2"/>
    <s v="Full Bath"/>
    <n v="0"/>
    <n v="0"/>
    <n v="0"/>
    <n v="0"/>
    <n v="0"/>
    <n v="0"/>
    <n v="0"/>
    <n v="0"/>
    <n v="0"/>
    <n v="0"/>
    <n v="0"/>
    <n v="0"/>
    <n v="0"/>
    <n v="0"/>
    <n v="101.51"/>
    <n v="101.51"/>
    <n v="101.51"/>
  </r>
  <r>
    <x v="2"/>
    <s v="Full Bath"/>
    <n v="0"/>
    <n v="0"/>
    <n v="0"/>
    <n v="0"/>
    <n v="193.92"/>
    <n v="193.92"/>
    <n v="193.92"/>
    <n v="193.92"/>
    <n v="193.92"/>
    <n v="193.92"/>
    <n v="193.92"/>
    <n v="193.92"/>
    <n v="193.92"/>
    <n v="193.92"/>
    <n v="193.92"/>
    <n v="193.92"/>
    <n v="193.92"/>
  </r>
  <r>
    <x v="2"/>
    <s v="Full Bath"/>
    <n v="0"/>
    <n v="0"/>
    <n v="0"/>
    <n v="25.317499999999999"/>
    <n v="25.317499999999999"/>
    <n v="25.317499999999999"/>
    <n v="25.317499999999999"/>
    <n v="25.317499999999999"/>
    <n v="50.634999999999998"/>
    <n v="50.634999999999998"/>
    <n v="50.634999999999998"/>
    <n v="101.27"/>
    <n v="101.27"/>
    <n v="101.27"/>
    <n v="101.27"/>
    <n v="101.27"/>
    <n v="101.27"/>
  </r>
  <r>
    <x v="2"/>
    <s v="Full Bath"/>
    <n v="0"/>
    <n v="0"/>
    <n v="0"/>
    <n v="247.18"/>
    <n v="247.18"/>
    <n v="247.18"/>
    <n v="247.18"/>
    <n v="494.36"/>
    <n v="494.36"/>
    <n v="494.36"/>
    <n v="494.36"/>
    <n v="988.72"/>
    <n v="988.72"/>
    <n v="988.72"/>
    <n v="988.72"/>
    <n v="988.72"/>
    <n v="988.72"/>
  </r>
  <r>
    <x v="2"/>
    <s v="Full Bath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x v="2"/>
    <s v="Full Bath"/>
    <n v="0"/>
    <n v="0"/>
    <n v="0"/>
    <n v="164.67"/>
    <n v="164.67"/>
    <n v="164.67"/>
    <n v="164.67"/>
    <n v="164.67"/>
    <n v="164.67"/>
    <n v="164.67"/>
    <n v="164.67"/>
    <n v="164.67"/>
    <n v="164.67"/>
    <n v="164.67"/>
    <n v="164.67"/>
    <n v="164.67"/>
    <n v="164.67"/>
  </r>
  <r>
    <x v="2"/>
    <s v="Full Bath"/>
    <n v="0"/>
    <n v="0"/>
    <n v="0"/>
    <n v="35.979999999999997"/>
    <n v="35.979999999999997"/>
    <n v="35.979999999999997"/>
    <n v="35.979999999999997"/>
    <n v="71.959999999999994"/>
    <n v="71.959999999999994"/>
    <n v="71.959999999999994"/>
    <n v="71.959999999999994"/>
    <n v="143.91999999999999"/>
    <n v="143.91999999999999"/>
    <n v="143.91999999999999"/>
    <n v="143.91999999999999"/>
    <n v="143.91999999999999"/>
    <n v="143.91999999999999"/>
  </r>
  <r>
    <x v="2"/>
    <s v="Full Bath"/>
    <n v="0"/>
    <n v="0"/>
    <n v="0"/>
    <n v="0"/>
    <n v="0"/>
    <n v="0"/>
    <n v="0"/>
    <n v="0"/>
    <n v="0"/>
    <n v="0"/>
    <n v="0"/>
    <n v="0"/>
    <n v="0"/>
    <n v="0"/>
    <n v="36.94"/>
    <n v="36.94"/>
    <n v="36.94"/>
  </r>
  <r>
    <x v="2"/>
    <s v="Full Bath"/>
    <n v="0"/>
    <n v="0"/>
    <n v="0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</r>
  <r>
    <x v="2"/>
    <s v="Full Bath"/>
    <n v="0"/>
    <n v="0"/>
    <n v="0"/>
    <n v="0"/>
    <n v="0"/>
    <n v="0"/>
    <n v="0"/>
    <n v="0"/>
    <n v="0"/>
    <n v="146.06"/>
    <n v="146.06"/>
    <n v="146.06"/>
    <n v="146.06"/>
    <n v="146.06"/>
    <n v="146.06"/>
    <n v="146.06"/>
    <n v="146.06"/>
  </r>
  <r>
    <x v="2"/>
    <s v="Full Bath"/>
    <n v="0"/>
    <n v="0"/>
    <n v="0"/>
    <n v="59.4"/>
    <n v="59.4"/>
    <n v="59.4"/>
    <n v="59.4"/>
    <n v="59.4"/>
    <n v="59.4"/>
    <n v="59.4"/>
    <n v="59.4"/>
    <n v="59.4"/>
    <n v="59.4"/>
    <n v="59.4"/>
    <n v="59.4"/>
    <n v="59.4"/>
    <n v="59.4"/>
  </r>
  <r>
    <x v="2"/>
    <s v="Full Bath"/>
    <n v="0"/>
    <n v="0"/>
    <n v="0"/>
    <n v="149.76"/>
    <n v="149.76"/>
    <n v="149.76"/>
    <n v="149.76"/>
    <n v="149.76"/>
    <n v="149.76"/>
    <n v="149.76"/>
    <n v="149.76"/>
    <n v="149.76"/>
    <n v="149.76"/>
    <n v="149.76"/>
    <n v="149.76"/>
    <n v="149.76"/>
    <n v="149.76"/>
  </r>
  <r>
    <x v="2"/>
    <s v="Full Bath"/>
    <n v="0"/>
    <n v="0"/>
    <n v="0"/>
    <n v="17"/>
    <n v="17"/>
    <n v="17"/>
    <n v="17"/>
    <n v="17"/>
    <n v="17"/>
    <n v="17"/>
    <n v="17"/>
    <n v="17"/>
    <n v="17"/>
    <n v="17"/>
    <n v="17"/>
    <n v="17"/>
    <n v="17"/>
  </r>
  <r>
    <x v="2"/>
    <s v="Full Bath"/>
    <n v="0"/>
    <n v="0"/>
    <n v="0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</r>
  <r>
    <x v="2"/>
    <s v="half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f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half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2"/>
    <s v="half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2"/>
    <s v="half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2"/>
    <s v="half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2"/>
    <s v="half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half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half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2"/>
    <s v="half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half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2"/>
    <s v="half bath"/>
    <n v="0"/>
    <n v="0"/>
    <n v="0"/>
    <n v="0"/>
    <n v="0"/>
    <n v="0"/>
    <n v="0"/>
    <n v="0"/>
    <n v="0"/>
    <n v="0"/>
    <n v="0"/>
    <n v="0"/>
    <n v="0"/>
    <n v="0"/>
    <n v="176.53"/>
    <n v="176.53"/>
    <n v="176.53"/>
  </r>
  <r>
    <x v="2"/>
    <s v="half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half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half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half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half bath"/>
    <n v="0"/>
    <n v="0"/>
    <n v="0"/>
    <n v="0"/>
    <n v="1185.45"/>
    <n v="1185.45"/>
    <n v="1185.45"/>
    <n v="1185.45"/>
    <n v="1185.45"/>
    <n v="1185.45"/>
    <n v="1185.45"/>
    <n v="1185.45"/>
    <n v="1185.45"/>
    <n v="1185.45"/>
    <n v="1185.45"/>
    <n v="1185.45"/>
    <n v="1185.45"/>
  </r>
  <r>
    <x v="2"/>
    <s v="half bath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x v="2"/>
    <s v="half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x v="2"/>
    <s v="half bath"/>
    <n v="0"/>
    <n v="0"/>
    <n v="0"/>
    <n v="0"/>
    <n v="0"/>
    <n v="0"/>
    <n v="0"/>
    <n v="0"/>
    <n v="0"/>
    <n v="0"/>
    <n v="0"/>
    <n v="31.24"/>
    <n v="31.24"/>
    <n v="31.24"/>
    <n v="31.24"/>
    <n v="31.24"/>
    <n v="31.24"/>
  </r>
  <r>
    <x v="2"/>
    <s v="half bath"/>
    <n v="0"/>
    <n v="0"/>
    <n v="0"/>
    <n v="243.09"/>
    <n v="243.09"/>
    <n v="243.09"/>
    <n v="243.09"/>
    <n v="243.09"/>
    <n v="243.09"/>
    <n v="243.09"/>
    <n v="243.09"/>
    <n v="243.09"/>
    <n v="243.09"/>
    <n v="243.09"/>
    <n v="243.09"/>
    <n v="243.09"/>
    <n v="243.09"/>
  </r>
  <r>
    <x v="2"/>
    <s v="half bath"/>
    <n v="0"/>
    <n v="0"/>
    <n v="0"/>
    <n v="0"/>
    <n v="0"/>
    <n v="0"/>
    <n v="0"/>
    <n v="0"/>
    <n v="0"/>
    <n v="0"/>
    <n v="0"/>
    <n v="0"/>
    <n v="0"/>
    <n v="0"/>
    <n v="77.849999999999994"/>
    <n v="77.849999999999994"/>
    <n v="77.849999999999994"/>
  </r>
  <r>
    <x v="2"/>
    <s v="half bath"/>
    <n v="0"/>
    <n v="0"/>
    <n v="0"/>
    <n v="0"/>
    <n v="148.71"/>
    <n v="148.71"/>
    <n v="148.71"/>
    <n v="148.71"/>
    <n v="148.71"/>
    <n v="148.71"/>
    <n v="148.71"/>
    <n v="148.71"/>
    <n v="148.71"/>
    <n v="148.71"/>
    <n v="148.71"/>
    <n v="148.71"/>
    <n v="148.71"/>
  </r>
  <r>
    <x v="2"/>
    <s v="half bath"/>
    <n v="0"/>
    <n v="0"/>
    <n v="0"/>
    <n v="19.414999999999999"/>
    <n v="19.414999999999999"/>
    <n v="19.414999999999999"/>
    <n v="19.414999999999999"/>
    <n v="19.414999999999999"/>
    <n v="38.83"/>
    <n v="38.83"/>
    <n v="38.83"/>
    <n v="77.66"/>
    <n v="77.66"/>
    <n v="77.66"/>
    <n v="77.66"/>
    <n v="77.66"/>
    <n v="77.66"/>
  </r>
  <r>
    <x v="2"/>
    <s v="half bath"/>
    <n v="0"/>
    <n v="0"/>
    <n v="0"/>
    <n v="189.5675"/>
    <n v="189.5675"/>
    <n v="189.5675"/>
    <n v="189.5675"/>
    <n v="379.13499999999999"/>
    <n v="379.13499999999999"/>
    <n v="379.13499999999999"/>
    <n v="379.13499999999999"/>
    <n v="758.27"/>
    <n v="758.27"/>
    <n v="758.27"/>
    <n v="758.27"/>
    <n v="758.27"/>
    <n v="758.27"/>
  </r>
  <r>
    <x v="2"/>
    <s v="half bath"/>
    <n v="0"/>
    <n v="0"/>
    <n v="0"/>
    <n v="53.86"/>
    <n v="53.86"/>
    <n v="53.86"/>
    <n v="53.86"/>
    <n v="53.86"/>
    <n v="53.86"/>
    <n v="53.86"/>
    <n v="53.86"/>
    <n v="53.86"/>
    <n v="53.86"/>
    <n v="53.86"/>
    <n v="53.86"/>
    <n v="53.86"/>
    <n v="53.86"/>
  </r>
  <r>
    <x v="2"/>
    <s v="half bath"/>
    <n v="0"/>
    <n v="0"/>
    <n v="0"/>
    <n v="126.27"/>
    <n v="126.27"/>
    <n v="126.27"/>
    <n v="126.27"/>
    <n v="126.27"/>
    <n v="126.27"/>
    <n v="126.27"/>
    <n v="126.27"/>
    <n v="126.27"/>
    <n v="126.27"/>
    <n v="126.27"/>
    <n v="126.27"/>
    <n v="126.27"/>
    <n v="126.27"/>
  </r>
  <r>
    <x v="2"/>
    <s v="half bath"/>
    <n v="0"/>
    <n v="0"/>
    <n v="0"/>
    <n v="22.377500000000001"/>
    <n v="22.377500000000001"/>
    <n v="22.377500000000001"/>
    <n v="22.377500000000001"/>
    <n v="44.755000000000003"/>
    <n v="44.755000000000003"/>
    <n v="44.755000000000003"/>
    <n v="44.755000000000003"/>
    <n v="89.51"/>
    <n v="89.51"/>
    <n v="89.51"/>
    <n v="89.51"/>
    <n v="89.51"/>
    <n v="89.51"/>
  </r>
  <r>
    <x v="2"/>
    <s v="half bath"/>
    <n v="0"/>
    <n v="0"/>
    <n v="0"/>
    <n v="0"/>
    <n v="0"/>
    <n v="0"/>
    <n v="0"/>
    <n v="0"/>
    <n v="0"/>
    <n v="0"/>
    <n v="0"/>
    <n v="0"/>
    <n v="0"/>
    <n v="0"/>
    <n v="22.96"/>
    <n v="22.96"/>
    <n v="22.96"/>
  </r>
  <r>
    <x v="2"/>
    <s v="half bath"/>
    <n v="0"/>
    <n v="0"/>
    <n v="0"/>
    <n v="24.27"/>
    <n v="24.27"/>
    <n v="24.27"/>
    <n v="24.27"/>
    <n v="24.27"/>
    <n v="24.27"/>
    <n v="24.27"/>
    <n v="24.27"/>
    <n v="24.27"/>
    <n v="24.27"/>
    <n v="24.27"/>
    <n v="24.27"/>
    <n v="24.27"/>
    <n v="24.27"/>
  </r>
  <r>
    <x v="2"/>
    <s v="half bath"/>
    <n v="0"/>
    <n v="0"/>
    <n v="0"/>
    <n v="0"/>
    <n v="0"/>
    <n v="0"/>
    <n v="0"/>
    <n v="0"/>
    <n v="0"/>
    <n v="90.75"/>
    <n v="90.75"/>
    <n v="90.75"/>
    <n v="90.75"/>
    <n v="90.75"/>
    <n v="90.75"/>
    <n v="90.75"/>
    <n v="90.75"/>
  </r>
  <r>
    <x v="2"/>
    <s v="half bath"/>
    <n v="0"/>
    <n v="0"/>
    <n v="0"/>
    <n v="36.96"/>
    <n v="36.96"/>
    <n v="36.96"/>
    <n v="36.96"/>
    <n v="36.96"/>
    <n v="36.96"/>
    <n v="36.96"/>
    <n v="36.96"/>
    <n v="36.96"/>
    <n v="36.96"/>
    <n v="36.96"/>
    <n v="36.96"/>
    <n v="36.96"/>
    <n v="36.96"/>
  </r>
  <r>
    <x v="2"/>
    <s v="half bath"/>
    <n v="0"/>
    <n v="0"/>
    <n v="0"/>
    <n v="93.19"/>
    <n v="93.19"/>
    <n v="93.19"/>
    <n v="93.19"/>
    <n v="93.19"/>
    <n v="93.19"/>
    <n v="93.19"/>
    <n v="93.19"/>
    <n v="93.19"/>
    <n v="93.19"/>
    <n v="93.19"/>
    <n v="93.19"/>
    <n v="93.19"/>
    <n v="93.19"/>
  </r>
  <r>
    <x v="2"/>
    <s v="half bath"/>
    <n v="0"/>
    <n v="0"/>
    <n v="0"/>
    <n v="10.57"/>
    <n v="10.57"/>
    <n v="10.57"/>
    <n v="10.57"/>
    <n v="10.57"/>
    <n v="10.57"/>
    <n v="10.57"/>
    <n v="10.57"/>
    <n v="10.57"/>
    <n v="10.57"/>
    <n v="10.57"/>
    <n v="10.57"/>
    <n v="10.57"/>
    <n v="10.57"/>
  </r>
  <r>
    <x v="2"/>
    <s v="half bath"/>
    <n v="0"/>
    <n v="0"/>
    <n v="0"/>
    <n v="86.06"/>
    <n v="86.06"/>
    <n v="86.06"/>
    <n v="86.06"/>
    <n v="86.06"/>
    <n v="86.06"/>
    <n v="86.06"/>
    <n v="86.06"/>
    <n v="86.06"/>
    <n v="86.06"/>
    <n v="86.06"/>
    <n v="86.06"/>
    <n v="86.06"/>
    <n v="86.06"/>
  </r>
  <r>
    <x v="2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2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2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2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2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2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2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2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2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2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2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2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2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2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2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2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2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2"/>
    <s v="Full Bath"/>
    <n v="0"/>
    <n v="0"/>
    <n v="0"/>
    <n v="0"/>
    <n v="0"/>
    <n v="0"/>
    <n v="0"/>
    <n v="0"/>
    <n v="0"/>
    <n v="0"/>
    <n v="0"/>
    <n v="40.770000000000003"/>
    <n v="40.770000000000003"/>
    <n v="40.770000000000003"/>
    <n v="40.770000000000003"/>
    <n v="40.770000000000003"/>
    <n v="40.770000000000003"/>
  </r>
  <r>
    <x v="2"/>
    <s v="Full Bath"/>
    <n v="0"/>
    <n v="0"/>
    <n v="0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  <n v="316.95999999999998"/>
  </r>
  <r>
    <x v="2"/>
    <s v="Full Bath"/>
    <n v="0"/>
    <n v="0"/>
    <n v="0"/>
    <n v="0"/>
    <n v="0"/>
    <n v="0"/>
    <n v="0"/>
    <n v="0"/>
    <n v="0"/>
    <n v="0"/>
    <n v="0"/>
    <n v="0"/>
    <n v="0"/>
    <n v="0"/>
    <n v="101.51"/>
    <n v="101.51"/>
    <n v="101.51"/>
  </r>
  <r>
    <x v="2"/>
    <s v="Full Bath"/>
    <n v="0"/>
    <n v="0"/>
    <n v="0"/>
    <n v="0"/>
    <n v="193.92"/>
    <n v="193.92"/>
    <n v="193.92"/>
    <n v="193.92"/>
    <n v="193.92"/>
    <n v="193.92"/>
    <n v="193.92"/>
    <n v="193.92"/>
    <n v="193.92"/>
    <n v="193.92"/>
    <n v="193.92"/>
    <n v="193.92"/>
    <n v="193.92"/>
  </r>
  <r>
    <x v="2"/>
    <s v="Full Bath"/>
    <n v="0"/>
    <n v="0"/>
    <n v="0"/>
    <n v="25.317499999999999"/>
    <n v="25.317499999999999"/>
    <n v="25.317499999999999"/>
    <n v="25.317499999999999"/>
    <n v="25.317499999999999"/>
    <n v="50.634999999999998"/>
    <n v="50.634999999999998"/>
    <n v="50.634999999999998"/>
    <n v="101.27"/>
    <n v="101.27"/>
    <n v="101.27"/>
    <n v="101.27"/>
    <n v="101.27"/>
    <n v="101.27"/>
  </r>
  <r>
    <x v="2"/>
    <s v="Full Bath"/>
    <n v="0"/>
    <n v="0"/>
    <n v="0"/>
    <n v="247.18"/>
    <n v="247.18"/>
    <n v="247.18"/>
    <n v="247.18"/>
    <n v="494.36"/>
    <n v="494.36"/>
    <n v="494.36"/>
    <n v="494.36"/>
    <n v="988.72"/>
    <n v="988.72"/>
    <n v="988.72"/>
    <n v="988.72"/>
    <n v="988.72"/>
    <n v="988.72"/>
  </r>
  <r>
    <x v="2"/>
    <s v="Full Bath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x v="2"/>
    <s v="Full Bath"/>
    <n v="0"/>
    <n v="0"/>
    <n v="0"/>
    <n v="164.67"/>
    <n v="164.67"/>
    <n v="164.67"/>
    <n v="164.67"/>
    <n v="164.67"/>
    <n v="164.67"/>
    <n v="164.67"/>
    <n v="164.67"/>
    <n v="164.67"/>
    <n v="164.67"/>
    <n v="164.67"/>
    <n v="164.67"/>
    <n v="164.67"/>
    <n v="164.67"/>
  </r>
  <r>
    <x v="2"/>
    <s v="Full Bath"/>
    <n v="0"/>
    <n v="0"/>
    <n v="0"/>
    <n v="35.979999999999997"/>
    <n v="35.979999999999997"/>
    <n v="35.979999999999997"/>
    <n v="35.979999999999997"/>
    <n v="71.959999999999994"/>
    <n v="71.959999999999994"/>
    <n v="71.959999999999994"/>
    <n v="71.959999999999994"/>
    <n v="143.91999999999999"/>
    <n v="143.91999999999999"/>
    <n v="143.91999999999999"/>
    <n v="143.91999999999999"/>
    <n v="143.91999999999999"/>
    <n v="143.91999999999999"/>
  </r>
  <r>
    <x v="2"/>
    <s v="Full Bath"/>
    <n v="0"/>
    <n v="0"/>
    <n v="0"/>
    <n v="0"/>
    <n v="0"/>
    <n v="0"/>
    <n v="0"/>
    <n v="0"/>
    <n v="0"/>
    <n v="0"/>
    <n v="0"/>
    <n v="0"/>
    <n v="0"/>
    <n v="0"/>
    <n v="36.94"/>
    <n v="36.94"/>
    <n v="36.94"/>
  </r>
  <r>
    <x v="2"/>
    <s v="Full Bath"/>
    <n v="0"/>
    <n v="0"/>
    <n v="0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  <n v="39.020000000000003"/>
  </r>
  <r>
    <x v="2"/>
    <s v="Full Bath"/>
    <n v="0"/>
    <n v="0"/>
    <n v="0"/>
    <n v="0"/>
    <n v="0"/>
    <n v="0"/>
    <n v="0"/>
    <n v="0"/>
    <n v="0"/>
    <n v="146.06"/>
    <n v="146.06"/>
    <n v="146.06"/>
    <n v="146.06"/>
    <n v="146.06"/>
    <n v="146.06"/>
    <n v="146.06"/>
    <n v="146.06"/>
  </r>
  <r>
    <x v="2"/>
    <s v="Full Bath"/>
    <n v="0"/>
    <n v="0"/>
    <n v="0"/>
    <n v="59.4"/>
    <n v="59.4"/>
    <n v="59.4"/>
    <n v="59.4"/>
    <n v="59.4"/>
    <n v="59.4"/>
    <n v="59.4"/>
    <n v="59.4"/>
    <n v="59.4"/>
    <n v="59.4"/>
    <n v="59.4"/>
    <n v="59.4"/>
    <n v="59.4"/>
    <n v="59.4"/>
  </r>
  <r>
    <x v="2"/>
    <s v="Full Bath"/>
    <n v="0"/>
    <n v="0"/>
    <n v="0"/>
    <n v="149.76"/>
    <n v="149.76"/>
    <n v="149.76"/>
    <n v="149.76"/>
    <n v="149.76"/>
    <n v="149.76"/>
    <n v="149.76"/>
    <n v="149.76"/>
    <n v="149.76"/>
    <n v="149.76"/>
    <n v="149.76"/>
    <n v="149.76"/>
    <n v="149.76"/>
    <n v="149.76"/>
  </r>
  <r>
    <x v="2"/>
    <s v="Full Bath"/>
    <n v="0"/>
    <n v="0"/>
    <n v="0"/>
    <n v="17"/>
    <n v="17"/>
    <n v="17"/>
    <n v="17"/>
    <n v="17"/>
    <n v="17"/>
    <n v="17"/>
    <n v="17"/>
    <n v="17"/>
    <n v="17"/>
    <n v="17"/>
    <n v="17"/>
    <n v="17"/>
    <n v="17"/>
  </r>
  <r>
    <x v="2"/>
    <s v="Full Bath"/>
    <n v="0"/>
    <n v="0"/>
    <n v="0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  <n v="138.36000000000001"/>
  </r>
  <r>
    <x v="2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2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Laundr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aundr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Laundry Room"/>
    <n v="0"/>
    <n v="0"/>
    <n v="0"/>
    <n v="0"/>
    <n v="0"/>
    <n v="0"/>
    <n v="0"/>
    <n v="0"/>
    <n v="0"/>
    <n v="0"/>
    <n v="0"/>
    <n v="0"/>
    <n v="857.74"/>
    <n v="857.74"/>
    <n v="857.74"/>
    <n v="857.74"/>
    <n v="857.74"/>
  </r>
  <r>
    <x v="2"/>
    <s v="Laundry Room"/>
    <n v="0"/>
    <n v="0"/>
    <n v="0"/>
    <n v="0"/>
    <n v="0"/>
    <n v="0"/>
    <n v="0"/>
    <n v="0"/>
    <n v="0"/>
    <n v="0"/>
    <n v="0"/>
    <n v="37.69"/>
    <n v="37.69"/>
    <n v="37.69"/>
    <n v="37.69"/>
    <n v="37.69"/>
    <n v="37.69"/>
  </r>
  <r>
    <x v="2"/>
    <s v="Laundry Room"/>
    <n v="0"/>
    <n v="0"/>
    <n v="0"/>
    <n v="293.14"/>
    <n v="293.14"/>
    <n v="293.14"/>
    <n v="293.14"/>
    <n v="293.14"/>
    <n v="293.14"/>
    <n v="293.14"/>
    <n v="293.14"/>
    <n v="293.14"/>
    <n v="293.14"/>
    <n v="293.14"/>
    <n v="293.14"/>
    <n v="293.14"/>
    <n v="293.14"/>
  </r>
  <r>
    <x v="2"/>
    <s v="Laundry Room"/>
    <n v="0"/>
    <n v="0"/>
    <n v="0"/>
    <n v="0"/>
    <n v="0"/>
    <n v="0"/>
    <n v="0"/>
    <n v="0"/>
    <n v="0"/>
    <n v="0"/>
    <n v="0"/>
    <n v="0"/>
    <n v="0"/>
    <n v="0"/>
    <n v="93.87"/>
    <n v="93.87"/>
    <n v="93.87"/>
  </r>
  <r>
    <x v="2"/>
    <s v="Laundry Room"/>
    <n v="0"/>
    <n v="0"/>
    <n v="0"/>
    <n v="0"/>
    <n v="179.35"/>
    <n v="179.35"/>
    <n v="179.35"/>
    <n v="179.35"/>
    <n v="179.35"/>
    <n v="179.35"/>
    <n v="179.35"/>
    <n v="179.35"/>
    <n v="179.35"/>
    <n v="179.35"/>
    <n v="179.35"/>
    <n v="179.35"/>
    <n v="179.35"/>
  </r>
  <r>
    <x v="2"/>
    <s v="Laundry Room"/>
    <n v="0"/>
    <n v="0"/>
    <n v="0"/>
    <n v="23.41"/>
    <n v="23.41"/>
    <n v="23.41"/>
    <n v="23.41"/>
    <n v="23.41"/>
    <n v="46.82"/>
    <n v="46.82"/>
    <n v="46.82"/>
    <n v="93.64"/>
    <n v="93.64"/>
    <n v="93.64"/>
    <n v="93.64"/>
    <n v="93.64"/>
    <n v="93.64"/>
  </r>
  <r>
    <x v="2"/>
    <s v="Laundry Room"/>
    <n v="0"/>
    <n v="0"/>
    <n v="0"/>
    <n v="228.5975"/>
    <n v="228.5975"/>
    <n v="228.5975"/>
    <n v="228.5975"/>
    <n v="457.19499999999999"/>
    <n v="457.19499999999999"/>
    <n v="457.19499999999999"/>
    <n v="457.19499999999999"/>
    <n v="914.39"/>
    <n v="914.39"/>
    <n v="914.39"/>
    <n v="914.39"/>
    <n v="914.39"/>
    <n v="914.39"/>
  </r>
  <r>
    <x v="2"/>
    <s v="Laundry Room"/>
    <n v="0"/>
    <n v="0"/>
    <n v="0"/>
    <n v="64.94"/>
    <n v="64.94"/>
    <n v="64.94"/>
    <n v="64.94"/>
    <n v="64.94"/>
    <n v="64.94"/>
    <n v="64.94"/>
    <n v="64.94"/>
    <n v="64.94"/>
    <n v="64.94"/>
    <n v="64.94"/>
    <n v="64.94"/>
    <n v="64.94"/>
    <n v="64.94"/>
  </r>
  <r>
    <x v="2"/>
    <s v="Laundry Room"/>
    <n v="0"/>
    <n v="0"/>
    <n v="0"/>
    <n v="152.28"/>
    <n v="152.28"/>
    <n v="152.28"/>
    <n v="152.28"/>
    <n v="152.28"/>
    <n v="152.28"/>
    <n v="152.28"/>
    <n v="152.28"/>
    <n v="152.28"/>
    <n v="152.28"/>
    <n v="152.28"/>
    <n v="152.28"/>
    <n v="152.28"/>
    <n v="152.28"/>
  </r>
  <r>
    <x v="2"/>
    <s v="Laundry Room"/>
    <n v="0"/>
    <n v="0"/>
    <n v="0"/>
    <n v="31.594999999999999"/>
    <n v="31.594999999999999"/>
    <n v="31.594999999999999"/>
    <n v="31.594999999999999"/>
    <n v="63.19"/>
    <n v="63.19"/>
    <n v="63.19"/>
    <n v="63.19"/>
    <n v="126.38"/>
    <n v="126.38"/>
    <n v="126.38"/>
    <n v="126.38"/>
    <n v="126.38"/>
    <n v="126.38"/>
  </r>
  <r>
    <x v="2"/>
    <s v="Laundry Room"/>
    <n v="0"/>
    <n v="0"/>
    <n v="0"/>
    <n v="0"/>
    <n v="0"/>
    <n v="0"/>
    <n v="0"/>
    <n v="0"/>
    <n v="0"/>
    <n v="0"/>
    <n v="0"/>
    <n v="0"/>
    <n v="0"/>
    <n v="0"/>
    <n v="32.43"/>
    <n v="32.43"/>
    <n v="32.43"/>
  </r>
  <r>
    <x v="2"/>
    <s v="Laundry Room"/>
    <n v="0"/>
    <n v="0"/>
    <n v="0"/>
    <n v="34.28"/>
    <n v="34.28"/>
    <n v="34.28"/>
    <n v="34.28"/>
    <n v="34.28"/>
    <n v="34.28"/>
    <n v="34.28"/>
    <n v="34.28"/>
    <n v="34.28"/>
    <n v="34.28"/>
    <n v="34.28"/>
    <n v="34.28"/>
    <n v="34.28"/>
    <n v="34.28"/>
  </r>
  <r>
    <x v="2"/>
    <s v="Laundry Room"/>
    <n v="0"/>
    <n v="0"/>
    <n v="0"/>
    <n v="0"/>
    <n v="0"/>
    <n v="0"/>
    <n v="0"/>
    <n v="0"/>
    <n v="0"/>
    <n v="128.22999999999999"/>
    <n v="128.22999999999999"/>
    <n v="128.22999999999999"/>
    <n v="128.22999999999999"/>
    <n v="128.22999999999999"/>
    <n v="128.22999999999999"/>
    <n v="128.22999999999999"/>
    <n v="128.22999999999999"/>
  </r>
  <r>
    <x v="2"/>
    <s v="Laundry Room"/>
    <n v="0"/>
    <n v="0"/>
    <n v="0"/>
    <n v="52.15"/>
    <n v="52.15"/>
    <n v="52.15"/>
    <n v="52.15"/>
    <n v="52.15"/>
    <n v="52.15"/>
    <n v="52.15"/>
    <n v="52.15"/>
    <n v="52.15"/>
    <n v="52.15"/>
    <n v="52.15"/>
    <n v="52.15"/>
    <n v="52.15"/>
    <n v="52.15"/>
  </r>
  <r>
    <x v="2"/>
    <s v="Laundry Room"/>
    <n v="0"/>
    <n v="0"/>
    <n v="0"/>
    <n v="131.47"/>
    <n v="131.47"/>
    <n v="131.47"/>
    <n v="131.47"/>
    <n v="131.47"/>
    <n v="131.47"/>
    <n v="131.47"/>
    <n v="131.47"/>
    <n v="131.47"/>
    <n v="131.47"/>
    <n v="131.47"/>
    <n v="131.47"/>
    <n v="131.47"/>
    <n v="131.47"/>
  </r>
  <r>
    <x v="2"/>
    <s v="Laundry Room"/>
    <n v="0"/>
    <n v="0"/>
    <n v="0"/>
    <n v="14.91"/>
    <n v="14.91"/>
    <n v="14.91"/>
    <n v="14.91"/>
    <n v="14.91"/>
    <n v="14.91"/>
    <n v="14.91"/>
    <n v="14.91"/>
    <n v="14.91"/>
    <n v="14.91"/>
    <n v="14.91"/>
    <n v="14.91"/>
    <n v="14.91"/>
    <n v="14.91"/>
  </r>
  <r>
    <x v="2"/>
    <s v="Laundry Room"/>
    <n v="0"/>
    <n v="0"/>
    <n v="0"/>
    <n v="121.47"/>
    <n v="121.47"/>
    <n v="121.47"/>
    <n v="121.47"/>
    <n v="121.47"/>
    <n v="121.47"/>
    <n v="121.47"/>
    <n v="121.47"/>
    <n v="121.47"/>
    <n v="121.47"/>
    <n v="121.47"/>
    <n v="121.47"/>
    <n v="121.47"/>
    <n v="121.47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2"/>
    <s v="Utility Room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2"/>
    <s v="Utility Room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2"/>
    <s v="Utilit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Utilit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Utility Room"/>
    <n v="0"/>
    <n v="0"/>
    <n v="0"/>
    <n v="0"/>
    <n v="0"/>
    <n v="0"/>
    <n v="0"/>
    <n v="0"/>
    <n v="0"/>
    <n v="0"/>
    <n v="0"/>
    <n v="56.66"/>
    <n v="56.66"/>
    <n v="56.66"/>
    <n v="56.66"/>
    <n v="56.66"/>
    <n v="56.66"/>
  </r>
  <r>
    <x v="2"/>
    <s v="Utility Room"/>
    <n v="0"/>
    <n v="0"/>
    <n v="0"/>
    <n v="440.89"/>
    <n v="440.89"/>
    <n v="440.89"/>
    <n v="440.89"/>
    <n v="440.89"/>
    <n v="440.89"/>
    <n v="440.89"/>
    <n v="440.89"/>
    <n v="440.89"/>
    <n v="440.89"/>
    <n v="440.89"/>
    <n v="440.89"/>
    <n v="440.89"/>
    <n v="440.89"/>
  </r>
  <r>
    <x v="2"/>
    <s v="Utility Room"/>
    <n v="0"/>
    <n v="0"/>
    <n v="0"/>
    <n v="0"/>
    <n v="0"/>
    <n v="0"/>
    <n v="0"/>
    <n v="0"/>
    <n v="0"/>
    <n v="0"/>
    <n v="0"/>
    <n v="0"/>
    <n v="0"/>
    <n v="0"/>
    <n v="141.19999999999999"/>
    <n v="141.19999999999999"/>
    <n v="141.19999999999999"/>
  </r>
  <r>
    <x v="2"/>
    <s v="Utility Room"/>
    <n v="0"/>
    <n v="0"/>
    <n v="0"/>
    <n v="0"/>
    <n v="269.74"/>
    <n v="269.74"/>
    <n v="269.74"/>
    <n v="269.74"/>
    <n v="269.74"/>
    <n v="269.74"/>
    <n v="269.74"/>
    <n v="269.74"/>
    <n v="269.74"/>
    <n v="269.74"/>
    <n v="269.74"/>
    <n v="269.74"/>
    <n v="269.74"/>
  </r>
  <r>
    <x v="2"/>
    <s v="Utility Room"/>
    <n v="0"/>
    <n v="0"/>
    <n v="0"/>
    <n v="35.215000000000003"/>
    <n v="35.215000000000003"/>
    <n v="35.215000000000003"/>
    <n v="35.215000000000003"/>
    <n v="35.215000000000003"/>
    <n v="70.430000000000007"/>
    <n v="70.430000000000007"/>
    <n v="70.430000000000007"/>
    <n v="140.86000000000001"/>
    <n v="140.86000000000001"/>
    <n v="140.86000000000001"/>
    <n v="140.86000000000001"/>
    <n v="140.86000000000001"/>
    <n v="140.86000000000001"/>
  </r>
  <r>
    <x v="2"/>
    <s v="Utility Room"/>
    <n v="0"/>
    <n v="0"/>
    <n v="0"/>
    <n v="343.82499999999999"/>
    <n v="343.82499999999999"/>
    <n v="343.82499999999999"/>
    <n v="343.82499999999999"/>
    <n v="687.65"/>
    <n v="687.65"/>
    <n v="687.65"/>
    <n v="687.65"/>
    <n v="1375.3"/>
    <n v="1375.3"/>
    <n v="1375.3"/>
    <n v="1375.3"/>
    <n v="1375.3"/>
    <n v="1375.3"/>
  </r>
  <r>
    <x v="2"/>
    <s v="Utility Room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x v="2"/>
    <s v="Utility Room"/>
    <n v="0"/>
    <n v="0"/>
    <n v="0"/>
    <n v="229"/>
    <n v="229"/>
    <n v="229"/>
    <n v="229"/>
    <n v="229"/>
    <n v="229"/>
    <n v="229"/>
    <n v="229"/>
    <n v="229"/>
    <n v="229"/>
    <n v="229"/>
    <n v="229"/>
    <n v="229"/>
    <n v="229"/>
  </r>
  <r>
    <x v="2"/>
    <s v="Utility Room"/>
    <n v="0"/>
    <n v="0"/>
    <n v="0"/>
    <n v="72.665000000000006"/>
    <n v="72.665000000000006"/>
    <n v="72.665000000000006"/>
    <n v="72.665000000000006"/>
    <n v="145.33000000000001"/>
    <n v="145.33000000000001"/>
    <n v="145.33000000000001"/>
    <n v="145.33000000000001"/>
    <n v="290.66000000000003"/>
    <n v="290.66000000000003"/>
    <n v="290.66000000000003"/>
    <n v="290.66000000000003"/>
    <n v="290.66000000000003"/>
    <n v="290.66000000000003"/>
  </r>
  <r>
    <x v="2"/>
    <s v="Utility Room"/>
    <n v="0"/>
    <n v="0"/>
    <n v="0"/>
    <n v="0"/>
    <n v="0"/>
    <n v="0"/>
    <n v="0"/>
    <n v="0"/>
    <n v="0"/>
    <n v="0"/>
    <n v="0"/>
    <n v="0"/>
    <n v="0"/>
    <n v="0"/>
    <n v="74.61"/>
    <n v="74.61"/>
    <n v="74.61"/>
  </r>
  <r>
    <x v="2"/>
    <s v="Utility Room"/>
    <n v="0"/>
    <n v="0"/>
    <n v="0"/>
    <n v="78.83"/>
    <n v="78.83"/>
    <n v="78.83"/>
    <n v="78.83"/>
    <n v="78.83"/>
    <n v="78.83"/>
    <n v="78.83"/>
    <n v="78.83"/>
    <n v="78.83"/>
    <n v="78.83"/>
    <n v="78.83"/>
    <n v="78.83"/>
    <n v="78.83"/>
    <n v="78.83"/>
  </r>
  <r>
    <x v="2"/>
    <s v="Utility Room"/>
    <n v="0"/>
    <n v="0"/>
    <n v="0"/>
    <n v="0"/>
    <n v="0"/>
    <n v="0"/>
    <n v="0"/>
    <n v="0"/>
    <n v="0"/>
    <n v="294.88"/>
    <n v="294.88"/>
    <n v="294.88"/>
    <n v="294.88"/>
    <n v="294.88"/>
    <n v="294.88"/>
    <n v="294.88"/>
    <n v="294.88"/>
  </r>
  <r>
    <x v="2"/>
    <s v="Utility Room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x v="2"/>
    <s v="Utility Room"/>
    <n v="0"/>
    <n v="0"/>
    <n v="0"/>
    <n v="302.36"/>
    <n v="302.36"/>
    <n v="302.36"/>
    <n v="302.36"/>
    <n v="302.36"/>
    <n v="302.36"/>
    <n v="302.36"/>
    <n v="302.36"/>
    <n v="302.36"/>
    <n v="302.36"/>
    <n v="302.36"/>
    <n v="302.36"/>
    <n v="302.36"/>
    <n v="302.36"/>
  </r>
  <r>
    <x v="2"/>
    <s v="Utility Room"/>
    <n v="0"/>
    <n v="0"/>
    <n v="0"/>
    <n v="34.32"/>
    <n v="34.32"/>
    <n v="34.32"/>
    <n v="34.32"/>
    <n v="34.32"/>
    <n v="34.32"/>
    <n v="34.32"/>
    <n v="34.32"/>
    <n v="34.32"/>
    <n v="34.32"/>
    <n v="34.32"/>
    <n v="34.32"/>
    <n v="34.32"/>
    <n v="34.32"/>
  </r>
  <r>
    <x v="2"/>
    <s v="Utility Room"/>
    <n v="0"/>
    <n v="0"/>
    <n v="0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</r>
  <r>
    <x v="2"/>
    <s v="Walk 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Walk In Closet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2"/>
    <s v="Walk In Closet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2"/>
    <s v="Walk In Closet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2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Walk In Close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Walk 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Walk 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Walk 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Walk In Closet"/>
    <n v="0"/>
    <n v="0"/>
    <n v="0"/>
    <n v="0"/>
    <n v="0"/>
    <n v="0"/>
    <n v="0"/>
    <n v="0"/>
    <n v="0"/>
    <n v="0"/>
    <n v="0"/>
    <n v="56.66"/>
    <n v="56.66"/>
    <n v="56.66"/>
    <n v="56.66"/>
    <n v="56.66"/>
    <n v="56.66"/>
  </r>
  <r>
    <x v="2"/>
    <s v="Walk In Closet"/>
    <n v="0"/>
    <n v="0"/>
    <n v="0"/>
    <n v="440.89"/>
    <n v="440.89"/>
    <n v="440.89"/>
    <n v="440.89"/>
    <n v="440.89"/>
    <n v="440.89"/>
    <n v="440.89"/>
    <n v="440.89"/>
    <n v="440.89"/>
    <n v="440.89"/>
    <n v="440.89"/>
    <n v="440.89"/>
    <n v="440.89"/>
    <n v="440.89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141.19999999999999"/>
    <n v="141.19999999999999"/>
    <n v="141.19999999999999"/>
  </r>
  <r>
    <x v="2"/>
    <s v="Walk In Closet"/>
    <n v="0"/>
    <n v="0"/>
    <n v="0"/>
    <n v="0"/>
    <n v="269.74"/>
    <n v="269.74"/>
    <n v="269.74"/>
    <n v="269.74"/>
    <n v="269.74"/>
    <n v="269.74"/>
    <n v="269.74"/>
    <n v="269.74"/>
    <n v="269.74"/>
    <n v="269.74"/>
    <n v="269.74"/>
    <n v="269.74"/>
    <n v="269.74"/>
  </r>
  <r>
    <x v="2"/>
    <s v="Walk In Closet"/>
    <n v="0"/>
    <n v="0"/>
    <n v="0"/>
    <n v="35.215000000000003"/>
    <n v="35.215000000000003"/>
    <n v="35.215000000000003"/>
    <n v="35.215000000000003"/>
    <n v="35.215000000000003"/>
    <n v="70.430000000000007"/>
    <n v="70.430000000000007"/>
    <n v="70.430000000000007"/>
    <n v="140.86000000000001"/>
    <n v="140.86000000000001"/>
    <n v="140.86000000000001"/>
    <n v="140.86000000000001"/>
    <n v="140.86000000000001"/>
    <n v="140.86000000000001"/>
  </r>
  <r>
    <x v="2"/>
    <s v="Walk In Closet"/>
    <n v="0"/>
    <n v="0"/>
    <n v="0"/>
    <n v="343.82499999999999"/>
    <n v="343.82499999999999"/>
    <n v="343.82499999999999"/>
    <n v="343.82499999999999"/>
    <n v="687.65"/>
    <n v="687.65"/>
    <n v="687.65"/>
    <n v="687.65"/>
    <n v="1375.3"/>
    <n v="1375.3"/>
    <n v="1375.3"/>
    <n v="1375.3"/>
    <n v="1375.3"/>
    <n v="1375.3"/>
  </r>
  <r>
    <x v="2"/>
    <s v="Walk In Closet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x v="2"/>
    <s v="Walk In Closet"/>
    <n v="0"/>
    <n v="0"/>
    <n v="0"/>
    <n v="229"/>
    <n v="229"/>
    <n v="229"/>
    <n v="229"/>
    <n v="229"/>
    <n v="229"/>
    <n v="229"/>
    <n v="229"/>
    <n v="229"/>
    <n v="229"/>
    <n v="229"/>
    <n v="229"/>
    <n v="229"/>
    <n v="229"/>
  </r>
  <r>
    <x v="2"/>
    <s v="Walk In Closet"/>
    <n v="0"/>
    <n v="0"/>
    <n v="0"/>
    <n v="72.665000000000006"/>
    <n v="72.665000000000006"/>
    <n v="72.665000000000006"/>
    <n v="72.665000000000006"/>
    <n v="145.33000000000001"/>
    <n v="145.33000000000001"/>
    <n v="145.33000000000001"/>
    <n v="145.33000000000001"/>
    <n v="290.66000000000003"/>
    <n v="290.66000000000003"/>
    <n v="290.66000000000003"/>
    <n v="290.66000000000003"/>
    <n v="290.66000000000003"/>
    <n v="290.66000000000003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74.61"/>
    <n v="74.61"/>
    <n v="74.61"/>
  </r>
  <r>
    <x v="2"/>
    <s v="Walk In Closet"/>
    <n v="0"/>
    <n v="0"/>
    <n v="0"/>
    <n v="78.83"/>
    <n v="78.83"/>
    <n v="78.83"/>
    <n v="78.83"/>
    <n v="78.83"/>
    <n v="78.83"/>
    <n v="78.83"/>
    <n v="78.83"/>
    <n v="78.83"/>
    <n v="78.83"/>
    <n v="78.83"/>
    <n v="78.83"/>
    <n v="78.83"/>
    <n v="78.83"/>
  </r>
  <r>
    <x v="2"/>
    <s v="Walk In Closet"/>
    <n v="0"/>
    <n v="0"/>
    <n v="0"/>
    <n v="0"/>
    <n v="0"/>
    <n v="0"/>
    <n v="0"/>
    <n v="0"/>
    <n v="0"/>
    <n v="294.88"/>
    <n v="294.88"/>
    <n v="294.88"/>
    <n v="294.88"/>
    <n v="294.88"/>
    <n v="294.88"/>
    <n v="294.88"/>
    <n v="294.88"/>
  </r>
  <r>
    <x v="2"/>
    <s v="Walk In Closet"/>
    <n v="0"/>
    <n v="0"/>
    <n v="0"/>
    <n v="119.92"/>
    <n v="119.92"/>
    <n v="119.92"/>
    <n v="119.92"/>
    <n v="119.92"/>
    <n v="119.92"/>
    <n v="119.92"/>
    <n v="119.92"/>
    <n v="119.92"/>
    <n v="119.92"/>
    <n v="119.92"/>
    <n v="119.92"/>
    <n v="119.92"/>
    <n v="119.92"/>
  </r>
  <r>
    <x v="2"/>
    <s v="Walk In Closet"/>
    <n v="0"/>
    <n v="0"/>
    <n v="0"/>
    <n v="302.36"/>
    <n v="302.36"/>
    <n v="302.36"/>
    <n v="302.36"/>
    <n v="302.36"/>
    <n v="302.36"/>
    <n v="302.36"/>
    <n v="302.36"/>
    <n v="302.36"/>
    <n v="302.36"/>
    <n v="302.36"/>
    <n v="302.36"/>
    <n v="302.36"/>
    <n v="302.36"/>
  </r>
  <r>
    <x v="2"/>
    <s v="Walk In Closet"/>
    <n v="0"/>
    <n v="0"/>
    <n v="0"/>
    <n v="34.32"/>
    <n v="34.32"/>
    <n v="34.32"/>
    <n v="34.32"/>
    <n v="34.32"/>
    <n v="34.32"/>
    <n v="34.32"/>
    <n v="34.32"/>
    <n v="34.32"/>
    <n v="34.32"/>
    <n v="34.32"/>
    <n v="34.32"/>
    <n v="34.32"/>
    <n v="34.32"/>
  </r>
  <r>
    <x v="2"/>
    <s v="Walk In Closet"/>
    <n v="0"/>
    <n v="0"/>
    <n v="0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  <n v="279.39999999999998"/>
  </r>
  <r>
    <x v="2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iving Area"/>
    <n v="0"/>
    <n v="0"/>
    <n v="0"/>
    <n v="0"/>
    <n v="0"/>
    <n v="0"/>
    <n v="0"/>
    <n v="0"/>
    <n v="0"/>
    <n v="0"/>
    <n v="0"/>
    <n v="75.7"/>
    <n v="75.7"/>
    <n v="75.7"/>
    <n v="75.7"/>
    <n v="75.7"/>
    <n v="75.7"/>
  </r>
  <r>
    <x v="2"/>
    <s v="Living Area"/>
    <n v="0"/>
    <n v="0"/>
    <n v="0"/>
    <n v="588.64"/>
    <n v="588.64"/>
    <n v="588.64"/>
    <n v="588.64"/>
    <n v="588.64"/>
    <n v="588.64"/>
    <n v="588.64"/>
    <n v="588.64"/>
    <n v="588.64"/>
    <n v="588.64"/>
    <n v="588.64"/>
    <n v="588.64"/>
    <n v="588.64"/>
    <n v="588.64"/>
  </r>
  <r>
    <x v="2"/>
    <s v="Living Area"/>
    <n v="0"/>
    <n v="0"/>
    <n v="0"/>
    <n v="0"/>
    <n v="0"/>
    <n v="0"/>
    <n v="0"/>
    <n v="0"/>
    <n v="0"/>
    <n v="0"/>
    <n v="0"/>
    <n v="0"/>
    <n v="0"/>
    <n v="0"/>
    <n v="188.51"/>
    <n v="188.51"/>
    <n v="188.51"/>
  </r>
  <r>
    <x v="2"/>
    <s v="Living Area"/>
    <n v="0"/>
    <n v="0"/>
    <n v="0"/>
    <n v="0"/>
    <n v="360.13"/>
    <n v="360.13"/>
    <n v="360.13"/>
    <n v="360.13"/>
    <n v="360.13"/>
    <n v="360.13"/>
    <n v="360.13"/>
    <n v="360.13"/>
    <n v="360.13"/>
    <n v="360.13"/>
    <n v="360.13"/>
    <n v="360.13"/>
    <n v="360.13"/>
  </r>
  <r>
    <x v="2"/>
    <s v="Living Area"/>
    <n v="0"/>
    <n v="0"/>
    <n v="0"/>
    <n v="47.015000000000001"/>
    <n v="47.015000000000001"/>
    <n v="47.015000000000001"/>
    <n v="47.015000000000001"/>
    <n v="47.015000000000001"/>
    <n v="94.03"/>
    <n v="94.03"/>
    <n v="94.03"/>
    <n v="188.06"/>
    <n v="188.06"/>
    <n v="188.06"/>
    <n v="188.06"/>
    <n v="188.06"/>
    <n v="188.06"/>
  </r>
  <r>
    <x v="2"/>
    <s v="Living Area"/>
    <n v="0"/>
    <n v="0"/>
    <n v="0"/>
    <n v="459.05250000000001"/>
    <n v="459.05250000000001"/>
    <n v="459.05250000000001"/>
    <n v="459.05250000000001"/>
    <n v="918.10500000000002"/>
    <n v="918.10500000000002"/>
    <n v="918.10500000000002"/>
    <n v="918.10500000000002"/>
    <n v="1836.21"/>
    <n v="1836.21"/>
    <n v="1836.21"/>
    <n v="1836.21"/>
    <n v="1836.21"/>
    <n v="1836.21"/>
  </r>
  <r>
    <x v="2"/>
    <s v="Living Area"/>
    <n v="0"/>
    <n v="0"/>
    <n v="0"/>
    <n v="0"/>
    <n v="0"/>
    <n v="0"/>
    <n v="0"/>
    <n v="0"/>
    <n v="0"/>
    <n v="0"/>
    <n v="0"/>
    <n v="125.14"/>
    <n v="125.14"/>
    <n v="125.14"/>
    <n v="125.14"/>
    <n v="125.14"/>
    <n v="125.14"/>
  </r>
  <r>
    <x v="2"/>
    <s v="Living Area"/>
    <n v="0"/>
    <n v="0"/>
    <n v="0"/>
    <n v="0"/>
    <n v="0"/>
    <n v="0"/>
    <n v="0"/>
    <n v="0"/>
    <n v="0"/>
    <n v="0"/>
    <n v="0"/>
    <n v="455.9"/>
    <n v="455.9"/>
    <n v="455.9"/>
    <n v="455.9"/>
    <n v="455.9"/>
    <n v="455.9"/>
  </r>
  <r>
    <x v="2"/>
    <s v="Living Area"/>
    <n v="0"/>
    <n v="0"/>
    <n v="0"/>
    <n v="0"/>
    <n v="0"/>
    <n v="0"/>
    <n v="0"/>
    <n v="0"/>
    <n v="0"/>
    <n v="0"/>
    <n v="0"/>
    <n v="89.42"/>
    <n v="89.42"/>
    <n v="89.42"/>
    <n v="89.42"/>
    <n v="89.42"/>
    <n v="89.42"/>
  </r>
  <r>
    <x v="2"/>
    <s v="Living Area"/>
    <n v="0"/>
    <n v="0"/>
    <n v="0"/>
    <n v="0"/>
    <n v="0"/>
    <n v="0"/>
    <n v="0"/>
    <n v="0"/>
    <n v="0"/>
    <n v="0"/>
    <n v="0"/>
    <n v="431.79"/>
    <n v="431.79"/>
    <n v="431.79"/>
    <n v="431.79"/>
    <n v="431.79"/>
    <n v="431.79"/>
  </r>
  <r>
    <x v="2"/>
    <s v="Living Area"/>
    <n v="0"/>
    <n v="0"/>
    <n v="0"/>
    <n v="130.43"/>
    <n v="130.43"/>
    <n v="130.43"/>
    <n v="130.43"/>
    <n v="130.43"/>
    <n v="130.43"/>
    <n v="130.43"/>
    <n v="130.43"/>
    <n v="130.43"/>
    <n v="130.43"/>
    <n v="130.43"/>
    <n v="130.43"/>
    <n v="130.43"/>
    <n v="130.43"/>
  </r>
  <r>
    <x v="2"/>
    <s v="Living Area"/>
    <n v="0"/>
    <n v="0"/>
    <n v="0"/>
    <n v="305.8"/>
    <n v="305.8"/>
    <n v="305.8"/>
    <n v="305.8"/>
    <n v="305.8"/>
    <n v="305.8"/>
    <n v="305.8"/>
    <n v="305.8"/>
    <n v="305.8"/>
    <n v="305.8"/>
    <n v="305.8"/>
    <n v="305.8"/>
    <n v="305.8"/>
    <n v="305.8"/>
  </r>
  <r>
    <x v="2"/>
    <s v="Living Area"/>
    <n v="0"/>
    <n v="0"/>
    <n v="0"/>
    <n v="180.44749999999999"/>
    <n v="180.44749999999999"/>
    <n v="180.44749999999999"/>
    <n v="180.44749999999999"/>
    <n v="360.89499999999998"/>
    <n v="360.89499999999998"/>
    <n v="360.89499999999998"/>
    <n v="360.89499999999998"/>
    <n v="721.79"/>
    <n v="721.79"/>
    <n v="721.79"/>
    <n v="721.79"/>
    <n v="721.79"/>
    <n v="721.79"/>
  </r>
  <r>
    <x v="2"/>
    <s v="Living Area"/>
    <n v="0"/>
    <n v="0"/>
    <n v="0"/>
    <n v="0"/>
    <n v="0"/>
    <n v="0"/>
    <n v="0"/>
    <n v="0"/>
    <n v="0"/>
    <n v="0"/>
    <n v="0"/>
    <n v="0"/>
    <n v="0"/>
    <n v="0"/>
    <n v="185.26"/>
    <n v="185.26"/>
    <n v="185.26"/>
  </r>
  <r>
    <x v="2"/>
    <s v="Living Area"/>
    <n v="0"/>
    <n v="0"/>
    <n v="0"/>
    <n v="195.74"/>
    <n v="195.74"/>
    <n v="195.74"/>
    <n v="195.74"/>
    <n v="195.74"/>
    <n v="195.74"/>
    <n v="195.74"/>
    <n v="195.74"/>
    <n v="195.74"/>
    <n v="195.74"/>
    <n v="195.74"/>
    <n v="195.74"/>
    <n v="195.74"/>
    <n v="195.74"/>
  </r>
  <r>
    <x v="2"/>
    <s v="Living Area"/>
    <n v="0"/>
    <n v="0"/>
    <n v="0"/>
    <n v="0"/>
    <n v="0"/>
    <n v="0"/>
    <n v="0"/>
    <n v="0"/>
    <n v="0"/>
    <n v="517.89"/>
    <n v="517.89"/>
    <n v="517.89"/>
    <n v="517.89"/>
    <n v="517.89"/>
    <n v="517.89"/>
    <n v="517.89"/>
    <n v="517.89"/>
  </r>
  <r>
    <x v="2"/>
    <s v="Living Area"/>
    <n v="0"/>
    <n v="0"/>
    <n v="0"/>
    <n v="210.61"/>
    <n v="210.61"/>
    <n v="210.61"/>
    <n v="210.61"/>
    <n v="210.61"/>
    <n v="210.61"/>
    <n v="210.61"/>
    <n v="210.61"/>
    <n v="210.61"/>
    <n v="210.61"/>
    <n v="210.61"/>
    <n v="210.61"/>
    <n v="210.61"/>
    <n v="210.61"/>
  </r>
  <r>
    <x v="2"/>
    <s v="Living Area"/>
    <n v="0"/>
    <n v="0"/>
    <n v="0"/>
    <n v="530.99"/>
    <n v="530.99"/>
    <n v="530.99"/>
    <n v="530.99"/>
    <n v="530.99"/>
    <n v="530.99"/>
    <n v="530.99"/>
    <n v="530.99"/>
    <n v="530.99"/>
    <n v="530.99"/>
    <n v="530.99"/>
    <n v="530.99"/>
    <n v="530.99"/>
    <n v="530.99"/>
  </r>
  <r>
    <x v="2"/>
    <s v="Living Area"/>
    <n v="0"/>
    <n v="0"/>
    <n v="0"/>
    <n v="60.26"/>
    <n v="60.26"/>
    <n v="60.26"/>
    <n v="60.26"/>
    <n v="60.26"/>
    <n v="60.26"/>
    <n v="60.26"/>
    <n v="60.26"/>
    <n v="60.26"/>
    <n v="60.26"/>
    <n v="60.26"/>
    <n v="60.26"/>
    <n v="60.26"/>
    <n v="60.26"/>
  </r>
  <r>
    <x v="2"/>
    <s v="Living Area"/>
    <n v="0"/>
    <n v="0"/>
    <n v="0"/>
    <n v="490.67"/>
    <n v="490.67"/>
    <n v="490.67"/>
    <n v="490.67"/>
    <n v="490.67"/>
    <n v="490.67"/>
    <n v="490.67"/>
    <n v="490.67"/>
    <n v="490.67"/>
    <n v="490.67"/>
    <n v="490.67"/>
    <n v="490.67"/>
    <n v="490.67"/>
    <n v="490.67"/>
  </r>
  <r>
    <x v="2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2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2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2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2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81.81"/>
    <n v="81.81"/>
    <n v="81.81"/>
    <n v="81.81"/>
    <n v="81.81"/>
    <n v="81.81"/>
  </r>
  <r>
    <x v="2"/>
    <s v="Bedroom"/>
    <n v="0"/>
    <n v="0"/>
    <n v="0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  <n v="636.32000000000005"/>
  </r>
  <r>
    <x v="2"/>
    <s v="Bedroom"/>
    <n v="0"/>
    <n v="0"/>
    <n v="0"/>
    <n v="0"/>
    <n v="0"/>
    <n v="0"/>
    <n v="0"/>
    <n v="0"/>
    <n v="0"/>
    <n v="0"/>
    <n v="0"/>
    <n v="0"/>
    <n v="0"/>
    <n v="0"/>
    <n v="203.77"/>
    <n v="203.77"/>
    <n v="203.77"/>
  </r>
  <r>
    <x v="2"/>
    <s v="Bedroom"/>
    <n v="0"/>
    <n v="0"/>
    <n v="0"/>
    <n v="0"/>
    <n v="389.29"/>
    <n v="389.29"/>
    <n v="389.29"/>
    <n v="389.29"/>
    <n v="389.29"/>
    <n v="389.29"/>
    <n v="389.29"/>
    <n v="389.29"/>
    <n v="389.29"/>
    <n v="389.29"/>
    <n v="389.29"/>
    <n v="389.29"/>
    <n v="389.29"/>
  </r>
  <r>
    <x v="2"/>
    <s v="Bedroom"/>
    <n v="0"/>
    <n v="0"/>
    <n v="0"/>
    <n v="50.822499999999998"/>
    <n v="50.822499999999998"/>
    <n v="50.822499999999998"/>
    <n v="50.822499999999998"/>
    <n v="50.822499999999998"/>
    <n v="101.645"/>
    <n v="101.645"/>
    <n v="101.645"/>
    <n v="203.29"/>
    <n v="203.29"/>
    <n v="203.29"/>
    <n v="203.29"/>
    <n v="203.29"/>
    <n v="203.29"/>
  </r>
  <r>
    <x v="2"/>
    <s v="Bedroom"/>
    <n v="0"/>
    <n v="0"/>
    <n v="0"/>
    <n v="496.22250000000003"/>
    <n v="496.22250000000003"/>
    <n v="496.22250000000003"/>
    <n v="496.22250000000003"/>
    <n v="992.44500000000005"/>
    <n v="992.44500000000005"/>
    <n v="992.44500000000005"/>
    <n v="992.44500000000005"/>
    <n v="1984.89"/>
    <n v="1984.89"/>
    <n v="1984.89"/>
    <n v="1984.89"/>
    <n v="1984.89"/>
    <n v="1984.89"/>
  </r>
  <r>
    <x v="2"/>
    <s v="Bedroom"/>
    <n v="0"/>
    <n v="0"/>
    <n v="0"/>
    <n v="0"/>
    <n v="0"/>
    <n v="0"/>
    <n v="0"/>
    <n v="0"/>
    <n v="0"/>
    <n v="0"/>
    <n v="0"/>
    <n v="96.67"/>
    <n v="96.67"/>
    <n v="96.67"/>
    <n v="96.67"/>
    <n v="96.67"/>
    <n v="96.67"/>
  </r>
  <r>
    <x v="2"/>
    <s v="Bedroom"/>
    <n v="0"/>
    <n v="0"/>
    <n v="0"/>
    <n v="0"/>
    <n v="0"/>
    <n v="0"/>
    <n v="0"/>
    <n v="0"/>
    <n v="0"/>
    <n v="0"/>
    <n v="0"/>
    <n v="466.71"/>
    <n v="466.71"/>
    <n v="466.71"/>
    <n v="466.71"/>
    <n v="466.71"/>
    <n v="466.71"/>
  </r>
  <r>
    <x v="2"/>
    <s v="Bedroom"/>
    <n v="0"/>
    <n v="0"/>
    <n v="0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  <n v="140.97999999999999"/>
  </r>
  <r>
    <x v="2"/>
    <s v="Bedroom"/>
    <n v="0"/>
    <n v="0"/>
    <n v="0"/>
    <n v="330.56"/>
    <n v="330.56"/>
    <n v="330.56"/>
    <n v="330.56"/>
    <n v="330.56"/>
    <n v="330.56"/>
    <n v="330.56"/>
    <n v="330.56"/>
    <n v="330.56"/>
    <n v="330.56"/>
    <n v="330.56"/>
    <n v="330.56"/>
    <n v="330.56"/>
    <n v="330.56"/>
  </r>
  <r>
    <x v="2"/>
    <s v="Bedroom"/>
    <n v="0"/>
    <n v="0"/>
    <n v="0"/>
    <n v="215.48750000000001"/>
    <n v="215.48750000000001"/>
    <n v="215.48750000000001"/>
    <n v="215.48750000000001"/>
    <n v="430.97500000000002"/>
    <n v="430.97500000000002"/>
    <n v="430.97500000000002"/>
    <n v="430.97500000000002"/>
    <n v="861.95"/>
    <n v="861.95"/>
    <n v="861.95"/>
    <n v="861.95"/>
    <n v="861.95"/>
    <n v="861.95"/>
  </r>
  <r>
    <x v="2"/>
    <s v="Bedroom"/>
    <n v="0"/>
    <n v="0"/>
    <n v="0"/>
    <n v="0"/>
    <n v="0"/>
    <n v="0"/>
    <n v="0"/>
    <n v="0"/>
    <n v="0"/>
    <n v="0"/>
    <n v="0"/>
    <n v="0"/>
    <n v="0"/>
    <n v="0"/>
    <n v="221.24"/>
    <n v="221.24"/>
    <n v="221.24"/>
  </r>
  <r>
    <x v="2"/>
    <s v="Bedroom"/>
    <n v="0"/>
    <n v="0"/>
    <n v="0"/>
    <n v="233.75"/>
    <n v="233.75"/>
    <n v="233.75"/>
    <n v="233.75"/>
    <n v="233.75"/>
    <n v="233.75"/>
    <n v="233.75"/>
    <n v="233.75"/>
    <n v="233.75"/>
    <n v="233.75"/>
    <n v="233.75"/>
    <n v="233.75"/>
    <n v="233.75"/>
    <n v="233.75"/>
  </r>
  <r>
    <x v="2"/>
    <s v="Bedroom"/>
    <n v="0"/>
    <n v="0"/>
    <n v="0"/>
    <n v="0"/>
    <n v="0"/>
    <n v="0"/>
    <n v="0"/>
    <n v="0"/>
    <n v="0"/>
    <n v="618.45000000000005"/>
    <n v="618.45000000000005"/>
    <n v="618.45000000000005"/>
    <n v="618.45000000000005"/>
    <n v="618.45000000000005"/>
    <n v="618.45000000000005"/>
    <n v="618.45000000000005"/>
    <n v="618.45000000000005"/>
  </r>
  <r>
    <x v="2"/>
    <s v="Bedroom"/>
    <n v="0"/>
    <n v="0"/>
    <n v="0"/>
    <n v="251.51"/>
    <n v="251.51"/>
    <n v="251.51"/>
    <n v="251.51"/>
    <n v="251.51"/>
    <n v="251.51"/>
    <n v="251.51"/>
    <n v="251.51"/>
    <n v="251.51"/>
    <n v="251.51"/>
    <n v="251.51"/>
    <n v="251.51"/>
    <n v="251.51"/>
    <n v="251.51"/>
  </r>
  <r>
    <x v="2"/>
    <s v="Bedroom"/>
    <n v="0"/>
    <n v="0"/>
    <n v="0"/>
    <n v="634.09"/>
    <n v="634.09"/>
    <n v="634.09"/>
    <n v="634.09"/>
    <n v="634.09"/>
    <n v="634.09"/>
    <n v="634.09"/>
    <n v="634.09"/>
    <n v="634.09"/>
    <n v="634.09"/>
    <n v="634.09"/>
    <n v="634.09"/>
    <n v="634.09"/>
    <n v="634.09"/>
  </r>
  <r>
    <x v="2"/>
    <s v="Bedroom"/>
    <n v="0"/>
    <n v="0"/>
    <n v="0"/>
    <n v="71.97"/>
    <n v="71.97"/>
    <n v="71.97"/>
    <n v="71.97"/>
    <n v="71.97"/>
    <n v="71.97"/>
    <n v="71.97"/>
    <n v="71.97"/>
    <n v="71.97"/>
    <n v="71.97"/>
    <n v="71.97"/>
    <n v="71.97"/>
    <n v="71.97"/>
    <n v="71.97"/>
  </r>
  <r>
    <x v="2"/>
    <s v="Bedroom"/>
    <n v="0"/>
    <n v="0"/>
    <n v="0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  <n v="585.95000000000005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681.57"/>
    <n v="681.57"/>
    <n v="681.57"/>
    <n v="681.57"/>
    <n v="681.57"/>
    <n v="681.5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0"/>
    <n v="0"/>
    <n v="0"/>
    <n v="0"/>
    <n v="0"/>
    <n v="182.02"/>
    <n v="182.02"/>
    <n v="182.02"/>
  </r>
  <r>
    <x v="2"/>
    <s v="Kitchen"/>
    <n v="0"/>
    <n v="0"/>
    <n v="0"/>
    <n v="0"/>
    <n v="2656.36"/>
    <n v="2656.36"/>
    <n v="2656.36"/>
    <n v="2656.36"/>
    <n v="2656.36"/>
    <n v="2656.36"/>
    <n v="2656.36"/>
    <n v="2656.36"/>
    <n v="2656.36"/>
    <n v="2656.36"/>
    <n v="2656.36"/>
    <n v="2656.36"/>
    <n v="2656.36"/>
  </r>
  <r>
    <x v="2"/>
    <s v="Kitchen"/>
    <n v="0"/>
    <n v="0"/>
    <n v="0"/>
    <n v="0"/>
    <n v="2990.74"/>
    <n v="2990.74"/>
    <n v="2990.74"/>
    <n v="2990.74"/>
    <n v="2990.74"/>
    <n v="2990.74"/>
    <n v="2990.74"/>
    <n v="2990.74"/>
    <n v="2990.74"/>
    <n v="2990.74"/>
    <n v="2990.74"/>
    <n v="2990.74"/>
    <n v="2990.74"/>
  </r>
  <r>
    <x v="2"/>
    <s v="Kitchen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4956.68"/>
    <n v="4956.68"/>
    <n v="4956.68"/>
    <n v="4956.68"/>
    <n v="4956.68"/>
  </r>
  <r>
    <x v="2"/>
    <s v="Kitchen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x v="2"/>
    <s v="Kitchen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x v="2"/>
    <s v="Kitchen"/>
    <n v="0"/>
    <n v="0"/>
    <n v="0"/>
    <n v="0"/>
    <n v="0"/>
    <n v="0"/>
    <n v="0"/>
    <n v="0"/>
    <n v="0"/>
    <n v="0"/>
    <n v="4396.8999999999996"/>
    <n v="4396.8999999999996"/>
    <n v="4396.8999999999996"/>
    <n v="4396.8999999999996"/>
    <n v="4396.8999999999996"/>
    <n v="4396.8999999999996"/>
    <n v="4396.8999999999996"/>
  </r>
  <r>
    <x v="2"/>
    <s v="Kitchen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x v="2"/>
    <s v="Kitchen"/>
    <n v="0"/>
    <n v="0"/>
    <n v="0"/>
    <n v="0"/>
    <n v="1258.56"/>
    <n v="1258.56"/>
    <n v="1258.56"/>
    <n v="1258.56"/>
    <n v="1258.56"/>
    <n v="1258.56"/>
    <n v="1258.56"/>
    <n v="1258.56"/>
    <n v="1258.56"/>
    <n v="1258.56"/>
    <n v="1258.56"/>
    <n v="1258.56"/>
    <n v="1258.56"/>
  </r>
  <r>
    <x v="2"/>
    <s v="Kitchen"/>
    <n v="0"/>
    <n v="0"/>
    <n v="0"/>
    <n v="0"/>
    <n v="0"/>
    <n v="0"/>
    <n v="7144.54"/>
    <n v="7144.54"/>
    <n v="7144.54"/>
    <n v="7144.54"/>
    <n v="7144.54"/>
    <n v="7144.54"/>
    <n v="7144.54"/>
    <n v="7144.54"/>
    <n v="7144.54"/>
    <n v="7144.54"/>
    <n v="7144.54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0"/>
    <n v="0"/>
    <n v="0"/>
    <n v="1910.37"/>
    <n v="1910.37"/>
    <n v="1910.37"/>
    <n v="1910.37"/>
    <n v="1910.37"/>
    <n v="1910.37"/>
    <n v="1910.37"/>
    <n v="1910.37"/>
  </r>
  <r>
    <x v="2"/>
    <s v="Kitchen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x v="2"/>
    <s v="Kitchen"/>
    <n v="0"/>
    <n v="0"/>
    <n v="0"/>
    <n v="0"/>
    <n v="0"/>
    <n v="0"/>
    <n v="0"/>
    <n v="0"/>
    <n v="0"/>
    <n v="0"/>
    <n v="0"/>
    <n v="0"/>
    <n v="0"/>
    <n v="2698.42"/>
    <n v="2698.42"/>
    <n v="2698.42"/>
    <n v="2698.42"/>
  </r>
  <r>
    <x v="2"/>
    <s v="Kitchen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x v="2"/>
    <s v="Kitchen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x v="2"/>
    <s v="Kitchen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x v="2"/>
    <s v="Kitchen"/>
    <n v="0"/>
    <n v="0"/>
    <n v="0"/>
    <n v="0"/>
    <n v="0"/>
    <n v="0"/>
    <n v="0"/>
    <n v="0"/>
    <n v="0"/>
    <n v="0"/>
    <n v="0"/>
    <n v="66.19"/>
    <n v="66.19"/>
    <n v="66.19"/>
    <n v="66.19"/>
    <n v="66.19"/>
    <n v="66.19"/>
  </r>
  <r>
    <x v="2"/>
    <s v="Kitchen"/>
    <n v="0"/>
    <n v="0"/>
    <n v="0"/>
    <n v="514.78"/>
    <n v="514.78"/>
    <n v="514.78"/>
    <n v="514.78"/>
    <n v="514.78"/>
    <n v="514.78"/>
    <n v="514.78"/>
    <n v="514.78"/>
    <n v="514.78"/>
    <n v="514.78"/>
    <n v="514.78"/>
    <n v="514.78"/>
    <n v="514.78"/>
    <n v="514.78"/>
  </r>
  <r>
    <x v="2"/>
    <s v="Kitchen"/>
    <n v="0"/>
    <n v="0"/>
    <n v="0"/>
    <n v="0"/>
    <n v="0"/>
    <n v="0"/>
    <n v="0"/>
    <n v="0"/>
    <n v="0"/>
    <n v="0"/>
    <n v="0"/>
    <n v="0"/>
    <n v="0"/>
    <n v="0"/>
    <n v="164.86"/>
    <n v="164.86"/>
    <n v="164.86"/>
  </r>
  <r>
    <x v="2"/>
    <s v="Kitchen"/>
    <n v="0"/>
    <n v="0"/>
    <n v="0"/>
    <n v="0"/>
    <n v="314.92"/>
    <n v="314.92"/>
    <n v="314.92"/>
    <n v="314.92"/>
    <n v="314.92"/>
    <n v="314.92"/>
    <n v="314.92"/>
    <n v="314.92"/>
    <n v="314.92"/>
    <n v="314.92"/>
    <n v="314.92"/>
    <n v="314.92"/>
    <n v="314.92"/>
  </r>
  <r>
    <x v="2"/>
    <s v="Kitchen"/>
    <n v="0"/>
    <n v="0"/>
    <n v="0"/>
    <n v="41.1175"/>
    <n v="41.1175"/>
    <n v="41.1175"/>
    <n v="41.1175"/>
    <n v="41.1175"/>
    <n v="82.234999999999999"/>
    <n v="82.234999999999999"/>
    <n v="82.234999999999999"/>
    <n v="164.47"/>
    <n v="164.47"/>
    <n v="164.47"/>
    <n v="164.47"/>
    <n v="164.47"/>
    <n v="164.47"/>
  </r>
  <r>
    <x v="2"/>
    <s v="Kitchen"/>
    <n v="0"/>
    <n v="0"/>
    <n v="0"/>
    <n v="401.435"/>
    <n v="401.435"/>
    <n v="401.435"/>
    <n v="401.435"/>
    <n v="802.87"/>
    <n v="802.87"/>
    <n v="802.87"/>
    <n v="802.87"/>
    <n v="1605.74"/>
    <n v="1605.74"/>
    <n v="1605.74"/>
    <n v="1605.74"/>
    <n v="1605.74"/>
    <n v="1605.74"/>
  </r>
  <r>
    <x v="2"/>
    <s v="Kitchen"/>
    <n v="0"/>
    <n v="0"/>
    <n v="0"/>
    <n v="0"/>
    <n v="0"/>
    <n v="0"/>
    <n v="0"/>
    <n v="0"/>
    <n v="0"/>
    <n v="0"/>
    <n v="114.04"/>
    <n v="114.04"/>
    <n v="114.04"/>
    <n v="114.04"/>
    <n v="114.04"/>
    <n v="114.04"/>
    <n v="114.04"/>
  </r>
  <r>
    <x v="2"/>
    <s v="Kitchen"/>
    <n v="0"/>
    <n v="0"/>
    <n v="0"/>
    <n v="0"/>
    <n v="0"/>
    <n v="0"/>
    <n v="0"/>
    <n v="0"/>
    <n v="0"/>
    <n v="0"/>
    <n v="342.14"/>
    <n v="342.14"/>
    <n v="342.14"/>
    <n v="342.14"/>
    <n v="342.14"/>
    <n v="342.14"/>
    <n v="342.14"/>
  </r>
  <r>
    <x v="2"/>
    <s v="Kitchen"/>
    <n v="0"/>
    <n v="0"/>
    <n v="0"/>
    <n v="114.04"/>
    <n v="114.04"/>
    <n v="114.04"/>
    <n v="114.04"/>
    <n v="114.04"/>
    <n v="114.04"/>
    <n v="114.04"/>
    <n v="114.04"/>
    <n v="114.04"/>
    <n v="114.04"/>
    <n v="114.04"/>
    <n v="114.04"/>
    <n v="114.04"/>
    <n v="114.04"/>
  </r>
  <r>
    <x v="2"/>
    <s v="Kitchen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x v="2"/>
    <s v="Kitchen"/>
    <n v="0"/>
    <n v="0"/>
    <n v="0"/>
    <n v="100.14749999999999"/>
    <n v="100.14749999999999"/>
    <n v="100.14749999999999"/>
    <n v="100.14749999999999"/>
    <n v="200.29499999999999"/>
    <n v="200.29499999999999"/>
    <n v="200.29499999999999"/>
    <n v="200.29499999999999"/>
    <n v="400.59"/>
    <n v="400.59"/>
    <n v="400.59"/>
    <n v="400.59"/>
    <n v="400.59"/>
    <n v="400.59"/>
  </r>
  <r>
    <x v="2"/>
    <s v="Kitchen"/>
    <n v="0"/>
    <n v="0"/>
    <n v="0"/>
    <n v="0"/>
    <n v="0"/>
    <n v="0"/>
    <n v="0"/>
    <n v="0"/>
    <n v="0"/>
    <n v="0"/>
    <n v="0"/>
    <n v="0"/>
    <n v="0"/>
    <n v="0"/>
    <n v="102.82"/>
    <n v="102.82"/>
    <n v="102.82"/>
  </r>
  <r>
    <x v="2"/>
    <s v="Kitchen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x v="2"/>
    <s v="Kitchen"/>
    <n v="0"/>
    <n v="0"/>
    <n v="0"/>
    <n v="0"/>
    <n v="0"/>
    <n v="0"/>
    <n v="0"/>
    <n v="0"/>
    <n v="0"/>
    <n v="406.52"/>
    <n v="406.52"/>
    <n v="406.52"/>
    <n v="406.52"/>
    <n v="406.52"/>
    <n v="406.52"/>
    <n v="406.52"/>
    <n v="406.52"/>
  </r>
  <r>
    <x v="2"/>
    <s v="Kitchen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x v="2"/>
    <s v="Kitchen"/>
    <n v="0"/>
    <n v="0"/>
    <n v="0"/>
    <n v="416.66"/>
    <n v="416.66"/>
    <n v="416.66"/>
    <n v="416.66"/>
    <n v="416.66"/>
    <n v="416.66"/>
    <n v="416.66"/>
    <n v="416.66"/>
    <n v="416.66"/>
    <n v="416.66"/>
    <n v="416.66"/>
    <n v="416.66"/>
    <n v="416.66"/>
    <n v="416.66"/>
  </r>
  <r>
    <x v="2"/>
    <s v="Kitchen"/>
    <n v="0"/>
    <n v="0"/>
    <n v="0"/>
    <n v="47.29"/>
    <n v="47.29"/>
    <n v="47.29"/>
    <n v="47.29"/>
    <n v="47.29"/>
    <n v="47.29"/>
    <n v="47.29"/>
    <n v="47.29"/>
    <n v="47.29"/>
    <n v="47.29"/>
    <n v="47.29"/>
    <n v="47.29"/>
    <n v="47.29"/>
    <n v="47.29"/>
  </r>
  <r>
    <x v="2"/>
    <s v="Kitchen"/>
    <n v="0"/>
    <n v="0"/>
    <n v="0"/>
    <n v="385.04"/>
    <n v="385.04"/>
    <n v="385.04"/>
    <n v="385.04"/>
    <n v="385.04"/>
    <n v="385.04"/>
    <n v="385.04"/>
    <n v="385.04"/>
    <n v="385.04"/>
    <n v="385.04"/>
    <n v="385.04"/>
    <n v="385.04"/>
    <n v="385.04"/>
    <n v="385.04"/>
  </r>
  <r>
    <x v="2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2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2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2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2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94.35"/>
    <n v="94.35"/>
    <n v="94.35"/>
    <n v="94.35"/>
    <n v="94.35"/>
    <n v="94.35"/>
  </r>
  <r>
    <x v="2"/>
    <s v="Bedroom"/>
    <n v="0"/>
    <n v="0"/>
    <n v="0"/>
    <n v="734.03"/>
    <n v="734.03"/>
    <n v="734.03"/>
    <n v="734.03"/>
    <n v="734.03"/>
    <n v="734.03"/>
    <n v="734.03"/>
    <n v="734.03"/>
    <n v="734.03"/>
    <n v="734.03"/>
    <n v="734.03"/>
    <n v="734.03"/>
    <n v="734.03"/>
    <n v="734.03"/>
  </r>
  <r>
    <x v="2"/>
    <s v="Bedroom"/>
    <n v="0"/>
    <n v="0"/>
    <n v="0"/>
    <n v="0"/>
    <n v="0"/>
    <n v="0"/>
    <n v="0"/>
    <n v="0"/>
    <n v="0"/>
    <n v="0"/>
    <n v="0"/>
    <n v="0"/>
    <n v="0"/>
    <n v="0"/>
    <n v="235.07"/>
    <n v="235.07"/>
    <n v="235.07"/>
  </r>
  <r>
    <x v="2"/>
    <s v="Bedroom"/>
    <n v="0"/>
    <n v="0"/>
    <n v="0"/>
    <n v="0"/>
    <n v="449.06"/>
    <n v="449.06"/>
    <n v="449.06"/>
    <n v="449.06"/>
    <n v="449.06"/>
    <n v="449.06"/>
    <n v="449.06"/>
    <n v="449.06"/>
    <n v="449.06"/>
    <n v="449.06"/>
    <n v="449.06"/>
    <n v="449.06"/>
    <n v="449.06"/>
  </r>
  <r>
    <x v="2"/>
    <s v="Bedroom"/>
    <n v="0"/>
    <n v="0"/>
    <n v="0"/>
    <n v="58.627499999999998"/>
    <n v="58.627499999999998"/>
    <n v="58.627499999999998"/>
    <n v="58.627499999999998"/>
    <n v="58.627499999999998"/>
    <n v="117.255"/>
    <n v="117.255"/>
    <n v="117.255"/>
    <n v="234.51"/>
    <n v="234.51"/>
    <n v="234.51"/>
    <n v="234.51"/>
    <n v="234.51"/>
    <n v="234.51"/>
  </r>
  <r>
    <x v="2"/>
    <s v="Bedroom"/>
    <n v="0"/>
    <n v="0"/>
    <n v="0"/>
    <n v="572.41999999999996"/>
    <n v="572.41999999999996"/>
    <n v="572.41999999999996"/>
    <n v="572.41999999999996"/>
    <n v="1144.8399999999999"/>
    <n v="1144.8399999999999"/>
    <n v="1144.8399999999999"/>
    <n v="1144.8399999999999"/>
    <n v="2289.6799999999998"/>
    <n v="2289.6799999999998"/>
    <n v="2289.6799999999998"/>
    <n v="2289.6799999999998"/>
    <n v="2289.6799999999998"/>
    <n v="2289.6799999999998"/>
  </r>
  <r>
    <x v="2"/>
    <s v="Bedroom"/>
    <n v="0"/>
    <n v="0"/>
    <n v="0"/>
    <n v="0"/>
    <n v="0"/>
    <n v="0"/>
    <n v="0"/>
    <n v="0"/>
    <n v="0"/>
    <n v="0"/>
    <n v="0"/>
    <n v="111.49"/>
    <n v="111.49"/>
    <n v="111.49"/>
    <n v="111.49"/>
    <n v="111.49"/>
    <n v="111.49"/>
  </r>
  <r>
    <x v="2"/>
    <s v="Bedroom"/>
    <n v="0"/>
    <n v="0"/>
    <n v="0"/>
    <n v="0"/>
    <n v="0"/>
    <n v="0"/>
    <n v="0"/>
    <n v="0"/>
    <n v="0"/>
    <n v="0"/>
    <n v="0"/>
    <n v="538.34"/>
    <n v="538.34"/>
    <n v="538.34"/>
    <n v="538.34"/>
    <n v="538.34"/>
    <n v="538.34"/>
  </r>
  <r>
    <x v="2"/>
    <s v="Bedroom"/>
    <n v="0"/>
    <n v="0"/>
    <n v="0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</r>
  <r>
    <x v="2"/>
    <s v="Bedroom"/>
    <n v="0"/>
    <n v="0"/>
    <n v="0"/>
    <n v="381.27"/>
    <n v="381.27"/>
    <n v="381.27"/>
    <n v="381.27"/>
    <n v="381.27"/>
    <n v="381.27"/>
    <n v="381.27"/>
    <n v="381.27"/>
    <n v="381.27"/>
    <n v="381.27"/>
    <n v="381.27"/>
    <n v="381.27"/>
    <n v="381.27"/>
    <n v="381.27"/>
  </r>
  <r>
    <x v="2"/>
    <s v="Bedroom"/>
    <n v="0"/>
    <n v="0"/>
    <n v="0"/>
    <n v="287.32749999999999"/>
    <n v="287.32749999999999"/>
    <n v="287.32749999999999"/>
    <n v="287.32749999999999"/>
    <n v="574.65499999999997"/>
    <n v="574.65499999999997"/>
    <n v="574.65499999999997"/>
    <n v="574.65499999999997"/>
    <n v="1149.31"/>
    <n v="1149.31"/>
    <n v="1149.31"/>
    <n v="1149.31"/>
    <n v="1149.31"/>
    <n v="1149.31"/>
  </r>
  <r>
    <x v="2"/>
    <s v="Bedroom"/>
    <n v="0"/>
    <n v="0"/>
    <n v="0"/>
    <n v="0"/>
    <n v="0"/>
    <n v="0"/>
    <n v="0"/>
    <n v="0"/>
    <n v="0"/>
    <n v="0"/>
    <n v="0"/>
    <n v="0"/>
    <n v="0"/>
    <n v="0"/>
    <n v="294.97000000000003"/>
    <n v="294.97000000000003"/>
    <n v="294.97000000000003"/>
  </r>
  <r>
    <x v="2"/>
    <s v="Bedroom"/>
    <n v="0"/>
    <n v="0"/>
    <n v="0"/>
    <n v="311.67"/>
    <n v="311.67"/>
    <n v="311.67"/>
    <n v="311.67"/>
    <n v="311.67"/>
    <n v="311.67"/>
    <n v="311.67"/>
    <n v="311.67"/>
    <n v="311.67"/>
    <n v="311.67"/>
    <n v="311.67"/>
    <n v="311.67"/>
    <n v="311.67"/>
    <n v="311.67"/>
  </r>
  <r>
    <x v="2"/>
    <s v="Bedroom"/>
    <n v="0"/>
    <n v="0"/>
    <n v="0"/>
    <n v="0"/>
    <n v="0"/>
    <n v="0"/>
    <n v="0"/>
    <n v="0"/>
    <n v="0"/>
    <n v="824.6"/>
    <n v="824.6"/>
    <n v="824.6"/>
    <n v="824.6"/>
    <n v="824.6"/>
    <n v="824.6"/>
    <n v="824.6"/>
    <n v="824.6"/>
  </r>
  <r>
    <x v="2"/>
    <s v="Bedroom"/>
    <n v="0"/>
    <n v="0"/>
    <n v="0"/>
    <n v="335.36"/>
    <n v="335.36"/>
    <n v="335.36"/>
    <n v="335.36"/>
    <n v="335.36"/>
    <n v="335.36"/>
    <n v="335.36"/>
    <n v="335.36"/>
    <n v="335.36"/>
    <n v="335.36"/>
    <n v="335.36"/>
    <n v="335.36"/>
    <n v="335.36"/>
    <n v="335.36"/>
  </r>
  <r>
    <x v="2"/>
    <s v="Bedroom"/>
    <n v="0"/>
    <n v="0"/>
    <n v="0"/>
    <n v="845.44"/>
    <n v="845.44"/>
    <n v="845.44"/>
    <n v="845.44"/>
    <n v="845.44"/>
    <n v="845.44"/>
    <n v="845.44"/>
    <n v="845.44"/>
    <n v="845.44"/>
    <n v="845.44"/>
    <n v="845.44"/>
    <n v="845.44"/>
    <n v="845.44"/>
    <n v="845.44"/>
  </r>
  <r>
    <x v="2"/>
    <s v="Bedroom"/>
    <n v="0"/>
    <n v="0"/>
    <n v="0"/>
    <n v="95.97"/>
    <n v="95.97"/>
    <n v="95.97"/>
    <n v="95.97"/>
    <n v="95.97"/>
    <n v="95.97"/>
    <n v="95.97"/>
    <n v="95.97"/>
    <n v="95.97"/>
    <n v="95.97"/>
    <n v="95.97"/>
    <n v="95.97"/>
    <n v="95.97"/>
    <n v="95.97"/>
  </r>
  <r>
    <x v="2"/>
    <s v="Bedroom"/>
    <n v="0"/>
    <n v="0"/>
    <n v="0"/>
    <n v="781.27"/>
    <n v="781.27"/>
    <n v="781.27"/>
    <n v="781.27"/>
    <n v="781.27"/>
    <n v="781.27"/>
    <n v="781.27"/>
    <n v="781.27"/>
    <n v="781.27"/>
    <n v="781.27"/>
    <n v="781.27"/>
    <n v="781.27"/>
    <n v="781.27"/>
    <n v="781.27"/>
  </r>
  <r>
    <x v="2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2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2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2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2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63.11"/>
    <n v="63.11"/>
    <n v="63.11"/>
    <n v="63.11"/>
    <n v="63.11"/>
    <n v="63.11"/>
  </r>
  <r>
    <x v="2"/>
    <s v="Bedroom"/>
    <n v="0"/>
    <n v="0"/>
    <n v="0"/>
    <n v="490.94"/>
    <n v="490.94"/>
    <n v="490.94"/>
    <n v="490.94"/>
    <n v="490.94"/>
    <n v="490.94"/>
    <n v="490.94"/>
    <n v="490.94"/>
    <n v="490.94"/>
    <n v="490.94"/>
    <n v="490.94"/>
    <n v="490.94"/>
    <n v="490.94"/>
    <n v="490.94"/>
  </r>
  <r>
    <x v="2"/>
    <s v="Bedroom"/>
    <n v="0"/>
    <n v="0"/>
    <n v="0"/>
    <n v="0"/>
    <n v="0"/>
    <n v="0"/>
    <n v="0"/>
    <n v="0"/>
    <n v="0"/>
    <n v="0"/>
    <n v="0"/>
    <n v="0"/>
    <n v="0"/>
    <n v="0"/>
    <n v="157.22"/>
    <n v="157.22"/>
    <n v="157.22"/>
  </r>
  <r>
    <x v="2"/>
    <s v="Bedroom"/>
    <n v="0"/>
    <n v="0"/>
    <n v="0"/>
    <n v="0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</r>
  <r>
    <x v="2"/>
    <s v="Bedroom"/>
    <n v="0"/>
    <n v="0"/>
    <n v="0"/>
    <n v="39.212499999999999"/>
    <n v="39.212499999999999"/>
    <n v="39.212499999999999"/>
    <n v="39.212499999999999"/>
    <n v="39.212499999999999"/>
    <n v="78.424999999999997"/>
    <n v="78.424999999999997"/>
    <n v="78.424999999999997"/>
    <n v="156.85"/>
    <n v="156.85"/>
    <n v="156.85"/>
    <n v="156.85"/>
    <n v="156.85"/>
    <n v="156.85"/>
  </r>
  <r>
    <x v="2"/>
    <s v="Bedroom"/>
    <n v="0"/>
    <n v="0"/>
    <n v="0"/>
    <n v="382.85250000000002"/>
    <n v="382.85250000000002"/>
    <n v="382.85250000000002"/>
    <n v="382.85250000000002"/>
    <n v="765.70500000000004"/>
    <n v="765.70500000000004"/>
    <n v="765.70500000000004"/>
    <n v="765.70500000000004"/>
    <n v="1531.41"/>
    <n v="1531.41"/>
    <n v="1531.41"/>
    <n v="1531.41"/>
    <n v="1531.41"/>
    <n v="1531.41"/>
  </r>
  <r>
    <x v="2"/>
    <s v="Bedroom"/>
    <n v="0"/>
    <n v="0"/>
    <n v="0"/>
    <n v="0"/>
    <n v="0"/>
    <n v="0"/>
    <n v="0"/>
    <n v="0"/>
    <n v="0"/>
    <n v="0"/>
    <n v="0"/>
    <n v="74.56"/>
    <n v="74.56"/>
    <n v="74.56"/>
    <n v="74.56"/>
    <n v="74.56"/>
    <n v="74.56"/>
  </r>
  <r>
    <x v="2"/>
    <s v="Bedroom"/>
    <n v="0"/>
    <n v="0"/>
    <n v="0"/>
    <n v="0"/>
    <n v="0"/>
    <n v="0"/>
    <n v="0"/>
    <n v="0"/>
    <n v="0"/>
    <n v="0"/>
    <n v="0"/>
    <n v="360.04"/>
    <n v="360.04"/>
    <n v="360.04"/>
    <n v="360.04"/>
    <n v="360.04"/>
    <n v="360.04"/>
  </r>
  <r>
    <x v="2"/>
    <s v="Bedroom"/>
    <n v="0"/>
    <n v="0"/>
    <n v="0"/>
    <n v="108.75"/>
    <n v="108.75"/>
    <n v="108.75"/>
    <n v="108.75"/>
    <n v="108.75"/>
    <n v="108.75"/>
    <n v="108.75"/>
    <n v="108.75"/>
    <n v="108.75"/>
    <n v="108.75"/>
    <n v="108.75"/>
    <n v="108.75"/>
    <n v="108.75"/>
    <n v="108.75"/>
  </r>
  <r>
    <x v="2"/>
    <s v="Bedroom"/>
    <n v="0"/>
    <n v="0"/>
    <n v="0"/>
    <n v="255"/>
    <n v="255"/>
    <n v="255"/>
    <n v="255"/>
    <n v="255"/>
    <n v="255"/>
    <n v="255"/>
    <n v="255"/>
    <n v="255"/>
    <n v="255"/>
    <n v="255"/>
    <n v="255"/>
    <n v="255"/>
    <n v="255"/>
  </r>
  <r>
    <x v="2"/>
    <s v="Bedroom"/>
    <n v="0"/>
    <n v="0"/>
    <n v="0"/>
    <n v="129.065"/>
    <n v="129.065"/>
    <n v="129.065"/>
    <n v="129.065"/>
    <n v="258.13"/>
    <n v="258.13"/>
    <n v="258.13"/>
    <n v="258.13"/>
    <n v="516.26"/>
    <n v="516.26"/>
    <n v="516.26"/>
    <n v="516.26"/>
    <n v="516.26"/>
    <n v="516.26"/>
  </r>
  <r>
    <x v="2"/>
    <s v="Bedroom"/>
    <n v="0"/>
    <n v="0"/>
    <n v="0"/>
    <n v="0"/>
    <n v="0"/>
    <n v="0"/>
    <n v="0"/>
    <n v="0"/>
    <n v="0"/>
    <n v="0"/>
    <n v="0"/>
    <n v="0"/>
    <n v="0"/>
    <n v="0"/>
    <n v="132.5"/>
    <n v="132.5"/>
    <n v="132.5"/>
  </r>
  <r>
    <x v="2"/>
    <s v="Bedroom"/>
    <n v="0"/>
    <n v="0"/>
    <n v="0"/>
    <n v="140.01"/>
    <n v="140.01"/>
    <n v="140.01"/>
    <n v="140.01"/>
    <n v="140.01"/>
    <n v="140.01"/>
    <n v="140.01"/>
    <n v="140.01"/>
    <n v="140.01"/>
    <n v="140.01"/>
    <n v="140.01"/>
    <n v="140.01"/>
    <n v="140.01"/>
    <n v="140.01"/>
  </r>
  <r>
    <x v="2"/>
    <s v="Bedroom"/>
    <n v="0"/>
    <n v="0"/>
    <n v="0"/>
    <n v="0"/>
    <n v="0"/>
    <n v="0"/>
    <n v="0"/>
    <n v="0"/>
    <n v="0"/>
    <n v="370.31"/>
    <n v="370.31"/>
    <n v="370.31"/>
    <n v="370.31"/>
    <n v="370.31"/>
    <n v="370.31"/>
    <n v="370.31"/>
    <n v="370.31"/>
  </r>
  <r>
    <x v="2"/>
    <s v="Bedroom"/>
    <n v="0"/>
    <n v="0"/>
    <n v="0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</r>
  <r>
    <x v="2"/>
    <s v="Bedroom"/>
    <n v="0"/>
    <n v="0"/>
    <n v="0"/>
    <n v="379.81"/>
    <n v="379.81"/>
    <n v="379.81"/>
    <n v="379.81"/>
    <n v="379.81"/>
    <n v="379.81"/>
    <n v="379.81"/>
    <n v="379.81"/>
    <n v="379.81"/>
    <n v="379.81"/>
    <n v="379.81"/>
    <n v="379.81"/>
    <n v="379.81"/>
    <n v="379.81"/>
  </r>
  <r>
    <x v="2"/>
    <s v="Bedroom"/>
    <n v="0"/>
    <n v="0"/>
    <n v="0"/>
    <n v="43.1"/>
    <n v="43.1"/>
    <n v="43.1"/>
    <n v="43.1"/>
    <n v="43.1"/>
    <n v="43.1"/>
    <n v="43.1"/>
    <n v="43.1"/>
    <n v="43.1"/>
    <n v="43.1"/>
    <n v="43.1"/>
    <n v="43.1"/>
    <n v="43.1"/>
    <n v="43.1"/>
  </r>
  <r>
    <x v="2"/>
    <s v="Bedroom"/>
    <n v="0"/>
    <n v="0"/>
    <n v="0"/>
    <n v="350.97"/>
    <n v="350.97"/>
    <n v="350.97"/>
    <n v="350.97"/>
    <n v="350.97"/>
    <n v="350.97"/>
    <n v="350.97"/>
    <n v="350.97"/>
    <n v="350.97"/>
    <n v="350.97"/>
    <n v="350.97"/>
    <n v="350.97"/>
    <n v="350.97"/>
    <n v="350.97"/>
  </r>
  <r>
    <x v="2"/>
    <s v="Nook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Nook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Nook"/>
    <n v="0"/>
    <n v="0"/>
    <n v="0"/>
    <n v="0"/>
    <n v="0"/>
    <n v="0"/>
    <n v="0"/>
    <n v="0"/>
    <n v="0"/>
    <n v="0"/>
    <n v="0"/>
    <n v="63.11"/>
    <n v="63.11"/>
    <n v="63.11"/>
    <n v="63.11"/>
    <n v="63.11"/>
    <n v="63.11"/>
  </r>
  <r>
    <x v="2"/>
    <s v="Nook"/>
    <n v="0"/>
    <n v="0"/>
    <n v="0"/>
    <n v="490.94"/>
    <n v="490.94"/>
    <n v="490.94"/>
    <n v="490.94"/>
    <n v="490.94"/>
    <n v="490.94"/>
    <n v="490.94"/>
    <n v="490.94"/>
    <n v="490.94"/>
    <n v="490.94"/>
    <n v="490.94"/>
    <n v="490.94"/>
    <n v="490.94"/>
    <n v="490.94"/>
  </r>
  <r>
    <x v="2"/>
    <s v="Nook"/>
    <n v="0"/>
    <n v="0"/>
    <n v="0"/>
    <n v="0"/>
    <n v="0"/>
    <n v="0"/>
    <n v="0"/>
    <n v="0"/>
    <n v="0"/>
    <n v="0"/>
    <n v="0"/>
    <n v="0"/>
    <n v="0"/>
    <n v="0"/>
    <n v="157.22"/>
    <n v="157.22"/>
    <n v="157.22"/>
  </r>
  <r>
    <x v="2"/>
    <s v="Nook"/>
    <n v="0"/>
    <n v="0"/>
    <n v="0"/>
    <n v="0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  <n v="300.35000000000002"/>
  </r>
  <r>
    <x v="2"/>
    <s v="Nook"/>
    <n v="0"/>
    <n v="0"/>
    <n v="0"/>
    <n v="39.212499999999999"/>
    <n v="39.212499999999999"/>
    <n v="39.212499999999999"/>
    <n v="39.212499999999999"/>
    <n v="39.212499999999999"/>
    <n v="78.424999999999997"/>
    <n v="78.424999999999997"/>
    <n v="78.424999999999997"/>
    <n v="156.85"/>
    <n v="156.85"/>
    <n v="156.85"/>
    <n v="156.85"/>
    <n v="156.85"/>
    <n v="156.85"/>
  </r>
  <r>
    <x v="2"/>
    <s v="Nook"/>
    <n v="0"/>
    <n v="0"/>
    <n v="0"/>
    <n v="382.85250000000002"/>
    <n v="382.85250000000002"/>
    <n v="382.85250000000002"/>
    <n v="382.85250000000002"/>
    <n v="765.70500000000004"/>
    <n v="765.70500000000004"/>
    <n v="765.70500000000004"/>
    <n v="765.70500000000004"/>
    <n v="1531.41"/>
    <n v="1531.41"/>
    <n v="1531.41"/>
    <n v="1531.41"/>
    <n v="1531.41"/>
    <n v="1531.41"/>
  </r>
  <r>
    <x v="2"/>
    <s v="Nook"/>
    <n v="0"/>
    <n v="0"/>
    <n v="0"/>
    <n v="0"/>
    <n v="0"/>
    <n v="0"/>
    <n v="0"/>
    <n v="0"/>
    <n v="0"/>
    <n v="0"/>
    <n v="0"/>
    <n v="74.56"/>
    <n v="74.56"/>
    <n v="74.56"/>
    <n v="74.56"/>
    <n v="74.56"/>
    <n v="74.56"/>
  </r>
  <r>
    <x v="2"/>
    <s v="Nook"/>
    <n v="0"/>
    <n v="0"/>
    <n v="0"/>
    <n v="0"/>
    <n v="0"/>
    <n v="0"/>
    <n v="0"/>
    <n v="0"/>
    <n v="0"/>
    <n v="0"/>
    <n v="0"/>
    <n v="360.04"/>
    <n v="360.04"/>
    <n v="360.04"/>
    <n v="360.04"/>
    <n v="360.04"/>
    <n v="360.04"/>
  </r>
  <r>
    <x v="2"/>
    <s v="Nook"/>
    <n v="0"/>
    <n v="0"/>
    <n v="0"/>
    <n v="108.75"/>
    <n v="108.75"/>
    <n v="108.75"/>
    <n v="108.75"/>
    <n v="108.75"/>
    <n v="108.75"/>
    <n v="108.75"/>
    <n v="108.75"/>
    <n v="108.75"/>
    <n v="108.75"/>
    <n v="108.75"/>
    <n v="108.75"/>
    <n v="108.75"/>
    <n v="108.75"/>
  </r>
  <r>
    <x v="2"/>
    <s v="Nook"/>
    <n v="0"/>
    <n v="0"/>
    <n v="0"/>
    <n v="255"/>
    <n v="255"/>
    <n v="255"/>
    <n v="255"/>
    <n v="255"/>
    <n v="255"/>
    <n v="255"/>
    <n v="255"/>
    <n v="255"/>
    <n v="255"/>
    <n v="255"/>
    <n v="255"/>
    <n v="255"/>
    <n v="255"/>
  </r>
  <r>
    <x v="2"/>
    <s v="Nook"/>
    <n v="0"/>
    <n v="0"/>
    <n v="0"/>
    <n v="129.065"/>
    <n v="129.065"/>
    <n v="129.065"/>
    <n v="129.065"/>
    <n v="258.13"/>
    <n v="258.13"/>
    <n v="258.13"/>
    <n v="258.13"/>
    <n v="516.26"/>
    <n v="516.26"/>
    <n v="516.26"/>
    <n v="516.26"/>
    <n v="516.26"/>
    <n v="516.26"/>
  </r>
  <r>
    <x v="2"/>
    <s v="Nook"/>
    <n v="0"/>
    <n v="0"/>
    <n v="0"/>
    <n v="0"/>
    <n v="0"/>
    <n v="0"/>
    <n v="0"/>
    <n v="0"/>
    <n v="0"/>
    <n v="0"/>
    <n v="0"/>
    <n v="0"/>
    <n v="0"/>
    <n v="0"/>
    <n v="132.5"/>
    <n v="132.5"/>
    <n v="132.5"/>
  </r>
  <r>
    <x v="2"/>
    <s v="Nook"/>
    <n v="0"/>
    <n v="0"/>
    <n v="0"/>
    <n v="140.01"/>
    <n v="140.01"/>
    <n v="140.01"/>
    <n v="140.01"/>
    <n v="140.01"/>
    <n v="140.01"/>
    <n v="140.01"/>
    <n v="140.01"/>
    <n v="140.01"/>
    <n v="140.01"/>
    <n v="140.01"/>
    <n v="140.01"/>
    <n v="140.01"/>
    <n v="140.01"/>
  </r>
  <r>
    <x v="2"/>
    <s v="Nook"/>
    <n v="0"/>
    <n v="0"/>
    <n v="0"/>
    <n v="0"/>
    <n v="0"/>
    <n v="0"/>
    <n v="0"/>
    <n v="0"/>
    <n v="0"/>
    <n v="370.31"/>
    <n v="370.31"/>
    <n v="370.31"/>
    <n v="370.31"/>
    <n v="370.31"/>
    <n v="370.31"/>
    <n v="370.31"/>
    <n v="370.31"/>
  </r>
  <r>
    <x v="2"/>
    <s v="Nook"/>
    <n v="0"/>
    <n v="0"/>
    <n v="0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  <n v="150.63999999999999"/>
  </r>
  <r>
    <x v="2"/>
    <s v="Nook"/>
    <n v="0"/>
    <n v="0"/>
    <n v="0"/>
    <n v="379.81"/>
    <n v="379.81"/>
    <n v="379.81"/>
    <n v="379.81"/>
    <n v="379.81"/>
    <n v="379.81"/>
    <n v="379.81"/>
    <n v="379.81"/>
    <n v="379.81"/>
    <n v="379.81"/>
    <n v="379.81"/>
    <n v="379.81"/>
    <n v="379.81"/>
    <n v="379.81"/>
  </r>
  <r>
    <x v="2"/>
    <s v="Nook"/>
    <n v="0"/>
    <n v="0"/>
    <n v="0"/>
    <n v="43.1"/>
    <n v="43.1"/>
    <n v="43.1"/>
    <n v="43.1"/>
    <n v="43.1"/>
    <n v="43.1"/>
    <n v="43.1"/>
    <n v="43.1"/>
    <n v="43.1"/>
    <n v="43.1"/>
    <n v="43.1"/>
    <n v="43.1"/>
    <n v="43.1"/>
    <n v="43.1"/>
  </r>
  <r>
    <x v="2"/>
    <s v="Nook"/>
    <n v="0"/>
    <n v="0"/>
    <n v="0"/>
    <n v="350.97"/>
    <n v="350.97"/>
    <n v="350.97"/>
    <n v="350.97"/>
    <n v="350.97"/>
    <n v="350.97"/>
    <n v="350.97"/>
    <n v="350.97"/>
    <n v="350.97"/>
    <n v="350.97"/>
    <n v="350.97"/>
    <n v="350.97"/>
    <n v="350.97"/>
    <n v="350.97"/>
  </r>
  <r>
    <x v="2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iving Area"/>
    <n v="0"/>
    <n v="0"/>
    <n v="0"/>
    <n v="0"/>
    <n v="0"/>
    <n v="0"/>
    <n v="0"/>
    <n v="0"/>
    <n v="0"/>
    <n v="0"/>
    <n v="0"/>
    <n v="107.23"/>
    <n v="107.23"/>
    <n v="107.23"/>
    <n v="107.23"/>
    <n v="107.23"/>
    <n v="107.23"/>
  </r>
  <r>
    <x v="2"/>
    <s v="Living Area"/>
    <n v="0"/>
    <n v="0"/>
    <n v="0"/>
    <n v="834.12"/>
    <n v="834.12"/>
    <n v="834.12"/>
    <n v="834.12"/>
    <n v="834.12"/>
    <n v="834.12"/>
    <n v="834.12"/>
    <n v="834.12"/>
    <n v="834.12"/>
    <n v="834.12"/>
    <n v="834.12"/>
    <n v="834.12"/>
    <n v="834.12"/>
    <n v="834.12"/>
  </r>
  <r>
    <x v="2"/>
    <s v="Living Area"/>
    <n v="0"/>
    <n v="0"/>
    <n v="0"/>
    <n v="0"/>
    <n v="0"/>
    <n v="0"/>
    <n v="0"/>
    <n v="0"/>
    <n v="0"/>
    <n v="0"/>
    <n v="0"/>
    <n v="0"/>
    <n v="0"/>
    <n v="0"/>
    <n v="267.12"/>
    <n v="267.12"/>
    <n v="267.12"/>
  </r>
  <r>
    <x v="2"/>
    <s v="Living Area"/>
    <n v="0"/>
    <n v="0"/>
    <n v="0"/>
    <n v="0"/>
    <n v="510.31"/>
    <n v="510.31"/>
    <n v="510.31"/>
    <n v="510.31"/>
    <n v="510.31"/>
    <n v="510.31"/>
    <n v="510.31"/>
    <n v="510.31"/>
    <n v="510.31"/>
    <n v="510.31"/>
    <n v="510.31"/>
    <n v="510.31"/>
    <n v="510.31"/>
  </r>
  <r>
    <x v="2"/>
    <s v="Living Area"/>
    <n v="0"/>
    <n v="0"/>
    <n v="0"/>
    <n v="66.625"/>
    <n v="66.625"/>
    <n v="66.625"/>
    <n v="66.625"/>
    <n v="66.625"/>
    <n v="133.25"/>
    <n v="133.25"/>
    <n v="133.25"/>
    <n v="266.5"/>
    <n v="266.5"/>
    <n v="266.5"/>
    <n v="266.5"/>
    <n v="266.5"/>
    <n v="266.5"/>
  </r>
  <r>
    <x v="2"/>
    <s v="Living Area"/>
    <n v="0"/>
    <n v="0"/>
    <n v="0"/>
    <n v="650.47749999999996"/>
    <n v="650.47749999999996"/>
    <n v="650.47749999999996"/>
    <n v="650.47749999999996"/>
    <n v="1300.9549999999999"/>
    <n v="1300.9549999999999"/>
    <n v="1300.9549999999999"/>
    <n v="1300.9549999999999"/>
    <n v="2601.91"/>
    <n v="2601.91"/>
    <n v="2601.91"/>
    <n v="2601.91"/>
    <n v="2601.91"/>
    <n v="2601.91"/>
  </r>
  <r>
    <x v="2"/>
    <s v="Living Area"/>
    <n v="0"/>
    <n v="0"/>
    <n v="0"/>
    <n v="0"/>
    <n v="0"/>
    <n v="0"/>
    <n v="0"/>
    <n v="0"/>
    <n v="0"/>
    <n v="0"/>
    <n v="0"/>
    <n v="179.05"/>
    <n v="179.05"/>
    <n v="179.05"/>
    <n v="179.05"/>
    <n v="179.05"/>
    <n v="179.05"/>
  </r>
  <r>
    <x v="2"/>
    <s v="Living Area"/>
    <n v="0"/>
    <n v="0"/>
    <n v="0"/>
    <n v="0"/>
    <n v="0"/>
    <n v="0"/>
    <n v="0"/>
    <n v="0"/>
    <n v="0"/>
    <n v="0"/>
    <n v="0"/>
    <n v="652.12"/>
    <n v="652.12"/>
    <n v="652.12"/>
    <n v="652.12"/>
    <n v="652.12"/>
    <n v="652.12"/>
  </r>
  <r>
    <x v="2"/>
    <s v="Living Area"/>
    <n v="0"/>
    <n v="0"/>
    <n v="0"/>
    <n v="0"/>
    <n v="0"/>
    <n v="0"/>
    <n v="0"/>
    <n v="0"/>
    <n v="0"/>
    <n v="0"/>
    <n v="0"/>
    <n v="126.7"/>
    <n v="126.7"/>
    <n v="126.7"/>
    <n v="126.7"/>
    <n v="126.7"/>
    <n v="126.7"/>
  </r>
  <r>
    <x v="2"/>
    <s v="Living Area"/>
    <n v="0"/>
    <n v="0"/>
    <n v="0"/>
    <n v="0"/>
    <n v="0"/>
    <n v="0"/>
    <n v="0"/>
    <n v="0"/>
    <n v="0"/>
    <n v="0"/>
    <n v="0"/>
    <n v="611.76"/>
    <n v="611.76"/>
    <n v="611.76"/>
    <n v="611.76"/>
    <n v="611.76"/>
    <n v="611.76"/>
  </r>
  <r>
    <x v="2"/>
    <s v="Living Area"/>
    <n v="0"/>
    <n v="0"/>
    <n v="0"/>
    <n v="184.79"/>
    <n v="184.79"/>
    <n v="184.79"/>
    <n v="184.79"/>
    <n v="184.79"/>
    <n v="184.79"/>
    <n v="184.79"/>
    <n v="184.79"/>
    <n v="184.79"/>
    <n v="184.79"/>
    <n v="184.79"/>
    <n v="184.79"/>
    <n v="184.79"/>
    <n v="184.79"/>
  </r>
  <r>
    <x v="2"/>
    <s v="Living Area"/>
    <n v="0"/>
    <n v="0"/>
    <n v="0"/>
    <n v="433.28"/>
    <n v="433.28"/>
    <n v="433.28"/>
    <n v="433.28"/>
    <n v="433.28"/>
    <n v="433.28"/>
    <n v="433.28"/>
    <n v="433.28"/>
    <n v="433.28"/>
    <n v="433.28"/>
    <n v="433.28"/>
    <n v="433.28"/>
    <n v="433.28"/>
    <n v="433.28"/>
  </r>
  <r>
    <x v="2"/>
    <s v="Living Area"/>
    <n v="0"/>
    <n v="0"/>
    <n v="0"/>
    <n v="360.89749999999998"/>
    <n v="360.89749999999998"/>
    <n v="360.89749999999998"/>
    <n v="360.89749999999998"/>
    <n v="721.79499999999996"/>
    <n v="721.79499999999996"/>
    <n v="721.79499999999996"/>
    <n v="721.79499999999996"/>
    <n v="1443.59"/>
    <n v="1443.59"/>
    <n v="1443.59"/>
    <n v="1443.59"/>
    <n v="1443.59"/>
    <n v="1443.59"/>
  </r>
  <r>
    <x v="2"/>
    <s v="Living Area"/>
    <n v="0"/>
    <n v="0"/>
    <n v="0"/>
    <n v="0"/>
    <n v="0"/>
    <n v="0"/>
    <n v="0"/>
    <n v="0"/>
    <n v="0"/>
    <n v="0"/>
    <n v="0"/>
    <n v="0"/>
    <n v="0"/>
    <n v="0"/>
    <n v="370.52"/>
    <n v="370.52"/>
    <n v="370.52"/>
  </r>
  <r>
    <x v="2"/>
    <s v="Living Area"/>
    <n v="0"/>
    <n v="0"/>
    <n v="0"/>
    <n v="391.47"/>
    <n v="391.47"/>
    <n v="391.47"/>
    <n v="391.47"/>
    <n v="391.47"/>
    <n v="391.47"/>
    <n v="391.47"/>
    <n v="391.47"/>
    <n v="391.47"/>
    <n v="391.47"/>
    <n v="391.47"/>
    <n v="391.47"/>
    <n v="391.47"/>
    <n v="391.47"/>
  </r>
  <r>
    <x v="2"/>
    <s v="Living Area"/>
    <n v="0"/>
    <n v="0"/>
    <n v="0"/>
    <n v="0"/>
    <n v="0"/>
    <n v="0"/>
    <n v="0"/>
    <n v="0"/>
    <n v="0"/>
    <n v="1035.76"/>
    <n v="1035.76"/>
    <n v="1035.76"/>
    <n v="1035.76"/>
    <n v="1035.76"/>
    <n v="1035.76"/>
    <n v="1035.76"/>
    <n v="1035.76"/>
  </r>
  <r>
    <x v="2"/>
    <s v="Living Area"/>
    <n v="0"/>
    <n v="0"/>
    <n v="0"/>
    <n v="421.22"/>
    <n v="421.22"/>
    <n v="421.22"/>
    <n v="421.22"/>
    <n v="421.22"/>
    <n v="421.22"/>
    <n v="421.22"/>
    <n v="421.22"/>
    <n v="421.22"/>
    <n v="421.22"/>
    <n v="421.22"/>
    <n v="421.22"/>
    <n v="421.22"/>
    <n v="421.22"/>
  </r>
  <r>
    <x v="2"/>
    <s v="Living Area"/>
    <n v="0"/>
    <n v="0"/>
    <n v="0"/>
    <n v="1061.98"/>
    <n v="1061.98"/>
    <n v="1061.98"/>
    <n v="1061.98"/>
    <n v="1061.98"/>
    <n v="1061.98"/>
    <n v="1061.98"/>
    <n v="1061.98"/>
    <n v="1061.98"/>
    <n v="1061.98"/>
    <n v="1061.98"/>
    <n v="1061.98"/>
    <n v="1061.98"/>
    <n v="1061.98"/>
  </r>
  <r>
    <x v="2"/>
    <s v="Living Area"/>
    <n v="0"/>
    <n v="0"/>
    <n v="0"/>
    <n v="120.55"/>
    <n v="120.55"/>
    <n v="120.55"/>
    <n v="120.55"/>
    <n v="120.55"/>
    <n v="120.55"/>
    <n v="120.55"/>
    <n v="120.55"/>
    <n v="120.55"/>
    <n v="120.55"/>
    <n v="120.55"/>
    <n v="120.55"/>
    <n v="120.55"/>
    <n v="120.55"/>
  </r>
  <r>
    <x v="2"/>
    <s v="Living Area"/>
    <n v="0"/>
    <n v="0"/>
    <n v="0"/>
    <n v="981.34"/>
    <n v="981.34"/>
    <n v="981.34"/>
    <n v="981.34"/>
    <n v="981.34"/>
    <n v="981.34"/>
    <n v="981.34"/>
    <n v="981.34"/>
    <n v="981.34"/>
    <n v="981.34"/>
    <n v="981.34"/>
    <n v="981.34"/>
    <n v="981.34"/>
    <n v="981.34"/>
  </r>
  <r>
    <x v="2"/>
    <s v="general-main"/>
    <n v="0"/>
    <n v="0"/>
    <n v="0"/>
    <n v="0"/>
    <n v="548.73"/>
    <n v="548.73"/>
    <n v="548.73"/>
    <n v="548.73"/>
    <n v="548.73"/>
    <n v="548.73"/>
    <n v="548.73"/>
    <n v="548.73"/>
    <n v="548.73"/>
    <n v="548.73"/>
    <n v="548.73"/>
    <n v="548.73"/>
    <n v="548.73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x v="2"/>
    <s v="Hallway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2"/>
    <s v="Hallway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x v="2"/>
    <s v="Hallway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Hallway"/>
    <n v="0"/>
    <n v="0"/>
    <n v="0"/>
    <n v="0"/>
    <n v="0"/>
    <n v="0"/>
    <n v="0"/>
    <n v="0"/>
    <n v="0"/>
    <n v="0"/>
    <n v="0"/>
    <n v="66.19"/>
    <n v="66.19"/>
    <n v="66.19"/>
    <n v="66.19"/>
    <n v="66.19"/>
    <n v="66.19"/>
  </r>
  <r>
    <x v="2"/>
    <s v="Hallway"/>
    <n v="0"/>
    <n v="0"/>
    <n v="0"/>
    <n v="514.78"/>
    <n v="514.78"/>
    <n v="514.78"/>
    <n v="514.78"/>
    <n v="514.78"/>
    <n v="514.78"/>
    <n v="514.78"/>
    <n v="514.78"/>
    <n v="514.78"/>
    <n v="514.78"/>
    <n v="514.78"/>
    <n v="514.78"/>
    <n v="514.78"/>
    <n v="514.78"/>
  </r>
  <r>
    <x v="2"/>
    <s v="Hallway"/>
    <n v="0"/>
    <n v="0"/>
    <n v="0"/>
    <n v="0"/>
    <n v="0"/>
    <n v="0"/>
    <n v="0"/>
    <n v="0"/>
    <n v="0"/>
    <n v="0"/>
    <n v="0"/>
    <n v="0"/>
    <n v="0"/>
    <n v="0"/>
    <n v="164.86"/>
    <n v="164.86"/>
    <n v="164.86"/>
  </r>
  <r>
    <x v="2"/>
    <s v="Hallway"/>
    <n v="0"/>
    <n v="0"/>
    <n v="0"/>
    <n v="0"/>
    <n v="314.92"/>
    <n v="314.92"/>
    <n v="314.92"/>
    <n v="314.92"/>
    <n v="314.92"/>
    <n v="314.92"/>
    <n v="314.92"/>
    <n v="314.92"/>
    <n v="314.92"/>
    <n v="314.92"/>
    <n v="314.92"/>
    <n v="314.92"/>
    <n v="314.92"/>
  </r>
  <r>
    <x v="2"/>
    <s v="Hallway"/>
    <n v="0"/>
    <n v="0"/>
    <n v="0"/>
    <n v="41.1175"/>
    <n v="41.1175"/>
    <n v="41.1175"/>
    <n v="41.1175"/>
    <n v="41.1175"/>
    <n v="82.234999999999999"/>
    <n v="82.234999999999999"/>
    <n v="82.234999999999999"/>
    <n v="164.47"/>
    <n v="164.47"/>
    <n v="164.47"/>
    <n v="164.47"/>
    <n v="164.47"/>
    <n v="164.47"/>
  </r>
  <r>
    <x v="2"/>
    <s v="Hallway"/>
    <n v="0"/>
    <n v="0"/>
    <n v="0"/>
    <n v="401.435"/>
    <n v="401.435"/>
    <n v="401.435"/>
    <n v="401.435"/>
    <n v="802.87"/>
    <n v="802.87"/>
    <n v="802.87"/>
    <n v="802.87"/>
    <n v="1605.74"/>
    <n v="1605.74"/>
    <n v="1605.74"/>
    <n v="1605.74"/>
    <n v="1605.74"/>
    <n v="1605.74"/>
  </r>
  <r>
    <x v="2"/>
    <s v="Hallway"/>
    <n v="0"/>
    <n v="0"/>
    <n v="0"/>
    <n v="0"/>
    <n v="0"/>
    <n v="0"/>
    <n v="0"/>
    <n v="0"/>
    <n v="0"/>
    <n v="0"/>
    <n v="0"/>
    <n v="78.2"/>
    <n v="78.2"/>
    <n v="78.2"/>
    <n v="78.2"/>
    <n v="78.2"/>
    <n v="78.2"/>
  </r>
  <r>
    <x v="2"/>
    <s v="Hallway"/>
    <n v="0"/>
    <n v="0"/>
    <n v="0"/>
    <n v="0"/>
    <n v="0"/>
    <n v="0"/>
    <n v="0"/>
    <n v="0"/>
    <n v="0"/>
    <n v="0"/>
    <n v="0"/>
    <n v="377.56"/>
    <n v="377.56"/>
    <n v="377.56"/>
    <n v="377.56"/>
    <n v="377.56"/>
    <n v="377.56"/>
  </r>
  <r>
    <x v="2"/>
    <s v="Hallway"/>
    <n v="0"/>
    <n v="0"/>
    <n v="0"/>
    <n v="114.04"/>
    <n v="114.04"/>
    <n v="114.04"/>
    <n v="114.04"/>
    <n v="114.04"/>
    <n v="114.04"/>
    <n v="114.04"/>
    <n v="114.04"/>
    <n v="114.04"/>
    <n v="114.04"/>
    <n v="114.04"/>
    <n v="114.04"/>
    <n v="114.04"/>
    <n v="114.04"/>
  </r>
  <r>
    <x v="2"/>
    <s v="Hallway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x v="2"/>
    <s v="Hallway"/>
    <n v="0"/>
    <n v="0"/>
    <n v="0"/>
    <n v="82.16"/>
    <n v="82.16"/>
    <n v="82.16"/>
    <n v="82.16"/>
    <n v="164.32"/>
    <n v="164.32"/>
    <n v="164.32"/>
    <n v="164.32"/>
    <n v="328.64"/>
    <n v="328.64"/>
    <n v="328.64"/>
    <n v="328.64"/>
    <n v="328.64"/>
    <n v="328.64"/>
  </r>
  <r>
    <x v="2"/>
    <s v="Hallway"/>
    <n v="0"/>
    <n v="0"/>
    <n v="0"/>
    <n v="0"/>
    <n v="0"/>
    <n v="0"/>
    <n v="0"/>
    <n v="0"/>
    <n v="0"/>
    <n v="0"/>
    <n v="0"/>
    <n v="0"/>
    <n v="0"/>
    <n v="0"/>
    <n v="84.35"/>
    <n v="84.35"/>
    <n v="84.35"/>
  </r>
  <r>
    <x v="2"/>
    <s v="Hallway"/>
    <n v="0"/>
    <n v="0"/>
    <n v="0"/>
    <n v="89.13"/>
    <n v="89.13"/>
    <n v="89.13"/>
    <n v="89.13"/>
    <n v="89.13"/>
    <n v="89.13"/>
    <n v="89.13"/>
    <n v="89.13"/>
    <n v="89.13"/>
    <n v="89.13"/>
    <n v="89.13"/>
    <n v="89.13"/>
    <n v="89.13"/>
    <n v="89.13"/>
  </r>
  <r>
    <x v="2"/>
    <s v="Hallway"/>
    <n v="0"/>
    <n v="0"/>
    <n v="0"/>
    <n v="0"/>
    <n v="0"/>
    <n v="0"/>
    <n v="0"/>
    <n v="0"/>
    <n v="0"/>
    <n v="333.36"/>
    <n v="333.36"/>
    <n v="333.36"/>
    <n v="333.36"/>
    <n v="333.36"/>
    <n v="333.36"/>
    <n v="333.36"/>
    <n v="333.36"/>
  </r>
  <r>
    <x v="2"/>
    <s v="Hallway"/>
    <n v="0"/>
    <n v="0"/>
    <n v="0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  <n v="135.58000000000001"/>
  </r>
  <r>
    <x v="2"/>
    <s v="Hallway"/>
    <n v="0"/>
    <n v="0"/>
    <n v="0"/>
    <n v="341.78"/>
    <n v="341.78"/>
    <n v="341.78"/>
    <n v="341.78"/>
    <n v="341.78"/>
    <n v="341.78"/>
    <n v="341.78"/>
    <n v="341.78"/>
    <n v="341.78"/>
    <n v="341.78"/>
    <n v="341.78"/>
    <n v="341.78"/>
    <n v="341.78"/>
    <n v="341.78"/>
  </r>
  <r>
    <x v="2"/>
    <s v="Hallway"/>
    <n v="0"/>
    <n v="0"/>
    <n v="0"/>
    <n v="38.79"/>
    <n v="38.79"/>
    <n v="38.79"/>
    <n v="38.79"/>
    <n v="38.79"/>
    <n v="38.79"/>
    <n v="38.79"/>
    <n v="38.79"/>
    <n v="38.79"/>
    <n v="38.79"/>
    <n v="38.79"/>
    <n v="38.79"/>
    <n v="38.79"/>
    <n v="38.79"/>
  </r>
  <r>
    <x v="2"/>
    <s v="Hallway"/>
    <n v="0"/>
    <n v="0"/>
    <n v="0"/>
    <n v="315.86"/>
    <n v="315.86"/>
    <n v="315.86"/>
    <n v="315.86"/>
    <n v="315.86"/>
    <n v="315.86"/>
    <n v="315.86"/>
    <n v="315.86"/>
    <n v="315.86"/>
    <n v="315.86"/>
    <n v="315.86"/>
    <n v="315.86"/>
    <n v="315.86"/>
    <n v="315.86"/>
  </r>
  <r>
    <x v="2"/>
    <s v="Dining 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Dining Room"/>
    <n v="0"/>
    <n v="0"/>
    <n v="0"/>
    <n v="0"/>
    <n v="0"/>
    <n v="0"/>
    <n v="0"/>
    <n v="0"/>
    <n v="0"/>
    <n v="0"/>
    <n v="0"/>
    <n v="94.35"/>
    <n v="94.35"/>
    <n v="94.35"/>
    <n v="94.35"/>
    <n v="94.35"/>
    <n v="94.35"/>
  </r>
  <r>
    <x v="2"/>
    <s v="Dining Room"/>
    <n v="0"/>
    <n v="0"/>
    <n v="0"/>
    <n v="734.03"/>
    <n v="734.03"/>
    <n v="734.03"/>
    <n v="734.03"/>
    <n v="734.03"/>
    <n v="734.03"/>
    <n v="734.03"/>
    <n v="734.03"/>
    <n v="734.03"/>
    <n v="734.03"/>
    <n v="734.03"/>
    <n v="734.03"/>
    <n v="734.03"/>
    <n v="734.03"/>
  </r>
  <r>
    <x v="2"/>
    <s v="Dining Room"/>
    <n v="0"/>
    <n v="0"/>
    <n v="0"/>
    <n v="0"/>
    <n v="0"/>
    <n v="0"/>
    <n v="0"/>
    <n v="0"/>
    <n v="0"/>
    <n v="0"/>
    <n v="0"/>
    <n v="0"/>
    <n v="0"/>
    <n v="0"/>
    <n v="235.07"/>
    <n v="235.07"/>
    <n v="235.07"/>
  </r>
  <r>
    <x v="2"/>
    <s v="Dining Room"/>
    <n v="0"/>
    <n v="0"/>
    <n v="0"/>
    <n v="0"/>
    <n v="449.06"/>
    <n v="449.06"/>
    <n v="449.06"/>
    <n v="449.06"/>
    <n v="449.06"/>
    <n v="449.06"/>
    <n v="449.06"/>
    <n v="449.06"/>
    <n v="449.06"/>
    <n v="449.06"/>
    <n v="449.06"/>
    <n v="449.06"/>
    <n v="449.06"/>
  </r>
  <r>
    <x v="2"/>
    <s v="Dining Room"/>
    <n v="0"/>
    <n v="0"/>
    <n v="0"/>
    <n v="58.627499999999998"/>
    <n v="58.627499999999998"/>
    <n v="58.627499999999998"/>
    <n v="58.627499999999998"/>
    <n v="58.627499999999998"/>
    <n v="117.255"/>
    <n v="117.255"/>
    <n v="117.255"/>
    <n v="234.51"/>
    <n v="234.51"/>
    <n v="234.51"/>
    <n v="234.51"/>
    <n v="234.51"/>
    <n v="234.51"/>
  </r>
  <r>
    <x v="2"/>
    <s v="Dining Room"/>
    <n v="0"/>
    <n v="0"/>
    <n v="0"/>
    <n v="572.41999999999996"/>
    <n v="572.41999999999996"/>
    <n v="572.41999999999996"/>
    <n v="572.41999999999996"/>
    <n v="1144.8399999999999"/>
    <n v="1144.8399999999999"/>
    <n v="1144.8399999999999"/>
    <n v="1144.8399999999999"/>
    <n v="2289.6799999999998"/>
    <n v="2289.6799999999998"/>
    <n v="2289.6799999999998"/>
    <n v="2289.6799999999998"/>
    <n v="2289.6799999999998"/>
    <n v="2289.6799999999998"/>
  </r>
  <r>
    <x v="2"/>
    <s v="Dining Room"/>
    <n v="0"/>
    <n v="0"/>
    <n v="0"/>
    <n v="0"/>
    <n v="0"/>
    <n v="0"/>
    <n v="0"/>
    <n v="0"/>
    <n v="0"/>
    <n v="0"/>
    <n v="0"/>
    <n v="111.49"/>
    <n v="111.49"/>
    <n v="111.49"/>
    <n v="111.49"/>
    <n v="111.49"/>
    <n v="111.49"/>
  </r>
  <r>
    <x v="2"/>
    <s v="Dining Room"/>
    <n v="0"/>
    <n v="0"/>
    <n v="0"/>
    <n v="0"/>
    <n v="0"/>
    <n v="0"/>
    <n v="0"/>
    <n v="0"/>
    <n v="0"/>
    <n v="0"/>
    <n v="0"/>
    <n v="538.34"/>
    <n v="538.34"/>
    <n v="538.34"/>
    <n v="538.34"/>
    <n v="538.34"/>
    <n v="538.34"/>
  </r>
  <r>
    <x v="2"/>
    <s v="Dining Room"/>
    <n v="0"/>
    <n v="0"/>
    <n v="0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  <n v="162.61000000000001"/>
  </r>
  <r>
    <x v="2"/>
    <s v="Dining Room"/>
    <n v="0"/>
    <n v="0"/>
    <n v="0"/>
    <n v="381.27"/>
    <n v="381.27"/>
    <n v="381.27"/>
    <n v="381.27"/>
    <n v="381.27"/>
    <n v="381.27"/>
    <n v="381.27"/>
    <n v="381.27"/>
    <n v="381.27"/>
    <n v="381.27"/>
    <n v="381.27"/>
    <n v="381.27"/>
    <n v="381.27"/>
    <n v="381.27"/>
  </r>
  <r>
    <x v="2"/>
    <s v="Dining Room"/>
    <n v="0"/>
    <n v="0"/>
    <n v="0"/>
    <n v="276.84249999999997"/>
    <n v="276.84249999999997"/>
    <n v="276.84249999999997"/>
    <n v="276.84249999999997"/>
    <n v="553.68499999999995"/>
    <n v="553.68499999999995"/>
    <n v="553.68499999999995"/>
    <n v="553.68499999999995"/>
    <n v="1107.3699999999999"/>
    <n v="1107.3699999999999"/>
    <n v="1107.3699999999999"/>
    <n v="1107.3699999999999"/>
    <n v="1107.3699999999999"/>
    <n v="1107.3699999999999"/>
  </r>
  <r>
    <x v="2"/>
    <s v="Dining Room"/>
    <n v="0"/>
    <n v="0"/>
    <n v="0"/>
    <n v="0"/>
    <n v="0"/>
    <n v="0"/>
    <n v="0"/>
    <n v="0"/>
    <n v="0"/>
    <n v="0"/>
    <n v="0"/>
    <n v="0"/>
    <n v="0"/>
    <n v="0"/>
    <n v="284.23"/>
    <n v="284.23"/>
    <n v="284.23"/>
  </r>
  <r>
    <x v="2"/>
    <s v="Dining Room"/>
    <n v="0"/>
    <n v="0"/>
    <n v="0"/>
    <n v="300.31"/>
    <n v="300.31"/>
    <n v="300.31"/>
    <n v="300.31"/>
    <n v="300.31"/>
    <n v="300.31"/>
    <n v="300.31"/>
    <n v="300.31"/>
    <n v="300.31"/>
    <n v="300.31"/>
    <n v="300.31"/>
    <n v="300.31"/>
    <n v="300.31"/>
    <n v="300.31"/>
  </r>
  <r>
    <x v="2"/>
    <s v="Dining Room"/>
    <n v="0"/>
    <n v="0"/>
    <n v="0"/>
    <n v="0"/>
    <n v="0"/>
    <n v="0"/>
    <n v="0"/>
    <n v="0"/>
    <n v="0"/>
    <n v="794.42"/>
    <n v="794.42"/>
    <n v="794.42"/>
    <n v="794.42"/>
    <n v="794.42"/>
    <n v="794.42"/>
    <n v="794.42"/>
    <n v="794.42"/>
  </r>
  <r>
    <x v="2"/>
    <s v="Dining Room"/>
    <n v="0"/>
    <n v="0"/>
    <n v="0"/>
    <n v="323.13"/>
    <n v="323.13"/>
    <n v="323.13"/>
    <n v="323.13"/>
    <n v="323.13"/>
    <n v="323.13"/>
    <n v="323.13"/>
    <n v="323.13"/>
    <n v="323.13"/>
    <n v="323.13"/>
    <n v="323.13"/>
    <n v="323.13"/>
    <n v="323.13"/>
    <n v="323.13"/>
  </r>
  <r>
    <x v="2"/>
    <s v="Dining Room"/>
    <n v="0"/>
    <n v="0"/>
    <n v="0"/>
    <n v="814.66"/>
    <n v="814.66"/>
    <n v="814.66"/>
    <n v="814.66"/>
    <n v="814.66"/>
    <n v="814.66"/>
    <n v="814.66"/>
    <n v="814.66"/>
    <n v="814.66"/>
    <n v="814.66"/>
    <n v="814.66"/>
    <n v="814.66"/>
    <n v="814.66"/>
    <n v="814.66"/>
  </r>
  <r>
    <x v="2"/>
    <s v="Dining Room"/>
    <n v="0"/>
    <n v="0"/>
    <n v="0"/>
    <n v="92.47"/>
    <n v="92.47"/>
    <n v="92.47"/>
    <n v="92.47"/>
    <n v="92.47"/>
    <n v="92.47"/>
    <n v="92.47"/>
    <n v="92.47"/>
    <n v="92.47"/>
    <n v="92.47"/>
    <n v="92.47"/>
    <n v="92.47"/>
    <n v="92.47"/>
    <n v="92.47"/>
  </r>
  <r>
    <x v="2"/>
    <s v="Dining Room"/>
    <n v="0"/>
    <n v="0"/>
    <n v="0"/>
    <n v="752.77"/>
    <n v="752.77"/>
    <n v="752.77"/>
    <n v="752.77"/>
    <n v="752.77"/>
    <n v="752.77"/>
    <n v="752.77"/>
    <n v="752.77"/>
    <n v="752.77"/>
    <n v="752.77"/>
    <n v="752.77"/>
    <n v="752.77"/>
    <n v="752.77"/>
    <n v="752.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E9A10-1BD9-4237-ACF3-3C28896975D4}" name="grp3pivot" cacheId="3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6"/>
        <item x="8"/>
        <item x="11"/>
        <item x="3"/>
        <item x="12"/>
        <item x="10"/>
        <item x="13"/>
        <item x="4"/>
        <item x="5"/>
        <item x="7"/>
        <item x="9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DA60F4-68BF-44F5-9B90-617167661DA0}" name="grp2pivot" cacheId="4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5B8BA-6D56-4D7E-BA8F-5075E1D86953}">
  <sheetPr codeName="Sheet13"/>
  <dimension ref="A1:J80"/>
  <sheetViews>
    <sheetView topLeftCell="A65" workbookViewId="0">
      <selection activeCell="D79" sqref="D79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06" customWidth="1"/>
    <col min="5" max="5" width="20.42578125" customWidth="1"/>
    <col min="7" max="7" width="26.42578125" style="107" customWidth="1"/>
    <col min="8" max="8" width="30.5703125" style="107" customWidth="1"/>
    <col min="9" max="9" width="17.42578125" customWidth="1"/>
    <col min="10" max="10" width="15.5703125" style="107" customWidth="1"/>
  </cols>
  <sheetData>
    <row r="1" spans="1:9" x14ac:dyDescent="0.25">
      <c r="C1" t="s">
        <v>160</v>
      </c>
      <c r="D1" s="106" t="s">
        <v>161</v>
      </c>
      <c r="E1" t="s">
        <v>162</v>
      </c>
      <c r="F1" t="s">
        <v>163</v>
      </c>
      <c r="G1" s="107" t="s">
        <v>164</v>
      </c>
      <c r="H1" s="107" t="s">
        <v>165</v>
      </c>
      <c r="I1" t="s">
        <v>166</v>
      </c>
    </row>
    <row r="2" spans="1:9" x14ac:dyDescent="0.25">
      <c r="A2" t="s">
        <v>167</v>
      </c>
      <c r="C2" t="s">
        <v>444</v>
      </c>
      <c r="D2" s="108" t="s">
        <v>168</v>
      </c>
      <c r="E2">
        <v>1</v>
      </c>
      <c r="F2" t="s">
        <v>169</v>
      </c>
      <c r="G2" s="107" t="s">
        <v>61</v>
      </c>
      <c r="H2" s="107" t="s">
        <v>180</v>
      </c>
      <c r="I2" t="s">
        <v>445</v>
      </c>
    </row>
    <row r="4" spans="1:9" x14ac:dyDescent="0.25">
      <c r="A4" t="s">
        <v>171</v>
      </c>
      <c r="C4" s="3"/>
    </row>
    <row r="5" spans="1:9" x14ac:dyDescent="0.25">
      <c r="C5" s="3"/>
    </row>
    <row r="6" spans="1:9" x14ac:dyDescent="0.25">
      <c r="C6" s="109"/>
      <c r="D6" s="108"/>
    </row>
    <row r="7" spans="1:9" x14ac:dyDescent="0.25">
      <c r="B7" t="s">
        <v>172</v>
      </c>
      <c r="C7" s="109" t="s">
        <v>173</v>
      </c>
    </row>
    <row r="8" spans="1:9" x14ac:dyDescent="0.25">
      <c r="B8" t="s">
        <v>174</v>
      </c>
      <c r="C8" s="3" t="s">
        <v>140</v>
      </c>
    </row>
    <row r="9" spans="1:9" x14ac:dyDescent="0.25">
      <c r="B9" t="s">
        <v>175</v>
      </c>
      <c r="C9" s="110">
        <v>0.1</v>
      </c>
    </row>
    <row r="10" spans="1:9" x14ac:dyDescent="0.25">
      <c r="B10" t="s">
        <v>176</v>
      </c>
      <c r="C10" s="110">
        <v>0.1</v>
      </c>
    </row>
    <row r="12" spans="1:9" x14ac:dyDescent="0.25">
      <c r="B12" s="1"/>
      <c r="C12" s="1"/>
    </row>
    <row r="15" spans="1:9" x14ac:dyDescent="0.25">
      <c r="A15" t="s">
        <v>177</v>
      </c>
    </row>
    <row r="16" spans="1:9" x14ac:dyDescent="0.25">
      <c r="C16" s="3" t="s">
        <v>178</v>
      </c>
      <c r="D16" s="106">
        <v>2000</v>
      </c>
    </row>
    <row r="17" spans="3:5" x14ac:dyDescent="0.25">
      <c r="C17" s="3" t="s">
        <v>179</v>
      </c>
      <c r="D17" s="106" t="s">
        <v>180</v>
      </c>
    </row>
    <row r="18" spans="3:5" x14ac:dyDescent="0.25">
      <c r="C18" s="3" t="s">
        <v>181</v>
      </c>
      <c r="D18" s="111">
        <v>1600</v>
      </c>
    </row>
    <row r="19" spans="3:5" x14ac:dyDescent="0.25">
      <c r="C19" s="3" t="s">
        <v>182</v>
      </c>
      <c r="D19" s="106" t="s">
        <v>446</v>
      </c>
    </row>
    <row r="20" spans="3:5" x14ac:dyDescent="0.25">
      <c r="C20" s="3" t="s">
        <v>183</v>
      </c>
      <c r="D20" s="106" t="s">
        <v>446</v>
      </c>
    </row>
    <row r="21" spans="3:5" x14ac:dyDescent="0.25">
      <c r="C21" s="3" t="s">
        <v>184</v>
      </c>
      <c r="D21" s="106" t="s">
        <v>446</v>
      </c>
    </row>
    <row r="22" spans="3:5" x14ac:dyDescent="0.25">
      <c r="C22" s="3" t="s">
        <v>185</v>
      </c>
      <c r="D22" s="106" t="s">
        <v>446</v>
      </c>
    </row>
    <row r="24" spans="3:5" x14ac:dyDescent="0.25">
      <c r="C24" s="3" t="s">
        <v>186</v>
      </c>
      <c r="D24" s="106" t="s">
        <v>187</v>
      </c>
    </row>
    <row r="25" spans="3:5" x14ac:dyDescent="0.25">
      <c r="C25" s="3" t="s">
        <v>10</v>
      </c>
      <c r="D25" s="106">
        <v>1</v>
      </c>
    </row>
    <row r="26" spans="3:5" x14ac:dyDescent="0.25">
      <c r="C26" s="3" t="s">
        <v>188</v>
      </c>
      <c r="D26" s="106" t="s">
        <v>61</v>
      </c>
      <c r="E26" s="112">
        <v>1</v>
      </c>
    </row>
    <row r="27" spans="3:5" x14ac:dyDescent="0.25">
      <c r="C27" s="3" t="s">
        <v>189</v>
      </c>
      <c r="D27" s="113">
        <v>0</v>
      </c>
    </row>
    <row r="28" spans="3:5" x14ac:dyDescent="0.25">
      <c r="C28" s="3" t="s">
        <v>190</v>
      </c>
      <c r="D28" s="106" t="s">
        <v>180</v>
      </c>
    </row>
    <row r="29" spans="3:5" x14ac:dyDescent="0.25">
      <c r="C29" s="3" t="s">
        <v>191</v>
      </c>
      <c r="D29" s="106" t="s">
        <v>192</v>
      </c>
    </row>
    <row r="30" spans="3:5" x14ac:dyDescent="0.25">
      <c r="C30" s="3" t="s">
        <v>193</v>
      </c>
      <c r="D30" s="106" t="s">
        <v>170</v>
      </c>
    </row>
    <row r="31" spans="3:5" x14ac:dyDescent="0.25">
      <c r="C31" s="3" t="s">
        <v>194</v>
      </c>
      <c r="D31" s="106" t="s">
        <v>447</v>
      </c>
    </row>
    <row r="32" spans="3:5" ht="30" x14ac:dyDescent="0.25">
      <c r="C32" s="3" t="s">
        <v>195</v>
      </c>
      <c r="D32" s="106" t="s">
        <v>448</v>
      </c>
    </row>
    <row r="33" spans="1:4" x14ac:dyDescent="0.25">
      <c r="C33" s="3" t="s">
        <v>196</v>
      </c>
      <c r="D33" s="106" t="s">
        <v>197</v>
      </c>
    </row>
    <row r="34" spans="1:4" x14ac:dyDescent="0.25">
      <c r="C34" s="3" t="s">
        <v>198</v>
      </c>
      <c r="D34" s="106" t="s">
        <v>199</v>
      </c>
    </row>
    <row r="35" spans="1:4" x14ac:dyDescent="0.25">
      <c r="C35" s="3" t="s">
        <v>200</v>
      </c>
      <c r="D35" s="106" t="s">
        <v>201</v>
      </c>
    </row>
    <row r="36" spans="1:4" x14ac:dyDescent="0.25">
      <c r="C36" s="3" t="s">
        <v>202</v>
      </c>
      <c r="D36" s="106" t="s">
        <v>140</v>
      </c>
    </row>
    <row r="37" spans="1:4" ht="30" x14ac:dyDescent="0.25">
      <c r="C37" s="3" t="s">
        <v>203</v>
      </c>
      <c r="D37" s="106" t="s">
        <v>449</v>
      </c>
    </row>
    <row r="38" spans="1:4" x14ac:dyDescent="0.25">
      <c r="C38" s="3" t="s">
        <v>204</v>
      </c>
      <c r="D38" s="106" t="s">
        <v>205</v>
      </c>
    </row>
    <row r="39" spans="1:4" x14ac:dyDescent="0.25">
      <c r="C39" s="3"/>
    </row>
    <row r="40" spans="1:4" x14ac:dyDescent="0.25">
      <c r="A40" t="s">
        <v>206</v>
      </c>
    </row>
    <row r="41" spans="1:4" x14ac:dyDescent="0.25">
      <c r="C41" s="3" t="s">
        <v>207</v>
      </c>
      <c r="D41" s="106" t="s">
        <v>208</v>
      </c>
    </row>
    <row r="42" spans="1:4" x14ac:dyDescent="0.25">
      <c r="C42" s="3" t="s">
        <v>209</v>
      </c>
      <c r="D42" s="106" t="s">
        <v>210</v>
      </c>
    </row>
    <row r="43" spans="1:4" x14ac:dyDescent="0.25">
      <c r="C43" s="3" t="s">
        <v>211</v>
      </c>
      <c r="D43" s="106" t="s">
        <v>140</v>
      </c>
    </row>
    <row r="44" spans="1:4" x14ac:dyDescent="0.25">
      <c r="C44" s="3" t="s">
        <v>212</v>
      </c>
      <c r="D44" s="106" t="s">
        <v>140</v>
      </c>
    </row>
    <row r="45" spans="1:4" ht="30" x14ac:dyDescent="0.25">
      <c r="C45" s="3" t="s">
        <v>213</v>
      </c>
      <c r="D45" s="106" t="s">
        <v>214</v>
      </c>
    </row>
    <row r="46" spans="1:4" x14ac:dyDescent="0.25">
      <c r="C46" s="3" t="s">
        <v>215</v>
      </c>
      <c r="D46" s="106" t="s">
        <v>450</v>
      </c>
    </row>
    <row r="47" spans="1:4" x14ac:dyDescent="0.25">
      <c r="C47" s="3" t="s">
        <v>216</v>
      </c>
      <c r="D47" s="106" t="s">
        <v>140</v>
      </c>
    </row>
    <row r="48" spans="1:4" x14ac:dyDescent="0.25">
      <c r="A48" t="s">
        <v>206</v>
      </c>
    </row>
    <row r="49" spans="1:10" x14ac:dyDescent="0.25">
      <c r="C49" s="3" t="s">
        <v>217</v>
      </c>
      <c r="D49" s="106">
        <v>9</v>
      </c>
    </row>
    <row r="50" spans="1:10" x14ac:dyDescent="0.25">
      <c r="C50" s="3" t="s">
        <v>218</v>
      </c>
      <c r="D50" s="106" t="s">
        <v>451</v>
      </c>
    </row>
    <row r="51" spans="1:10" ht="30" x14ac:dyDescent="0.25">
      <c r="C51" s="3" t="s">
        <v>219</v>
      </c>
      <c r="D51" s="106" t="s">
        <v>452</v>
      </c>
    </row>
    <row r="52" spans="1:10" x14ac:dyDescent="0.25">
      <c r="C52" s="3" t="s">
        <v>220</v>
      </c>
      <c r="D52" s="106" t="s">
        <v>221</v>
      </c>
    </row>
    <row r="53" spans="1:10" x14ac:dyDescent="0.25">
      <c r="C53" s="3" t="s">
        <v>222</v>
      </c>
      <c r="D53" s="106" t="s">
        <v>223</v>
      </c>
      <c r="E53" s="3" t="s">
        <v>12</v>
      </c>
    </row>
    <row r="54" spans="1:10" x14ac:dyDescent="0.25">
      <c r="C54" s="3" t="s">
        <v>224</v>
      </c>
      <c r="D54" s="106" t="s">
        <v>453</v>
      </c>
    </row>
    <row r="55" spans="1:10" x14ac:dyDescent="0.25">
      <c r="C55" s="3" t="s">
        <v>225</v>
      </c>
      <c r="D55" s="106" t="s">
        <v>454</v>
      </c>
    </row>
    <row r="56" spans="1:10" x14ac:dyDescent="0.25">
      <c r="C56" s="3" t="s">
        <v>226</v>
      </c>
      <c r="D56" s="106" t="s">
        <v>455</v>
      </c>
    </row>
    <row r="57" spans="1:10" x14ac:dyDescent="0.25">
      <c r="C57" s="3" t="s">
        <v>227</v>
      </c>
      <c r="D57" s="106" t="s">
        <v>456</v>
      </c>
    </row>
    <row r="58" spans="1:10" x14ac:dyDescent="0.25">
      <c r="C58" s="3" t="s">
        <v>228</v>
      </c>
      <c r="D58" s="106" t="s">
        <v>229</v>
      </c>
    </row>
    <row r="59" spans="1:10" x14ac:dyDescent="0.25">
      <c r="C59" s="3" t="s">
        <v>230</v>
      </c>
      <c r="D59" s="106" t="s">
        <v>140</v>
      </c>
    </row>
    <row r="60" spans="1:10" x14ac:dyDescent="0.25">
      <c r="C60" s="3" t="s">
        <v>231</v>
      </c>
      <c r="D60" s="106" t="s">
        <v>457</v>
      </c>
    </row>
    <row r="61" spans="1:10" x14ac:dyDescent="0.25">
      <c r="C61" s="3" t="s">
        <v>232</v>
      </c>
      <c r="D61" s="106" t="s">
        <v>458</v>
      </c>
    </row>
    <row r="63" spans="1:10" x14ac:dyDescent="0.25">
      <c r="A63" t="s">
        <v>141</v>
      </c>
      <c r="C63" s="3"/>
    </row>
    <row r="64" spans="1:10" ht="30" x14ac:dyDescent="0.25">
      <c r="B64" s="114" t="s">
        <v>233</v>
      </c>
      <c r="C64" s="114" t="s">
        <v>234</v>
      </c>
      <c r="D64" s="115" t="s">
        <v>161</v>
      </c>
      <c r="E64" s="115" t="s">
        <v>163</v>
      </c>
      <c r="F64" s="114" t="s">
        <v>235</v>
      </c>
      <c r="G64" s="115" t="s">
        <v>236</v>
      </c>
      <c r="H64" s="115" t="s">
        <v>237</v>
      </c>
      <c r="I64" s="114" t="s">
        <v>238</v>
      </c>
      <c r="J64" s="115" t="s">
        <v>239</v>
      </c>
    </row>
    <row r="65" spans="1:10" ht="75" x14ac:dyDescent="0.25">
      <c r="B65" t="s">
        <v>7</v>
      </c>
      <c r="C65" s="3" t="s">
        <v>12</v>
      </c>
      <c r="D65" s="106" t="s">
        <v>7</v>
      </c>
      <c r="E65" t="s">
        <v>169</v>
      </c>
      <c r="F65" t="s">
        <v>140</v>
      </c>
      <c r="G65" s="107" t="s">
        <v>459</v>
      </c>
      <c r="H65" s="107" t="s">
        <v>460</v>
      </c>
      <c r="I65" t="s">
        <v>461</v>
      </c>
      <c r="J65" s="107" t="s">
        <v>462</v>
      </c>
    </row>
    <row r="66" spans="1:10" ht="45" x14ac:dyDescent="0.25">
      <c r="B66" t="s">
        <v>240</v>
      </c>
      <c r="C66" s="3" t="s">
        <v>12</v>
      </c>
      <c r="D66" s="106" t="s">
        <v>13</v>
      </c>
      <c r="E66" t="s">
        <v>169</v>
      </c>
      <c r="F66" t="s">
        <v>140</v>
      </c>
      <c r="G66" s="107" t="s">
        <v>140</v>
      </c>
      <c r="H66" s="107" t="s">
        <v>463</v>
      </c>
      <c r="I66" t="s">
        <v>461</v>
      </c>
      <c r="J66" s="107" t="s">
        <v>140</v>
      </c>
    </row>
    <row r="67" spans="1:10" ht="45" x14ac:dyDescent="0.25">
      <c r="B67" t="s">
        <v>241</v>
      </c>
      <c r="C67" s="3" t="s">
        <v>12</v>
      </c>
      <c r="D67" s="106" t="s">
        <v>13</v>
      </c>
      <c r="E67" t="s">
        <v>169</v>
      </c>
      <c r="F67" t="s">
        <v>140</v>
      </c>
      <c r="G67" s="107" t="s">
        <v>140</v>
      </c>
      <c r="H67" s="107" t="s">
        <v>464</v>
      </c>
      <c r="I67" t="s">
        <v>461</v>
      </c>
      <c r="J67" s="107" t="s">
        <v>140</v>
      </c>
    </row>
    <row r="68" spans="1:10" x14ac:dyDescent="0.25">
      <c r="B68" t="s">
        <v>465</v>
      </c>
      <c r="C68" s="3" t="s">
        <v>12</v>
      </c>
      <c r="D68" s="106" t="s">
        <v>466</v>
      </c>
      <c r="E68" t="s">
        <v>242</v>
      </c>
      <c r="F68" t="s">
        <v>140</v>
      </c>
      <c r="G68" s="107" t="s">
        <v>140</v>
      </c>
      <c r="H68" s="107" t="s">
        <v>140</v>
      </c>
      <c r="I68" t="s">
        <v>461</v>
      </c>
      <c r="J68" s="107" t="s">
        <v>140</v>
      </c>
    </row>
    <row r="69" spans="1:10" ht="30" x14ac:dyDescent="0.25">
      <c r="B69" t="s">
        <v>4</v>
      </c>
      <c r="C69" s="3" t="s">
        <v>12</v>
      </c>
      <c r="D69" s="106" t="s">
        <v>4</v>
      </c>
      <c r="E69" t="s">
        <v>169</v>
      </c>
      <c r="F69" t="s">
        <v>140</v>
      </c>
      <c r="G69" s="107" t="s">
        <v>467</v>
      </c>
    </row>
    <row r="70" spans="1:10" ht="30" x14ac:dyDescent="0.25">
      <c r="B70" t="s">
        <v>243</v>
      </c>
      <c r="C70" s="3" t="s">
        <v>12</v>
      </c>
      <c r="D70" s="106" t="s">
        <v>4</v>
      </c>
      <c r="E70" t="s">
        <v>244</v>
      </c>
      <c r="F70" t="s">
        <v>140</v>
      </c>
      <c r="G70" s="107" t="s">
        <v>467</v>
      </c>
    </row>
    <row r="71" spans="1:10" ht="30" x14ac:dyDescent="0.25">
      <c r="B71" t="s">
        <v>245</v>
      </c>
      <c r="C71" s="3" t="s">
        <v>12</v>
      </c>
      <c r="D71" s="106" t="s">
        <v>4</v>
      </c>
      <c r="E71" t="s">
        <v>468</v>
      </c>
      <c r="F71" t="s">
        <v>140</v>
      </c>
      <c r="G71" s="107" t="s">
        <v>467</v>
      </c>
    </row>
    <row r="72" spans="1:10" ht="45" x14ac:dyDescent="0.25">
      <c r="B72" t="s">
        <v>469</v>
      </c>
      <c r="C72" s="3" t="s">
        <v>12</v>
      </c>
      <c r="D72" s="106" t="s">
        <v>14</v>
      </c>
      <c r="E72" t="s">
        <v>242</v>
      </c>
      <c r="F72" t="s">
        <v>140</v>
      </c>
      <c r="G72" s="107" t="s">
        <v>470</v>
      </c>
    </row>
    <row r="73" spans="1:10" ht="45" x14ac:dyDescent="0.25">
      <c r="B73" t="s">
        <v>246</v>
      </c>
      <c r="C73" s="3" t="s">
        <v>12</v>
      </c>
      <c r="D73" s="106" t="s">
        <v>14</v>
      </c>
      <c r="E73" t="s">
        <v>244</v>
      </c>
      <c r="F73" t="s">
        <v>140</v>
      </c>
      <c r="G73" s="107" t="s">
        <v>470</v>
      </c>
    </row>
    <row r="74" spans="1:10" ht="30" x14ac:dyDescent="0.25">
      <c r="B74" t="s">
        <v>471</v>
      </c>
      <c r="C74" s="3" t="s">
        <v>12</v>
      </c>
      <c r="D74" s="106" t="s">
        <v>472</v>
      </c>
      <c r="E74" t="s">
        <v>169</v>
      </c>
      <c r="F74" t="s">
        <v>140</v>
      </c>
      <c r="G74" s="107" t="s">
        <v>467</v>
      </c>
    </row>
    <row r="75" spans="1:10" s="107" customFormat="1" ht="30" x14ac:dyDescent="0.25">
      <c r="A75"/>
      <c r="B75" t="s">
        <v>473</v>
      </c>
      <c r="C75" s="3" t="s">
        <v>12</v>
      </c>
      <c r="D75" t="s">
        <v>474</v>
      </c>
      <c r="E75" t="s">
        <v>242</v>
      </c>
      <c r="F75" t="s">
        <v>140</v>
      </c>
      <c r="G75" s="107" t="s">
        <v>467</v>
      </c>
      <c r="I75"/>
    </row>
    <row r="76" spans="1:10" s="107" customFormat="1" x14ac:dyDescent="0.25">
      <c r="A76"/>
      <c r="B76" t="s">
        <v>475</v>
      </c>
      <c r="C76" s="3" t="s">
        <v>12</v>
      </c>
      <c r="D76" t="s">
        <v>476</v>
      </c>
      <c r="E76" t="s">
        <v>242</v>
      </c>
      <c r="F76" t="s">
        <v>140</v>
      </c>
      <c r="G76" s="107" t="s">
        <v>140</v>
      </c>
      <c r="I76"/>
    </row>
    <row r="77" spans="1:10" s="107" customFormat="1" x14ac:dyDescent="0.25">
      <c r="A77"/>
      <c r="B77" t="s">
        <v>6</v>
      </c>
      <c r="C77" s="3" t="s">
        <v>12</v>
      </c>
      <c r="D77" s="106" t="s">
        <v>6</v>
      </c>
      <c r="E77" t="s">
        <v>244</v>
      </c>
      <c r="F77" t="s">
        <v>140</v>
      </c>
      <c r="G77" s="107" t="s">
        <v>477</v>
      </c>
      <c r="I77"/>
    </row>
    <row r="78" spans="1:10" s="107" customFormat="1" ht="30" x14ac:dyDescent="0.25">
      <c r="A78"/>
      <c r="B78" t="s">
        <v>5</v>
      </c>
      <c r="C78" s="3" t="s">
        <v>12</v>
      </c>
      <c r="D78" s="106" t="s">
        <v>5</v>
      </c>
      <c r="E78" t="s">
        <v>169</v>
      </c>
      <c r="F78" t="s">
        <v>140</v>
      </c>
      <c r="G78" s="107" t="s">
        <v>467</v>
      </c>
      <c r="I78"/>
    </row>
    <row r="79" spans="1:10" s="107" customFormat="1" x14ac:dyDescent="0.25">
      <c r="A79"/>
      <c r="B79" t="s">
        <v>247</v>
      </c>
      <c r="C79" s="3" t="s">
        <v>12</v>
      </c>
      <c r="D79" s="106" t="s">
        <v>15</v>
      </c>
      <c r="E79" t="s">
        <v>169</v>
      </c>
      <c r="F79" t="s">
        <v>140</v>
      </c>
      <c r="G79" s="107" t="s">
        <v>140</v>
      </c>
      <c r="I79"/>
    </row>
    <row r="80" spans="1:10" s="107" customFormat="1" x14ac:dyDescent="0.25">
      <c r="A80"/>
      <c r="B80" s="152" t="s">
        <v>478</v>
      </c>
      <c r="C80" s="107" t="s">
        <v>12</v>
      </c>
      <c r="D80" s="107" t="s">
        <v>713</v>
      </c>
      <c r="E80" s="107" t="s">
        <v>169</v>
      </c>
      <c r="F80" s="107" t="s">
        <v>140</v>
      </c>
      <c r="G80" s="107" t="s">
        <v>140</v>
      </c>
      <c r="I8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E2B95-B72F-4F98-9271-D14BFB5C23DA}">
  <sheetPr codeName="Sheet15"/>
  <dimension ref="A1:B55"/>
  <sheetViews>
    <sheetView workbookViewId="0">
      <selection activeCell="J16" sqref="J16"/>
    </sheetView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724</v>
      </c>
    </row>
    <row r="2" spans="1:2" x14ac:dyDescent="0.25">
      <c r="A2" s="33" t="s">
        <v>112</v>
      </c>
      <c r="B2" s="55" t="s">
        <v>444</v>
      </c>
    </row>
    <row r="3" spans="1:2" x14ac:dyDescent="0.25">
      <c r="A3" s="33" t="s">
        <v>102</v>
      </c>
      <c r="B3" s="55" t="s">
        <v>168</v>
      </c>
    </row>
    <row r="4" spans="1:2" x14ac:dyDescent="0.25">
      <c r="A4" s="33" t="s">
        <v>114</v>
      </c>
      <c r="B4" s="55">
        <v>1</v>
      </c>
    </row>
    <row r="5" spans="1:2" x14ac:dyDescent="0.25">
      <c r="A5" s="33" t="s">
        <v>113</v>
      </c>
      <c r="B5" s="55" t="s">
        <v>169</v>
      </c>
    </row>
    <row r="6" spans="1:2" x14ac:dyDescent="0.25">
      <c r="A6" s="33" t="s">
        <v>115</v>
      </c>
      <c r="B6" s="55" t="s">
        <v>61</v>
      </c>
    </row>
    <row r="7" spans="1:2" x14ac:dyDescent="0.25">
      <c r="A7" s="33" t="s">
        <v>116</v>
      </c>
      <c r="B7" s="55" t="s">
        <v>180</v>
      </c>
    </row>
    <row r="8" spans="1:2" x14ac:dyDescent="0.25">
      <c r="A8" s="33" t="s">
        <v>21</v>
      </c>
      <c r="B8" s="55" t="s">
        <v>445</v>
      </c>
    </row>
    <row r="9" spans="1:2" x14ac:dyDescent="0.25">
      <c r="A9" s="33" t="s">
        <v>20</v>
      </c>
      <c r="B9" s="55" t="s">
        <v>250</v>
      </c>
    </row>
    <row r="10" spans="1:2" x14ac:dyDescent="0.25">
      <c r="A10" s="33" t="s">
        <v>117</v>
      </c>
      <c r="B10" s="55" t="s">
        <v>79</v>
      </c>
    </row>
    <row r="11" spans="1:2" x14ac:dyDescent="0.25">
      <c r="A11" s="33" t="s">
        <v>118</v>
      </c>
      <c r="B11" s="56">
        <v>45176</v>
      </c>
    </row>
    <row r="12" spans="1:2" x14ac:dyDescent="0.25">
      <c r="A12" s="33" t="s">
        <v>119</v>
      </c>
      <c r="B12" s="55" t="s">
        <v>693</v>
      </c>
    </row>
    <row r="13" spans="1:2" x14ac:dyDescent="0.25">
      <c r="A13" s="85" t="s">
        <v>139</v>
      </c>
      <c r="B13" s="55" t="s">
        <v>140</v>
      </c>
    </row>
    <row r="14" spans="1:2" x14ac:dyDescent="0.25">
      <c r="A14" s="33" t="s">
        <v>120</v>
      </c>
      <c r="B14" s="55" t="s">
        <v>223</v>
      </c>
    </row>
    <row r="15" spans="1:2" x14ac:dyDescent="0.25">
      <c r="A15" s="33" t="s">
        <v>121</v>
      </c>
      <c r="B15" s="55" t="s">
        <v>453</v>
      </c>
    </row>
    <row r="16" spans="1:2" x14ac:dyDescent="0.25">
      <c r="A16" s="33" t="s">
        <v>122</v>
      </c>
      <c r="B16" s="55">
        <v>1600</v>
      </c>
    </row>
    <row r="17" spans="1:2" x14ac:dyDescent="0.25">
      <c r="A17" s="33" t="s">
        <v>123</v>
      </c>
      <c r="B17" s="55">
        <v>148.63999999999999</v>
      </c>
    </row>
    <row r="18" spans="1:2" x14ac:dyDescent="0.25">
      <c r="A18" s="33" t="s">
        <v>124</v>
      </c>
      <c r="B18" s="55" t="s">
        <v>725</v>
      </c>
    </row>
    <row r="19" spans="1:2" x14ac:dyDescent="0.25">
      <c r="A19" s="33" t="s">
        <v>125</v>
      </c>
      <c r="B19" s="55" t="s">
        <v>440</v>
      </c>
    </row>
    <row r="20" spans="1:2" x14ac:dyDescent="0.25">
      <c r="A20" s="33" t="s">
        <v>127</v>
      </c>
      <c r="B20" s="55" t="s">
        <v>12</v>
      </c>
    </row>
    <row r="21" spans="1:2" x14ac:dyDescent="0.25">
      <c r="A21" s="33" t="s">
        <v>128</v>
      </c>
      <c r="B21" s="55" t="s">
        <v>140</v>
      </c>
    </row>
    <row r="22" spans="1:2" x14ac:dyDescent="0.25">
      <c r="A22" s="33" t="s">
        <v>129</v>
      </c>
      <c r="B22" s="55">
        <v>1</v>
      </c>
    </row>
    <row r="23" spans="1:2" x14ac:dyDescent="0.25">
      <c r="A23" s="33" t="s">
        <v>130</v>
      </c>
      <c r="B23" s="61" t="s">
        <v>180</v>
      </c>
    </row>
    <row r="24" spans="1:2" x14ac:dyDescent="0.25">
      <c r="A24" s="60" t="s">
        <v>138</v>
      </c>
      <c r="B24" s="84" t="s">
        <v>157</v>
      </c>
    </row>
    <row r="25" spans="1:2" x14ac:dyDescent="0.25">
      <c r="A25" s="63" t="s">
        <v>22</v>
      </c>
      <c r="B25" s="63" t="s">
        <v>441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138.18495500683508</v>
      </c>
    </row>
    <row r="28" spans="1:2" x14ac:dyDescent="0.25">
      <c r="A28" s="54">
        <v>0</v>
      </c>
      <c r="B28" s="53">
        <v>138.18495500683508</v>
      </c>
    </row>
    <row r="29" spans="1:2" x14ac:dyDescent="0.25">
      <c r="A29" s="54">
        <v>0.03</v>
      </c>
      <c r="B29" s="53">
        <v>653.67055726133697</v>
      </c>
    </row>
    <row r="30" spans="1:2" x14ac:dyDescent="0.25">
      <c r="A30" s="54">
        <v>0.05</v>
      </c>
      <c r="B30" s="53">
        <v>894.9531786513885</v>
      </c>
    </row>
    <row r="31" spans="1:2" x14ac:dyDescent="0.25">
      <c r="A31" s="54">
        <v>0.1</v>
      </c>
      <c r="B31" s="53">
        <v>907.30739487691415</v>
      </c>
    </row>
    <row r="32" spans="1:2" x14ac:dyDescent="0.25">
      <c r="A32" s="54">
        <v>0.15</v>
      </c>
      <c r="B32" s="53">
        <v>1074.6674841635893</v>
      </c>
    </row>
    <row r="33" spans="1:2" x14ac:dyDescent="0.25">
      <c r="A33" s="54">
        <v>0.3</v>
      </c>
      <c r="B33" s="53">
        <v>1132.4148288402953</v>
      </c>
    </row>
    <row r="34" spans="1:2" x14ac:dyDescent="0.25">
      <c r="A34" s="54">
        <v>0.46</v>
      </c>
      <c r="B34" s="53">
        <v>1237.050132261606</v>
      </c>
    </row>
    <row r="35" spans="1:2" x14ac:dyDescent="0.25">
      <c r="A35" s="54">
        <v>0.61</v>
      </c>
      <c r="B35" s="53">
        <v>1456.8660087672088</v>
      </c>
    </row>
    <row r="36" spans="1:2" x14ac:dyDescent="0.25">
      <c r="A36" s="54">
        <v>0.76</v>
      </c>
      <c r="B36" s="53">
        <v>1543.2982956686001</v>
      </c>
    </row>
    <row r="37" spans="1:2" x14ac:dyDescent="0.25">
      <c r="A37" s="54">
        <v>0.91</v>
      </c>
      <c r="B37" s="53">
        <v>1887.9869696080859</v>
      </c>
    </row>
    <row r="38" spans="1:2" x14ac:dyDescent="0.25">
      <c r="A38" s="54">
        <v>1.02</v>
      </c>
      <c r="B38" s="53">
        <v>1966.306645102957</v>
      </c>
    </row>
    <row r="39" spans="1:2" x14ac:dyDescent="0.25">
      <c r="A39" s="54">
        <v>1.22</v>
      </c>
      <c r="B39" s="53">
        <v>1992.1896225094993</v>
      </c>
    </row>
    <row r="40" spans="1:2" x14ac:dyDescent="0.25">
      <c r="A40" s="54">
        <v>1.52</v>
      </c>
      <c r="B40" s="53">
        <v>2068.5106912586252</v>
      </c>
    </row>
    <row r="41" spans="1:2" x14ac:dyDescent="0.25">
      <c r="A41" s="54">
        <v>1.83</v>
      </c>
      <c r="B41" s="53">
        <v>2068.5106912586252</v>
      </c>
    </row>
    <row r="42" spans="1:2" x14ac:dyDescent="0.25">
      <c r="A42" s="54">
        <v>2.7</v>
      </c>
      <c r="B42" s="53">
        <v>2068.5106912586252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88"/>
      <c r="B54" s="83"/>
    </row>
    <row r="55" spans="1:2" x14ac:dyDescent="0.25">
      <c r="A55" s="86"/>
      <c r="B55" s="8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4F254-D23D-4055-9107-E597DCE06BF9}">
  <sheetPr codeName="Sheet16"/>
  <dimension ref="A1:B55"/>
  <sheetViews>
    <sheetView workbookViewId="0">
      <selection activeCell="J16" sqref="J16"/>
    </sheetView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726</v>
      </c>
    </row>
    <row r="2" spans="1:2" x14ac:dyDescent="0.25">
      <c r="A2" s="33" t="s">
        <v>112</v>
      </c>
      <c r="B2" s="55" t="s">
        <v>444</v>
      </c>
    </row>
    <row r="3" spans="1:2" x14ac:dyDescent="0.25">
      <c r="A3" s="33" t="s">
        <v>102</v>
      </c>
      <c r="B3" s="55" t="s">
        <v>168</v>
      </c>
    </row>
    <row r="4" spans="1:2" x14ac:dyDescent="0.25">
      <c r="A4" s="33" t="s">
        <v>114</v>
      </c>
      <c r="B4" s="55">
        <v>1</v>
      </c>
    </row>
    <row r="5" spans="1:2" x14ac:dyDescent="0.25">
      <c r="A5" s="33" t="s">
        <v>113</v>
      </c>
      <c r="B5" s="55" t="s">
        <v>169</v>
      </c>
    </row>
    <row r="6" spans="1:2" x14ac:dyDescent="0.25">
      <c r="A6" s="33" t="s">
        <v>115</v>
      </c>
      <c r="B6" s="55" t="s">
        <v>61</v>
      </c>
    </row>
    <row r="7" spans="1:2" x14ac:dyDescent="0.25">
      <c r="A7" s="33" t="s">
        <v>116</v>
      </c>
      <c r="B7" s="55" t="s">
        <v>180</v>
      </c>
    </row>
    <row r="8" spans="1:2" x14ac:dyDescent="0.25">
      <c r="A8" s="33" t="s">
        <v>21</v>
      </c>
      <c r="B8" s="55" t="s">
        <v>445</v>
      </c>
    </row>
    <row r="9" spans="1:2" x14ac:dyDescent="0.25">
      <c r="A9" s="33" t="s">
        <v>20</v>
      </c>
      <c r="B9" s="55" t="s">
        <v>250</v>
      </c>
    </row>
    <row r="10" spans="1:2" x14ac:dyDescent="0.25">
      <c r="A10" s="33" t="s">
        <v>117</v>
      </c>
      <c r="B10" s="55" t="s">
        <v>79</v>
      </c>
    </row>
    <row r="11" spans="1:2" x14ac:dyDescent="0.25">
      <c r="A11" s="33" t="s">
        <v>118</v>
      </c>
      <c r="B11" s="56">
        <v>45176</v>
      </c>
    </row>
    <row r="12" spans="1:2" x14ac:dyDescent="0.25">
      <c r="A12" s="33" t="s">
        <v>119</v>
      </c>
      <c r="B12" s="55" t="s">
        <v>693</v>
      </c>
    </row>
    <row r="13" spans="1:2" x14ac:dyDescent="0.25">
      <c r="A13" s="85" t="s">
        <v>139</v>
      </c>
      <c r="B13" s="55" t="s">
        <v>140</v>
      </c>
    </row>
    <row r="14" spans="1:2" x14ac:dyDescent="0.25">
      <c r="A14" s="33" t="s">
        <v>120</v>
      </c>
      <c r="B14" s="55" t="s">
        <v>223</v>
      </c>
    </row>
    <row r="15" spans="1:2" x14ac:dyDescent="0.25">
      <c r="A15" s="33" t="s">
        <v>121</v>
      </c>
      <c r="B15" s="55" t="s">
        <v>453</v>
      </c>
    </row>
    <row r="16" spans="1:2" x14ac:dyDescent="0.25">
      <c r="A16" s="33" t="s">
        <v>122</v>
      </c>
      <c r="B16" s="55">
        <v>1600</v>
      </c>
    </row>
    <row r="17" spans="1:2" x14ac:dyDescent="0.25">
      <c r="A17" s="33" t="s">
        <v>123</v>
      </c>
      <c r="B17" s="55">
        <v>148.63999999999999</v>
      </c>
    </row>
    <row r="18" spans="1:2" x14ac:dyDescent="0.25">
      <c r="A18" s="33" t="s">
        <v>124</v>
      </c>
      <c r="B18" s="55" t="s">
        <v>725</v>
      </c>
    </row>
    <row r="19" spans="1:2" x14ac:dyDescent="0.25">
      <c r="A19" s="33" t="s">
        <v>125</v>
      </c>
      <c r="B19" s="55" t="s">
        <v>440</v>
      </c>
    </row>
    <row r="20" spans="1:2" x14ac:dyDescent="0.25">
      <c r="A20" s="33" t="s">
        <v>127</v>
      </c>
      <c r="B20" s="55" t="s">
        <v>12</v>
      </c>
    </row>
    <row r="21" spans="1:2" x14ac:dyDescent="0.25">
      <c r="A21" s="33" t="s">
        <v>128</v>
      </c>
      <c r="B21" s="55" t="s">
        <v>140</v>
      </c>
    </row>
    <row r="22" spans="1:2" x14ac:dyDescent="0.25">
      <c r="A22" s="33" t="s">
        <v>129</v>
      </c>
      <c r="B22" s="55">
        <v>1</v>
      </c>
    </row>
    <row r="23" spans="1:2" x14ac:dyDescent="0.25">
      <c r="A23" s="33" t="s">
        <v>130</v>
      </c>
      <c r="B23" s="61" t="s">
        <v>180</v>
      </c>
    </row>
    <row r="24" spans="1:2" x14ac:dyDescent="0.25">
      <c r="A24" s="60" t="s">
        <v>138</v>
      </c>
      <c r="B24" s="84" t="s">
        <v>156</v>
      </c>
    </row>
    <row r="25" spans="1:2" x14ac:dyDescent="0.25">
      <c r="A25" s="63" t="s">
        <v>22</v>
      </c>
      <c r="B25" s="63" t="s">
        <v>441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20540.474999999999</v>
      </c>
    </row>
    <row r="28" spans="1:2" x14ac:dyDescent="0.25">
      <c r="A28" s="54">
        <v>0</v>
      </c>
      <c r="B28" s="53">
        <v>20540.474999999999</v>
      </c>
    </row>
    <row r="29" spans="1:2" x14ac:dyDescent="0.25">
      <c r="A29" s="54">
        <v>0.03</v>
      </c>
      <c r="B29" s="53">
        <v>97164.729249999989</v>
      </c>
    </row>
    <row r="30" spans="1:2" x14ac:dyDescent="0.25">
      <c r="A30" s="54">
        <v>0.05</v>
      </c>
      <c r="B30" s="53">
        <v>133030.13624999992</v>
      </c>
    </row>
    <row r="31" spans="1:2" x14ac:dyDescent="0.25">
      <c r="A31" s="54">
        <v>0.1</v>
      </c>
      <c r="B31" s="53">
        <v>134866.52624999994</v>
      </c>
    </row>
    <row r="32" spans="1:2" x14ac:dyDescent="0.25">
      <c r="A32" s="54">
        <v>0.15</v>
      </c>
      <c r="B32" s="53">
        <v>159743.7332499999</v>
      </c>
    </row>
    <row r="33" spans="1:2" x14ac:dyDescent="0.25">
      <c r="A33" s="54">
        <v>0.3</v>
      </c>
      <c r="B33" s="53">
        <v>168327.57574999993</v>
      </c>
    </row>
    <row r="34" spans="1:2" x14ac:dyDescent="0.25">
      <c r="A34" s="54">
        <v>0.46</v>
      </c>
      <c r="B34" s="53">
        <v>183881.06949999998</v>
      </c>
    </row>
    <row r="35" spans="1:2" x14ac:dyDescent="0.25">
      <c r="A35" s="54">
        <v>0.61</v>
      </c>
      <c r="B35" s="53">
        <v>216555.55650000001</v>
      </c>
    </row>
    <row r="36" spans="1:2" x14ac:dyDescent="0.25">
      <c r="A36" s="54">
        <v>0.76</v>
      </c>
      <c r="B36" s="53">
        <v>229403.26649999994</v>
      </c>
    </row>
    <row r="37" spans="1:2" x14ac:dyDescent="0.25">
      <c r="A37" s="54">
        <v>0.91</v>
      </c>
      <c r="B37" s="53">
        <v>280639.44550000003</v>
      </c>
    </row>
    <row r="38" spans="1:2" x14ac:dyDescent="0.25">
      <c r="A38" s="54">
        <v>1.02</v>
      </c>
      <c r="B38" s="53">
        <v>292281.25800000003</v>
      </c>
    </row>
    <row r="39" spans="1:2" x14ac:dyDescent="0.25">
      <c r="A39" s="54">
        <v>1.22</v>
      </c>
      <c r="B39" s="53">
        <v>296128.62800000003</v>
      </c>
    </row>
    <row r="40" spans="1:2" x14ac:dyDescent="0.25">
      <c r="A40" s="54">
        <v>1.52</v>
      </c>
      <c r="B40" s="53">
        <v>307473.35800000012</v>
      </c>
    </row>
    <row r="41" spans="1:2" x14ac:dyDescent="0.25">
      <c r="A41" s="54">
        <v>1.83</v>
      </c>
      <c r="B41" s="53">
        <v>307473.35800000012</v>
      </c>
    </row>
    <row r="42" spans="1:2" x14ac:dyDescent="0.25">
      <c r="A42" s="54">
        <v>2.7</v>
      </c>
      <c r="B42" s="53">
        <v>307473.35800000012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88"/>
      <c r="B54" s="83"/>
    </row>
    <row r="55" spans="1:2" x14ac:dyDescent="0.25">
      <c r="A55" s="86"/>
      <c r="B55" s="8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6" workbookViewId="0">
      <selection activeCell="D37" sqref="D37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479</v>
      </c>
      <c r="E6" s="21" t="b">
        <f>COUNTIF(E8:E14,TRUE)&gt;0</f>
        <v>1</v>
      </c>
      <c r="F6" s="51" t="s">
        <v>483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248</v>
      </c>
    </row>
    <row r="8" spans="1:8" x14ac:dyDescent="0.25">
      <c r="A8" s="125"/>
      <c r="B8" s="124"/>
      <c r="C8" s="16" t="s">
        <v>76</v>
      </c>
      <c r="D8" s="122" t="s">
        <v>480</v>
      </c>
      <c r="E8" s="21" t="b">
        <v>1</v>
      </c>
      <c r="F8" s="126" t="s">
        <v>74</v>
      </c>
      <c r="G8" t="s">
        <v>92</v>
      </c>
    </row>
    <row r="9" spans="1:8" x14ac:dyDescent="0.25">
      <c r="A9" s="125"/>
      <c r="B9" s="124"/>
      <c r="C9" s="16" t="s">
        <v>80</v>
      </c>
      <c r="D9" s="122" t="s">
        <v>250</v>
      </c>
      <c r="E9" s="21" t="b">
        <v>1</v>
      </c>
      <c r="F9" s="127"/>
      <c r="G9" t="s">
        <v>91</v>
      </c>
    </row>
    <row r="10" spans="1:8" x14ac:dyDescent="0.25">
      <c r="A10" s="125"/>
      <c r="B10" s="124"/>
      <c r="C10" s="16" t="s">
        <v>71</v>
      </c>
      <c r="D10" s="153">
        <v>1</v>
      </c>
      <c r="E10" s="21" t="b">
        <v>1</v>
      </c>
      <c r="F10" s="128" t="s">
        <v>93</v>
      </c>
      <c r="G10" t="s">
        <v>91</v>
      </c>
    </row>
    <row r="11" spans="1:8" x14ac:dyDescent="0.25">
      <c r="A11" s="125"/>
      <c r="B11" s="124"/>
      <c r="C11" s="16" t="s">
        <v>72</v>
      </c>
      <c r="D11" s="153" t="s">
        <v>61</v>
      </c>
      <c r="E11" s="21" t="b">
        <v>1</v>
      </c>
      <c r="F11" s="128"/>
      <c r="G11" t="s">
        <v>91</v>
      </c>
    </row>
    <row r="12" spans="1:8" x14ac:dyDescent="0.25">
      <c r="A12" s="125"/>
      <c r="B12" s="124"/>
      <c r="C12" s="16" t="s">
        <v>70</v>
      </c>
      <c r="D12" s="153" t="s">
        <v>12</v>
      </c>
      <c r="E12" s="21" t="b">
        <v>1</v>
      </c>
      <c r="F12" s="128"/>
      <c r="G12" t="s">
        <v>91</v>
      </c>
    </row>
    <row r="13" spans="1:8" x14ac:dyDescent="0.25">
      <c r="A13" s="125"/>
      <c r="B13" s="124"/>
      <c r="C13" s="16" t="s">
        <v>88</v>
      </c>
      <c r="D13" s="153" t="s">
        <v>481</v>
      </c>
      <c r="E13" s="21" t="b">
        <v>1</v>
      </c>
      <c r="F13" s="123" t="s">
        <v>75</v>
      </c>
      <c r="G13" t="s">
        <v>92</v>
      </c>
    </row>
    <row r="14" spans="1:8" x14ac:dyDescent="0.25">
      <c r="A14" s="125"/>
      <c r="B14" s="124"/>
      <c r="C14" s="16" t="s">
        <v>73</v>
      </c>
      <c r="D14" s="153" t="s">
        <v>482</v>
      </c>
      <c r="E14" s="21" t="b">
        <v>1</v>
      </c>
      <c r="F14" s="123"/>
      <c r="G14" t="s">
        <v>92</v>
      </c>
    </row>
    <row r="15" spans="1:8" ht="15" customHeight="1" x14ac:dyDescent="0.25">
      <c r="C15" s="30" t="s">
        <v>89</v>
      </c>
      <c r="D15" s="122" t="s">
        <v>693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621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692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721</v>
      </c>
      <c r="H22" s="102" t="s">
        <v>150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721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722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722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723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111</v>
      </c>
      <c r="D32" s="50"/>
      <c r="E32" s="21" t="b">
        <v>1</v>
      </c>
      <c r="F32" s="37" t="s">
        <v>727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BE78A-B9DE-468F-B4BC-208F209FA589}">
  <sheetPr codeName="Sheet14"/>
  <dimension ref="A1:AZ545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29" t="s">
        <v>436</v>
      </c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1"/>
      <c r="AJ1" s="129" t="s">
        <v>437</v>
      </c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1"/>
    </row>
    <row r="2" spans="1:52" x14ac:dyDescent="0.25">
      <c r="A2" s="118" t="s">
        <v>251</v>
      </c>
      <c r="B2" s="119" t="s">
        <v>252</v>
      </c>
      <c r="C2" s="119" t="s">
        <v>253</v>
      </c>
      <c r="D2" s="119" t="s">
        <v>254</v>
      </c>
      <c r="E2" s="119" t="s">
        <v>255</v>
      </c>
      <c r="F2" s="119" t="s">
        <v>256</v>
      </c>
      <c r="G2" s="119" t="s">
        <v>257</v>
      </c>
      <c r="H2" s="119" t="s">
        <v>258</v>
      </c>
      <c r="I2" s="119" t="s">
        <v>259</v>
      </c>
      <c r="J2" s="119" t="s">
        <v>260</v>
      </c>
      <c r="K2" s="119" t="s">
        <v>377</v>
      </c>
      <c r="L2" s="119" t="s">
        <v>94</v>
      </c>
      <c r="M2" s="119" t="s">
        <v>378</v>
      </c>
      <c r="N2" s="119" t="s">
        <v>432</v>
      </c>
      <c r="O2" s="120" t="s">
        <v>433</v>
      </c>
      <c r="P2" s="118">
        <v>-0.9</v>
      </c>
      <c r="Q2" s="119">
        <v>-0.46</v>
      </c>
      <c r="R2" s="119">
        <v>0</v>
      </c>
      <c r="S2" s="119">
        <v>0.03</v>
      </c>
      <c r="T2" s="119">
        <v>0.05</v>
      </c>
      <c r="U2" s="119">
        <v>0.1</v>
      </c>
      <c r="V2" s="119">
        <v>0.15</v>
      </c>
      <c r="W2" s="119">
        <v>0.3</v>
      </c>
      <c r="X2" s="119">
        <v>0.46</v>
      </c>
      <c r="Y2" s="119">
        <v>0.61</v>
      </c>
      <c r="Z2" s="119">
        <v>0.76</v>
      </c>
      <c r="AA2" s="119">
        <v>0.91</v>
      </c>
      <c r="AB2" s="119">
        <v>1.02</v>
      </c>
      <c r="AC2" s="119">
        <v>1.22</v>
      </c>
      <c r="AD2" s="119">
        <v>1.52</v>
      </c>
      <c r="AE2" s="119">
        <v>1.83</v>
      </c>
      <c r="AF2" s="119">
        <v>2.7</v>
      </c>
      <c r="AG2" s="119" t="s">
        <v>434</v>
      </c>
      <c r="AH2" s="119" t="s">
        <v>435</v>
      </c>
      <c r="AI2" s="119" t="s">
        <v>102</v>
      </c>
      <c r="AJ2" s="119">
        <v>-0.9</v>
      </c>
      <c r="AK2" s="119">
        <v>-0.46</v>
      </c>
      <c r="AL2" s="119">
        <v>0</v>
      </c>
      <c r="AM2" s="119">
        <v>0.03</v>
      </c>
      <c r="AN2" s="119">
        <v>0.05</v>
      </c>
      <c r="AO2" s="119">
        <v>0.1</v>
      </c>
      <c r="AP2" s="119">
        <v>0.15</v>
      </c>
      <c r="AQ2" s="119">
        <v>0.3</v>
      </c>
      <c r="AR2" s="119">
        <v>0.46</v>
      </c>
      <c r="AS2" s="119">
        <v>0.61</v>
      </c>
      <c r="AT2" s="119">
        <v>0.76</v>
      </c>
      <c r="AU2" s="119">
        <v>0.91</v>
      </c>
      <c r="AV2" s="119">
        <v>1.02</v>
      </c>
      <c r="AW2" s="119">
        <v>1.22</v>
      </c>
      <c r="AX2" s="119">
        <v>1.52</v>
      </c>
      <c r="AY2" s="119">
        <v>1.83</v>
      </c>
      <c r="AZ2" s="120">
        <v>2.7</v>
      </c>
    </row>
    <row r="3" spans="1:52" x14ac:dyDescent="0.25">
      <c r="A3">
        <v>1</v>
      </c>
      <c r="B3" t="s">
        <v>261</v>
      </c>
      <c r="C3" t="s">
        <v>484</v>
      </c>
      <c r="D3">
        <v>60</v>
      </c>
      <c r="E3">
        <v>304.2</v>
      </c>
      <c r="F3" t="s">
        <v>262</v>
      </c>
      <c r="G3">
        <v>5.07</v>
      </c>
      <c r="H3">
        <v>365.04</v>
      </c>
      <c r="I3" t="s">
        <v>263</v>
      </c>
      <c r="J3" t="s">
        <v>485</v>
      </c>
      <c r="K3" t="s">
        <v>622</v>
      </c>
      <c r="L3" t="s">
        <v>170</v>
      </c>
      <c r="M3" t="s">
        <v>379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379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365.04</v>
      </c>
      <c r="AV3">
        <f>$H$3*$AB$3</f>
        <v>365.04</v>
      </c>
      <c r="AW3">
        <f>$H$3*$AC$3</f>
        <v>365.04</v>
      </c>
      <c r="AX3">
        <f>$H$3*$AD$3</f>
        <v>365.04</v>
      </c>
      <c r="AY3">
        <f>$H$3*$AE$3</f>
        <v>365.04</v>
      </c>
      <c r="AZ3">
        <f>$H$3*$AF$3</f>
        <v>365.04</v>
      </c>
    </row>
    <row r="4" spans="1:52" x14ac:dyDescent="0.25">
      <c r="A4">
        <v>2</v>
      </c>
      <c r="B4" t="s">
        <v>261</v>
      </c>
      <c r="C4" t="s">
        <v>486</v>
      </c>
      <c r="D4">
        <v>60</v>
      </c>
      <c r="E4">
        <v>373.2</v>
      </c>
      <c r="F4" t="s">
        <v>262</v>
      </c>
      <c r="G4">
        <v>6.22</v>
      </c>
      <c r="H4">
        <v>447.84</v>
      </c>
      <c r="I4" t="s">
        <v>264</v>
      </c>
      <c r="J4" t="s">
        <v>487</v>
      </c>
      <c r="K4" t="s">
        <v>623</v>
      </c>
      <c r="L4" t="s">
        <v>170</v>
      </c>
      <c r="M4" t="s">
        <v>379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379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447.84</v>
      </c>
      <c r="AV4">
        <f>$H$4*$AB$4</f>
        <v>447.84</v>
      </c>
      <c r="AW4">
        <f>$H$4*$AC$4</f>
        <v>447.84</v>
      </c>
      <c r="AX4">
        <f>$H$4*$AD$4</f>
        <v>447.84</v>
      </c>
      <c r="AY4">
        <f>$H$4*$AE$4</f>
        <v>447.84</v>
      </c>
      <c r="AZ4">
        <f>$H$4*$AF$4</f>
        <v>447.84</v>
      </c>
    </row>
    <row r="5" spans="1:52" x14ac:dyDescent="0.25">
      <c r="A5">
        <v>5</v>
      </c>
      <c r="B5" t="s">
        <v>261</v>
      </c>
      <c r="C5" t="s">
        <v>266</v>
      </c>
      <c r="D5">
        <v>1</v>
      </c>
      <c r="E5">
        <v>94.01</v>
      </c>
      <c r="F5" t="s">
        <v>265</v>
      </c>
      <c r="G5">
        <v>94.01</v>
      </c>
      <c r="H5">
        <v>112.81</v>
      </c>
      <c r="I5" t="s">
        <v>267</v>
      </c>
      <c r="J5" t="s">
        <v>268</v>
      </c>
      <c r="K5" t="s">
        <v>380</v>
      </c>
      <c r="L5" t="s">
        <v>170</v>
      </c>
      <c r="M5" t="s">
        <v>379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379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112.81</v>
      </c>
      <c r="AY5">
        <f>$H$5*$AE$5</f>
        <v>112.81</v>
      </c>
      <c r="AZ5">
        <f>$H$5*$AF$5</f>
        <v>112.81</v>
      </c>
    </row>
    <row r="6" spans="1:52" x14ac:dyDescent="0.25">
      <c r="A6">
        <v>6</v>
      </c>
      <c r="B6" t="s">
        <v>261</v>
      </c>
      <c r="C6" t="s">
        <v>269</v>
      </c>
      <c r="D6">
        <v>1</v>
      </c>
      <c r="E6">
        <v>159.21</v>
      </c>
      <c r="F6" t="s">
        <v>265</v>
      </c>
      <c r="G6">
        <v>159.21</v>
      </c>
      <c r="H6">
        <v>191.05</v>
      </c>
      <c r="I6" t="s">
        <v>270</v>
      </c>
      <c r="J6" t="s">
        <v>271</v>
      </c>
      <c r="K6" t="s">
        <v>381</v>
      </c>
      <c r="L6" t="s">
        <v>170</v>
      </c>
      <c r="M6" t="s">
        <v>379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379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191.05</v>
      </c>
      <c r="AY6">
        <f>$H$6*$AE$6</f>
        <v>191.05</v>
      </c>
      <c r="AZ6">
        <f>$H$6*$AF$6</f>
        <v>191.05</v>
      </c>
    </row>
    <row r="7" spans="1:52" x14ac:dyDescent="0.25">
      <c r="A7">
        <v>7</v>
      </c>
      <c r="B7" t="s">
        <v>261</v>
      </c>
      <c r="C7" t="s">
        <v>272</v>
      </c>
      <c r="D7">
        <v>1</v>
      </c>
      <c r="E7">
        <v>84.7</v>
      </c>
      <c r="F7" t="s">
        <v>265</v>
      </c>
      <c r="G7">
        <v>84.7</v>
      </c>
      <c r="H7">
        <v>101.64</v>
      </c>
      <c r="I7" t="s">
        <v>273</v>
      </c>
      <c r="J7" t="s">
        <v>274</v>
      </c>
      <c r="K7" t="s">
        <v>382</v>
      </c>
      <c r="L7" t="s">
        <v>170</v>
      </c>
      <c r="M7" t="s">
        <v>379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379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18</v>
      </c>
      <c r="B8" t="s">
        <v>261</v>
      </c>
      <c r="C8" t="s">
        <v>490</v>
      </c>
      <c r="D8">
        <v>11</v>
      </c>
      <c r="E8">
        <v>1053.47</v>
      </c>
      <c r="F8" t="s">
        <v>488</v>
      </c>
      <c r="G8">
        <v>95.77</v>
      </c>
      <c r="H8">
        <v>1264.17</v>
      </c>
      <c r="I8" t="s">
        <v>264</v>
      </c>
      <c r="J8" t="s">
        <v>489</v>
      </c>
      <c r="K8" t="s">
        <v>624</v>
      </c>
      <c r="L8" t="s">
        <v>170</v>
      </c>
      <c r="M8" t="s">
        <v>379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0.1</v>
      </c>
      <c r="U8">
        <v>0.1</v>
      </c>
      <c r="V8">
        <v>0.2</v>
      </c>
      <c r="W8">
        <v>0.2</v>
      </c>
      <c r="X8">
        <v>0.2</v>
      </c>
      <c r="Y8">
        <v>0.3</v>
      </c>
      <c r="Z8">
        <v>0.3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379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126.41700000000002</v>
      </c>
      <c r="AO8">
        <f>$H$8*$U$8</f>
        <v>126.41700000000002</v>
      </c>
      <c r="AP8">
        <f>$H$8*$V$8</f>
        <v>252.83400000000003</v>
      </c>
      <c r="AQ8">
        <f>$H$8*$W$8</f>
        <v>252.83400000000003</v>
      </c>
      <c r="AR8">
        <f>$H$8*$X$8</f>
        <v>252.83400000000003</v>
      </c>
      <c r="AS8">
        <f>$H$8*$Y$8</f>
        <v>379.25100000000003</v>
      </c>
      <c r="AT8">
        <f>$H$8*$Z$8</f>
        <v>379.25100000000003</v>
      </c>
      <c r="AU8">
        <f>$H$8*$AA$8</f>
        <v>632.08500000000004</v>
      </c>
      <c r="AV8">
        <f>$H$8*$AB$8</f>
        <v>1264.17</v>
      </c>
      <c r="AW8">
        <f>$H$8*$AC$8</f>
        <v>1264.17</v>
      </c>
      <c r="AX8">
        <f>$H$8*$AD$8</f>
        <v>1264.17</v>
      </c>
      <c r="AY8">
        <f>$H$8*$AE$8</f>
        <v>1264.17</v>
      </c>
      <c r="AZ8">
        <f>$H$8*$AF$8</f>
        <v>1264.17</v>
      </c>
    </row>
    <row r="9" spans="1:52" x14ac:dyDescent="0.25">
      <c r="A9">
        <v>21</v>
      </c>
      <c r="B9" t="s">
        <v>261</v>
      </c>
      <c r="C9" t="s">
        <v>277</v>
      </c>
      <c r="D9">
        <v>1</v>
      </c>
      <c r="E9">
        <v>1530.33</v>
      </c>
      <c r="F9" t="s">
        <v>265</v>
      </c>
      <c r="G9">
        <v>1530.33</v>
      </c>
      <c r="H9">
        <v>1836.39</v>
      </c>
      <c r="I9" t="s">
        <v>276</v>
      </c>
      <c r="J9" t="s">
        <v>278</v>
      </c>
      <c r="K9" t="s">
        <v>383</v>
      </c>
      <c r="L9" t="s">
        <v>170</v>
      </c>
      <c r="M9" t="s">
        <v>384</v>
      </c>
      <c r="N9" t="s">
        <v>26</v>
      </c>
      <c r="O9" t="s">
        <v>67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384</v>
      </c>
      <c r="AH9" t="s">
        <v>26</v>
      </c>
      <c r="AI9" t="s">
        <v>67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1836.39</v>
      </c>
      <c r="AP9">
        <f>$H$9*$V$9</f>
        <v>1836.39</v>
      </c>
      <c r="AQ9">
        <f>$H$9*$W$9</f>
        <v>1836.39</v>
      </c>
      <c r="AR9">
        <f>$H$9*$X$9</f>
        <v>1836.39</v>
      </c>
      <c r="AS9">
        <f>$H$9*$Y$9</f>
        <v>1836.39</v>
      </c>
      <c r="AT9">
        <f>$H$9*$Z$9</f>
        <v>1836.39</v>
      </c>
      <c r="AU9">
        <f>$H$9*$AA$9</f>
        <v>1836.39</v>
      </c>
      <c r="AV9">
        <f>$H$9*$AB$9</f>
        <v>1836.39</v>
      </c>
      <c r="AW9">
        <f>$H$9*$AC$9</f>
        <v>1836.39</v>
      </c>
      <c r="AX9">
        <f>$H$9*$AD$9</f>
        <v>1836.39</v>
      </c>
      <c r="AY9">
        <f>$H$9*$AE$9</f>
        <v>1836.39</v>
      </c>
      <c r="AZ9">
        <f>$H$9*$AF$9</f>
        <v>1836.39</v>
      </c>
    </row>
    <row r="10" spans="1:52" x14ac:dyDescent="0.25">
      <c r="A10">
        <v>30</v>
      </c>
      <c r="B10" t="s">
        <v>261</v>
      </c>
      <c r="C10" t="s">
        <v>279</v>
      </c>
      <c r="D10">
        <v>25</v>
      </c>
      <c r="E10">
        <v>193.25</v>
      </c>
      <c r="F10" t="s">
        <v>262</v>
      </c>
      <c r="G10">
        <v>7.73</v>
      </c>
      <c r="H10">
        <v>231.91</v>
      </c>
      <c r="I10" t="s">
        <v>263</v>
      </c>
      <c r="J10" t="s">
        <v>280</v>
      </c>
      <c r="K10" t="s">
        <v>385</v>
      </c>
      <c r="L10" t="s">
        <v>170</v>
      </c>
      <c r="M10" t="s">
        <v>379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379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231.91</v>
      </c>
      <c r="AV10">
        <f>$H$10*$AB$10</f>
        <v>231.91</v>
      </c>
      <c r="AW10">
        <f>$H$10*$AC$10</f>
        <v>231.91</v>
      </c>
      <c r="AX10">
        <f>$H$10*$AD$10</f>
        <v>231.91</v>
      </c>
      <c r="AY10">
        <f>$H$10*$AE$10</f>
        <v>231.91</v>
      </c>
      <c r="AZ10">
        <f>$H$10*$AF$10</f>
        <v>231.91</v>
      </c>
    </row>
    <row r="11" spans="1:52" x14ac:dyDescent="0.25">
      <c r="A11">
        <v>31</v>
      </c>
      <c r="B11" t="s">
        <v>261</v>
      </c>
      <c r="C11" t="s">
        <v>281</v>
      </c>
      <c r="D11">
        <v>25</v>
      </c>
      <c r="E11">
        <v>320.5</v>
      </c>
      <c r="F11" t="s">
        <v>262</v>
      </c>
      <c r="G11">
        <v>12.82</v>
      </c>
      <c r="H11">
        <v>384.6</v>
      </c>
      <c r="I11" t="s">
        <v>264</v>
      </c>
      <c r="J11" t="s">
        <v>282</v>
      </c>
      <c r="K11" t="s">
        <v>386</v>
      </c>
      <c r="L11" t="s">
        <v>170</v>
      </c>
      <c r="M11" t="s">
        <v>379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379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384.6</v>
      </c>
      <c r="AV11">
        <f>$H$11*$AB$11</f>
        <v>384.6</v>
      </c>
      <c r="AW11">
        <f>$H$11*$AC$11</f>
        <v>384.6</v>
      </c>
      <c r="AX11">
        <f>$H$11*$AD$11</f>
        <v>384.6</v>
      </c>
      <c r="AY11">
        <f>$H$11*$AE$11</f>
        <v>384.6</v>
      </c>
      <c r="AZ11">
        <f>$H$11*$AF$11</f>
        <v>384.6</v>
      </c>
    </row>
    <row r="12" spans="1:52" x14ac:dyDescent="0.25">
      <c r="A12">
        <v>32</v>
      </c>
      <c r="B12" t="s">
        <v>261</v>
      </c>
      <c r="C12" t="s">
        <v>283</v>
      </c>
      <c r="D12">
        <v>122</v>
      </c>
      <c r="E12">
        <v>197.64</v>
      </c>
      <c r="F12" t="s">
        <v>275</v>
      </c>
      <c r="G12">
        <v>1.62</v>
      </c>
      <c r="H12">
        <v>237.16</v>
      </c>
      <c r="I12" t="s">
        <v>263</v>
      </c>
      <c r="J12" t="s">
        <v>284</v>
      </c>
      <c r="K12" t="s">
        <v>387</v>
      </c>
      <c r="L12" t="s">
        <v>170</v>
      </c>
      <c r="M12" t="s">
        <v>379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379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237.16</v>
      </c>
      <c r="AO12">
        <f>$H$12*$U$12</f>
        <v>237.16</v>
      </c>
      <c r="AP12">
        <f>$H$12*$V$12</f>
        <v>237.16</v>
      </c>
      <c r="AQ12">
        <f>$H$12*$W$12</f>
        <v>237.16</v>
      </c>
      <c r="AR12">
        <f>$H$12*$X$12</f>
        <v>237.16</v>
      </c>
      <c r="AS12">
        <f>$H$12*$Y$12</f>
        <v>237.16</v>
      </c>
      <c r="AT12">
        <f>$H$12*$Z$12</f>
        <v>237.16</v>
      </c>
      <c r="AU12">
        <f>$H$12*$AA$12</f>
        <v>237.16</v>
      </c>
      <c r="AV12">
        <f>$H$12*$AB$12</f>
        <v>237.16</v>
      </c>
      <c r="AW12">
        <f>$H$12*$AC$12</f>
        <v>237.16</v>
      </c>
      <c r="AX12">
        <f>$H$12*$AD$12</f>
        <v>237.16</v>
      </c>
      <c r="AY12">
        <f>$H$12*$AE$12</f>
        <v>237.16</v>
      </c>
      <c r="AZ12">
        <f>$H$12*$AF$12</f>
        <v>237.16</v>
      </c>
    </row>
    <row r="13" spans="1:52" x14ac:dyDescent="0.25">
      <c r="A13">
        <v>33</v>
      </c>
      <c r="B13" t="s">
        <v>261</v>
      </c>
      <c r="C13" t="s">
        <v>285</v>
      </c>
      <c r="D13">
        <v>122</v>
      </c>
      <c r="E13">
        <v>503.86</v>
      </c>
      <c r="F13" t="s">
        <v>275</v>
      </c>
      <c r="G13">
        <v>4.13</v>
      </c>
      <c r="H13">
        <v>604.64</v>
      </c>
      <c r="I13" t="s">
        <v>286</v>
      </c>
      <c r="J13" t="s">
        <v>287</v>
      </c>
      <c r="K13" t="s">
        <v>388</v>
      </c>
      <c r="L13" t="s">
        <v>170</v>
      </c>
      <c r="M13" t="s">
        <v>379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0.25</v>
      </c>
      <c r="T13">
        <v>0.25</v>
      </c>
      <c r="U13">
        <v>0.25</v>
      </c>
      <c r="V13">
        <v>0.25</v>
      </c>
      <c r="W13">
        <v>0.5</v>
      </c>
      <c r="X13">
        <v>0.5</v>
      </c>
      <c r="Y13">
        <v>0.5</v>
      </c>
      <c r="Z13">
        <v>0.5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379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151.16</v>
      </c>
      <c r="AN13">
        <f>$H$13*$T$13</f>
        <v>151.16</v>
      </c>
      <c r="AO13">
        <f>$H$13*$U$13</f>
        <v>151.16</v>
      </c>
      <c r="AP13">
        <f>$H$13*$V$13</f>
        <v>151.16</v>
      </c>
      <c r="AQ13">
        <f>$H$13*$W$13</f>
        <v>302.32</v>
      </c>
      <c r="AR13">
        <f>$H$13*$X$13</f>
        <v>302.32</v>
      </c>
      <c r="AS13">
        <f>$H$13*$Y$13</f>
        <v>302.32</v>
      </c>
      <c r="AT13">
        <f>$H$13*$Z$13</f>
        <v>302.32</v>
      </c>
      <c r="AU13">
        <f>$H$13*$AA$13</f>
        <v>604.64</v>
      </c>
      <c r="AV13">
        <f>$H$13*$AB$13</f>
        <v>604.64</v>
      </c>
      <c r="AW13">
        <f>$H$13*$AC$13</f>
        <v>604.64</v>
      </c>
      <c r="AX13">
        <f>$H$13*$AD$13</f>
        <v>604.64</v>
      </c>
      <c r="AY13">
        <f>$H$13*$AE$13</f>
        <v>604.64</v>
      </c>
      <c r="AZ13">
        <f>$H$13*$AF$13</f>
        <v>604.64</v>
      </c>
    </row>
    <row r="14" spans="1:52" x14ac:dyDescent="0.25">
      <c r="A14">
        <v>34</v>
      </c>
      <c r="B14" t="s">
        <v>261</v>
      </c>
      <c r="C14" t="s">
        <v>288</v>
      </c>
      <c r="D14">
        <v>1</v>
      </c>
      <c r="E14">
        <v>63.54</v>
      </c>
      <c r="F14" t="s">
        <v>265</v>
      </c>
      <c r="G14">
        <v>63.54</v>
      </c>
      <c r="H14">
        <v>76.239999999999995</v>
      </c>
      <c r="I14" t="s">
        <v>289</v>
      </c>
      <c r="J14" t="s">
        <v>290</v>
      </c>
      <c r="K14" t="s">
        <v>389</v>
      </c>
      <c r="L14" t="s">
        <v>170</v>
      </c>
      <c r="M14" t="s">
        <v>379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379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76.239999999999995</v>
      </c>
      <c r="AV14">
        <f>$H$14*$AB$14</f>
        <v>76.239999999999995</v>
      </c>
      <c r="AW14">
        <f>$H$14*$AC$14</f>
        <v>76.239999999999995</v>
      </c>
      <c r="AX14">
        <f>$H$14*$AD$14</f>
        <v>76.239999999999995</v>
      </c>
      <c r="AY14">
        <f>$H$14*$AE$14</f>
        <v>76.239999999999995</v>
      </c>
      <c r="AZ14">
        <f>$H$14*$AF$14</f>
        <v>76.239999999999995</v>
      </c>
    </row>
    <row r="15" spans="1:52" x14ac:dyDescent="0.25">
      <c r="A15">
        <v>35</v>
      </c>
      <c r="B15" t="s">
        <v>261</v>
      </c>
      <c r="C15" t="s">
        <v>291</v>
      </c>
      <c r="D15">
        <v>1</v>
      </c>
      <c r="E15">
        <v>410.31</v>
      </c>
      <c r="F15" t="s">
        <v>265</v>
      </c>
      <c r="G15">
        <v>410.31</v>
      </c>
      <c r="H15">
        <v>492.37</v>
      </c>
      <c r="I15" t="s">
        <v>292</v>
      </c>
      <c r="J15" t="s">
        <v>293</v>
      </c>
      <c r="K15" t="s">
        <v>390</v>
      </c>
      <c r="L15" t="s">
        <v>170</v>
      </c>
      <c r="M15" t="s">
        <v>379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379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492.37</v>
      </c>
      <c r="AO15">
        <f>$H$15*$U$15</f>
        <v>492.37</v>
      </c>
      <c r="AP15">
        <f>$H$15*$V$15</f>
        <v>492.37</v>
      </c>
      <c r="AQ15">
        <f>$H$15*$W$15</f>
        <v>492.37</v>
      </c>
      <c r="AR15">
        <f>$H$15*$X$15</f>
        <v>492.37</v>
      </c>
      <c r="AS15">
        <f>$H$15*$Y$15</f>
        <v>492.37</v>
      </c>
      <c r="AT15">
        <f>$H$15*$Z$15</f>
        <v>492.37</v>
      </c>
      <c r="AU15">
        <f>$H$15*$AA$15</f>
        <v>492.37</v>
      </c>
      <c r="AV15">
        <f>$H$15*$AB$15</f>
        <v>492.37</v>
      </c>
      <c r="AW15">
        <f>$H$15*$AC$15</f>
        <v>492.37</v>
      </c>
      <c r="AX15">
        <f>$H$15*$AD$15</f>
        <v>492.37</v>
      </c>
      <c r="AY15">
        <f>$H$15*$AE$15</f>
        <v>492.37</v>
      </c>
      <c r="AZ15">
        <f>$H$15*$AF$15</f>
        <v>492.37</v>
      </c>
    </row>
    <row r="16" spans="1:52" x14ac:dyDescent="0.25">
      <c r="A16">
        <v>36</v>
      </c>
      <c r="B16" t="s">
        <v>261</v>
      </c>
      <c r="C16" t="s">
        <v>294</v>
      </c>
      <c r="D16">
        <v>2</v>
      </c>
      <c r="E16">
        <v>106.22</v>
      </c>
      <c r="F16" t="s">
        <v>265</v>
      </c>
      <c r="G16">
        <v>53.11</v>
      </c>
      <c r="H16">
        <v>127.46</v>
      </c>
      <c r="I16" t="s">
        <v>263</v>
      </c>
      <c r="J16" t="s">
        <v>295</v>
      </c>
      <c r="K16" t="s">
        <v>391</v>
      </c>
      <c r="L16" t="s">
        <v>170</v>
      </c>
      <c r="M16" t="s">
        <v>379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379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127.46</v>
      </c>
      <c r="AN16">
        <f>$H$16*$T$16</f>
        <v>127.46</v>
      </c>
      <c r="AO16">
        <f>$H$16*$U$16</f>
        <v>127.46</v>
      </c>
      <c r="AP16">
        <f>$H$16*$V$16</f>
        <v>127.46</v>
      </c>
      <c r="AQ16">
        <f>$H$16*$W$16</f>
        <v>127.46</v>
      </c>
      <c r="AR16">
        <f>$H$16*$X$16</f>
        <v>127.46</v>
      </c>
      <c r="AS16">
        <f>$H$16*$Y$16</f>
        <v>127.46</v>
      </c>
      <c r="AT16">
        <f>$H$16*$Z$16</f>
        <v>127.46</v>
      </c>
      <c r="AU16">
        <f>$H$16*$AA$16</f>
        <v>127.46</v>
      </c>
      <c r="AV16">
        <f>$H$16*$AB$16</f>
        <v>127.46</v>
      </c>
      <c r="AW16">
        <f>$H$16*$AC$16</f>
        <v>127.46</v>
      </c>
      <c r="AX16">
        <f>$H$16*$AD$16</f>
        <v>127.46</v>
      </c>
      <c r="AY16">
        <f>$H$16*$AE$16</f>
        <v>127.46</v>
      </c>
      <c r="AZ16">
        <f>$H$16*$AF$16</f>
        <v>127.46</v>
      </c>
    </row>
    <row r="17" spans="1:52" x14ac:dyDescent="0.25">
      <c r="A17">
        <v>37</v>
      </c>
      <c r="B17" t="s">
        <v>261</v>
      </c>
      <c r="C17" t="s">
        <v>296</v>
      </c>
      <c r="D17">
        <v>2</v>
      </c>
      <c r="E17">
        <v>126.18</v>
      </c>
      <c r="F17" t="s">
        <v>265</v>
      </c>
      <c r="G17">
        <v>63.09</v>
      </c>
      <c r="H17">
        <v>151.41999999999999</v>
      </c>
      <c r="I17" t="s">
        <v>263</v>
      </c>
      <c r="J17" t="s">
        <v>292</v>
      </c>
      <c r="K17" t="s">
        <v>392</v>
      </c>
      <c r="L17" t="s">
        <v>170</v>
      </c>
      <c r="M17" t="s">
        <v>379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379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151.41999999999999</v>
      </c>
      <c r="AN17">
        <f>$H$17*$T$17</f>
        <v>151.41999999999999</v>
      </c>
      <c r="AO17">
        <f>$H$17*$U$17</f>
        <v>151.41999999999999</v>
      </c>
      <c r="AP17">
        <f>$H$17*$V$17</f>
        <v>151.41999999999999</v>
      </c>
      <c r="AQ17">
        <f>$H$17*$W$17</f>
        <v>151.41999999999999</v>
      </c>
      <c r="AR17">
        <f>$H$17*$X$17</f>
        <v>151.41999999999999</v>
      </c>
      <c r="AS17">
        <f>$H$17*$Y$17</f>
        <v>151.41999999999999</v>
      </c>
      <c r="AT17">
        <f>$H$17*$Z$17</f>
        <v>151.41999999999999</v>
      </c>
      <c r="AU17">
        <f>$H$17*$AA$17</f>
        <v>151.41999999999999</v>
      </c>
      <c r="AV17">
        <f>$H$17*$AB$17</f>
        <v>151.41999999999999</v>
      </c>
      <c r="AW17">
        <f>$H$17*$AC$17</f>
        <v>151.41999999999999</v>
      </c>
      <c r="AX17">
        <f>$H$17*$AD$17</f>
        <v>151.41999999999999</v>
      </c>
      <c r="AY17">
        <f>$H$17*$AE$17</f>
        <v>151.41999999999999</v>
      </c>
      <c r="AZ17">
        <f>$H$17*$AF$17</f>
        <v>151.41999999999999</v>
      </c>
    </row>
    <row r="18" spans="1:52" x14ac:dyDescent="0.25">
      <c r="A18">
        <v>40</v>
      </c>
      <c r="B18" t="s">
        <v>261</v>
      </c>
      <c r="C18" t="s">
        <v>297</v>
      </c>
      <c r="D18">
        <v>1912.98</v>
      </c>
      <c r="E18">
        <v>5643.29</v>
      </c>
      <c r="F18" t="s">
        <v>275</v>
      </c>
      <c r="G18">
        <v>2.95</v>
      </c>
      <c r="H18">
        <v>6771.95</v>
      </c>
      <c r="I18" t="s">
        <v>298</v>
      </c>
      <c r="J18" t="s">
        <v>299</v>
      </c>
      <c r="K18" t="s">
        <v>625</v>
      </c>
      <c r="L18" t="s">
        <v>170</v>
      </c>
      <c r="M18" t="s">
        <v>395</v>
      </c>
      <c r="N18" t="s">
        <v>12</v>
      </c>
      <c r="O18" t="s">
        <v>68</v>
      </c>
      <c r="P18">
        <v>0</v>
      </c>
      <c r="Q18">
        <v>0.5</v>
      </c>
      <c r="R18">
        <v>0.5</v>
      </c>
      <c r="S18">
        <v>0.625</v>
      </c>
      <c r="T18">
        <v>0.625</v>
      </c>
      <c r="U18">
        <v>0.625</v>
      </c>
      <c r="V18">
        <v>0.625</v>
      </c>
      <c r="W18">
        <v>0.625</v>
      </c>
      <c r="X18">
        <v>0.75</v>
      </c>
      <c r="Y18">
        <v>0.75</v>
      </c>
      <c r="Z18">
        <v>0.75</v>
      </c>
      <c r="AA18">
        <v>0.75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395</v>
      </c>
      <c r="AH18" t="s">
        <v>12</v>
      </c>
      <c r="AI18" t="s">
        <v>68</v>
      </c>
      <c r="AJ18">
        <f>$H$18*$P$18</f>
        <v>0</v>
      </c>
      <c r="AK18">
        <f>$H$18*$Q$18</f>
        <v>3385.9749999999999</v>
      </c>
      <c r="AL18">
        <f>$H$18*$R$18</f>
        <v>3385.9749999999999</v>
      </c>
      <c r="AM18">
        <f>$H$18*$S$18</f>
        <v>4232.46875</v>
      </c>
      <c r="AN18">
        <f>$H$18*$T$18</f>
        <v>4232.46875</v>
      </c>
      <c r="AO18">
        <f>$H$18*$U$18</f>
        <v>4232.46875</v>
      </c>
      <c r="AP18">
        <f>$H$18*$V$18</f>
        <v>4232.46875</v>
      </c>
      <c r="AQ18">
        <f>$H$18*$W$18</f>
        <v>4232.46875</v>
      </c>
      <c r="AR18">
        <f>$H$18*$X$18</f>
        <v>5078.9624999999996</v>
      </c>
      <c r="AS18">
        <f>$H$18*$Y$18</f>
        <v>5078.9624999999996</v>
      </c>
      <c r="AT18">
        <f>$H$18*$Z$18</f>
        <v>5078.9624999999996</v>
      </c>
      <c r="AU18">
        <f>$H$18*$AA$18</f>
        <v>5078.9624999999996</v>
      </c>
      <c r="AV18">
        <f>$H$18*$AB$18</f>
        <v>6771.95</v>
      </c>
      <c r="AW18">
        <f>$H$18*$AC$18</f>
        <v>6771.95</v>
      </c>
      <c r="AX18">
        <f>$H$18*$AD$18</f>
        <v>6771.95</v>
      </c>
      <c r="AY18">
        <f>$H$18*$AE$18</f>
        <v>6771.95</v>
      </c>
      <c r="AZ18">
        <f>$H$18*$AF$18</f>
        <v>6771.95</v>
      </c>
    </row>
    <row r="19" spans="1:52" x14ac:dyDescent="0.25">
      <c r="A19">
        <v>41</v>
      </c>
      <c r="B19" t="s">
        <v>261</v>
      </c>
      <c r="C19" t="s">
        <v>297</v>
      </c>
      <c r="D19">
        <v>1600</v>
      </c>
      <c r="E19">
        <v>4720</v>
      </c>
      <c r="F19" t="s">
        <v>275</v>
      </c>
      <c r="G19">
        <v>2.95</v>
      </c>
      <c r="H19">
        <v>5664</v>
      </c>
      <c r="I19" t="s">
        <v>298</v>
      </c>
      <c r="J19" t="s">
        <v>299</v>
      </c>
      <c r="K19" t="s">
        <v>625</v>
      </c>
      <c r="L19" t="s">
        <v>170</v>
      </c>
      <c r="M19" t="s">
        <v>395</v>
      </c>
      <c r="N19" t="s">
        <v>12</v>
      </c>
      <c r="O19" t="s">
        <v>68</v>
      </c>
      <c r="P19">
        <v>0</v>
      </c>
      <c r="Q19">
        <v>0.5</v>
      </c>
      <c r="R19">
        <v>0.5</v>
      </c>
      <c r="S19">
        <v>0.625</v>
      </c>
      <c r="T19">
        <v>0.625</v>
      </c>
      <c r="U19">
        <v>0.625</v>
      </c>
      <c r="V19">
        <v>0.625</v>
      </c>
      <c r="W19">
        <v>0.625</v>
      </c>
      <c r="X19">
        <v>0.75</v>
      </c>
      <c r="Y19">
        <v>0.75</v>
      </c>
      <c r="Z19">
        <v>0.75</v>
      </c>
      <c r="AA19">
        <v>0.75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395</v>
      </c>
      <c r="AH19" t="s">
        <v>12</v>
      </c>
      <c r="AI19" t="s">
        <v>68</v>
      </c>
      <c r="AJ19">
        <f>$H$19*$P$19</f>
        <v>0</v>
      </c>
      <c r="AK19">
        <f>$H$19*$Q$19</f>
        <v>2832</v>
      </c>
      <c r="AL19">
        <f>$H$19*$R$19</f>
        <v>2832</v>
      </c>
      <c r="AM19">
        <f>$H$19*$S$19</f>
        <v>3540</v>
      </c>
      <c r="AN19">
        <f>$H$19*$T$19</f>
        <v>3540</v>
      </c>
      <c r="AO19">
        <f>$H$19*$U$19</f>
        <v>3540</v>
      </c>
      <c r="AP19">
        <f>$H$19*$V$19</f>
        <v>3540</v>
      </c>
      <c r="AQ19">
        <f>$H$19*$W$19</f>
        <v>3540</v>
      </c>
      <c r="AR19">
        <f>$H$19*$X$19</f>
        <v>4248</v>
      </c>
      <c r="AS19">
        <f>$H$19*$Y$19</f>
        <v>4248</v>
      </c>
      <c r="AT19">
        <f>$H$19*$Z$19</f>
        <v>4248</v>
      </c>
      <c r="AU19">
        <f>$H$19*$AA$19</f>
        <v>4248</v>
      </c>
      <c r="AV19">
        <f>$H$19*$AB$19</f>
        <v>5664</v>
      </c>
      <c r="AW19">
        <f>$H$19*$AC$19</f>
        <v>5664</v>
      </c>
      <c r="AX19">
        <f>$H$19*$AD$19</f>
        <v>5664</v>
      </c>
      <c r="AY19">
        <f>$H$19*$AE$19</f>
        <v>5664</v>
      </c>
      <c r="AZ19">
        <f>$H$19*$AF$19</f>
        <v>5664</v>
      </c>
    </row>
    <row r="20" spans="1:52" x14ac:dyDescent="0.25">
      <c r="A20">
        <v>43</v>
      </c>
      <c r="B20" t="s">
        <v>261</v>
      </c>
      <c r="C20" t="s">
        <v>300</v>
      </c>
      <c r="D20">
        <v>1</v>
      </c>
      <c r="E20">
        <v>4393.7299999999996</v>
      </c>
      <c r="F20" t="s">
        <v>265</v>
      </c>
      <c r="G20">
        <v>4393.7299999999996</v>
      </c>
      <c r="H20">
        <v>5272.47</v>
      </c>
      <c r="I20" t="s">
        <v>273</v>
      </c>
      <c r="J20" t="s">
        <v>301</v>
      </c>
      <c r="K20" t="s">
        <v>393</v>
      </c>
      <c r="L20" t="s">
        <v>170</v>
      </c>
      <c r="M20" t="s">
        <v>384</v>
      </c>
      <c r="N20" t="s">
        <v>26</v>
      </c>
      <c r="O20" t="s">
        <v>67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384</v>
      </c>
      <c r="AH20" t="s">
        <v>26</v>
      </c>
      <c r="AI20" t="s">
        <v>67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0</v>
      </c>
      <c r="AN20">
        <f>$H$20*$T$20</f>
        <v>0</v>
      </c>
      <c r="AO20">
        <f>$H$20*$U$20</f>
        <v>0</v>
      </c>
      <c r="AP20">
        <f>$H$20*$V$20</f>
        <v>5272.47</v>
      </c>
      <c r="AQ20">
        <f>$H$20*$W$20</f>
        <v>5272.47</v>
      </c>
      <c r="AR20">
        <f>$H$20*$X$20</f>
        <v>5272.47</v>
      </c>
      <c r="AS20">
        <f>$H$20*$Y$20</f>
        <v>5272.47</v>
      </c>
      <c r="AT20">
        <f>$H$20*$Z$20</f>
        <v>5272.47</v>
      </c>
      <c r="AU20">
        <f>$H$20*$AA$20</f>
        <v>5272.47</v>
      </c>
      <c r="AV20">
        <f>$H$20*$AB$20</f>
        <v>5272.47</v>
      </c>
      <c r="AW20">
        <f>$H$20*$AC$20</f>
        <v>5272.47</v>
      </c>
      <c r="AX20">
        <f>$H$20*$AD$20</f>
        <v>5272.47</v>
      </c>
      <c r="AY20">
        <f>$H$20*$AE$20</f>
        <v>5272.47</v>
      </c>
      <c r="AZ20">
        <f>$H$20*$AF$20</f>
        <v>5272.47</v>
      </c>
    </row>
    <row r="21" spans="1:52" x14ac:dyDescent="0.25">
      <c r="A21">
        <v>44</v>
      </c>
      <c r="B21" t="s">
        <v>261</v>
      </c>
      <c r="C21" t="s">
        <v>491</v>
      </c>
      <c r="D21">
        <v>1</v>
      </c>
      <c r="E21">
        <v>7235.05</v>
      </c>
      <c r="F21" t="s">
        <v>265</v>
      </c>
      <c r="G21">
        <v>7235.05</v>
      </c>
      <c r="H21">
        <v>8682.07</v>
      </c>
      <c r="I21" t="s">
        <v>273</v>
      </c>
      <c r="J21" t="s">
        <v>492</v>
      </c>
      <c r="K21" t="s">
        <v>626</v>
      </c>
      <c r="L21" t="s">
        <v>170</v>
      </c>
      <c r="M21" t="s">
        <v>384</v>
      </c>
      <c r="N21" t="s">
        <v>26</v>
      </c>
      <c r="O21" t="s">
        <v>67</v>
      </c>
      <c r="P21">
        <v>0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384</v>
      </c>
      <c r="AH21" t="s">
        <v>26</v>
      </c>
      <c r="AI21" t="s">
        <v>67</v>
      </c>
      <c r="AJ21">
        <f>$H$21*$P$21</f>
        <v>0</v>
      </c>
      <c r="AK21">
        <f>$H$21*$Q$21</f>
        <v>8682.07</v>
      </c>
      <c r="AL21">
        <f>$H$21*$R$21</f>
        <v>8682.07</v>
      </c>
      <c r="AM21">
        <f>$H$21*$S$21</f>
        <v>8682.07</v>
      </c>
      <c r="AN21">
        <f>$H$21*$T$21</f>
        <v>8682.07</v>
      </c>
      <c r="AO21">
        <f>$H$21*$U$21</f>
        <v>8682.07</v>
      </c>
      <c r="AP21">
        <f>$H$21*$V$21</f>
        <v>8682.07</v>
      </c>
      <c r="AQ21">
        <f>$H$21*$W$21</f>
        <v>8682.07</v>
      </c>
      <c r="AR21">
        <f>$H$21*$X$21</f>
        <v>8682.07</v>
      </c>
      <c r="AS21">
        <f>$H$21*$Y$21</f>
        <v>8682.07</v>
      </c>
      <c r="AT21">
        <f>$H$21*$Z$21</f>
        <v>8682.07</v>
      </c>
      <c r="AU21">
        <f>$H$21*$AA$21</f>
        <v>8682.07</v>
      </c>
      <c r="AV21">
        <f>$H$21*$AB$21</f>
        <v>8682.07</v>
      </c>
      <c r="AW21">
        <f>$H$21*$AC$21</f>
        <v>8682.07</v>
      </c>
      <c r="AX21">
        <f>$H$21*$AD$21</f>
        <v>8682.07</v>
      </c>
      <c r="AY21">
        <f>$H$21*$AE$21</f>
        <v>8682.07</v>
      </c>
      <c r="AZ21">
        <f>$H$21*$AF$21</f>
        <v>8682.07</v>
      </c>
    </row>
    <row r="22" spans="1:52" x14ac:dyDescent="0.25">
      <c r="A22">
        <v>45</v>
      </c>
      <c r="B22" t="s">
        <v>261</v>
      </c>
      <c r="C22" t="s">
        <v>302</v>
      </c>
      <c r="D22">
        <v>1</v>
      </c>
      <c r="E22">
        <v>171.19</v>
      </c>
      <c r="F22" t="s">
        <v>265</v>
      </c>
      <c r="G22">
        <v>171.19</v>
      </c>
      <c r="H22">
        <v>205.43</v>
      </c>
      <c r="I22" t="s">
        <v>273</v>
      </c>
      <c r="J22" t="s">
        <v>303</v>
      </c>
      <c r="K22" t="s">
        <v>394</v>
      </c>
      <c r="L22" t="s">
        <v>170</v>
      </c>
      <c r="M22" t="s">
        <v>379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379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205.43</v>
      </c>
      <c r="AX22">
        <f>$H$22*$AD$22</f>
        <v>205.43</v>
      </c>
      <c r="AY22">
        <f>$H$22*$AE$22</f>
        <v>205.43</v>
      </c>
      <c r="AZ22">
        <f>$H$22*$AF$22</f>
        <v>205.43</v>
      </c>
    </row>
    <row r="23" spans="1:52" x14ac:dyDescent="0.25">
      <c r="A23">
        <v>46</v>
      </c>
      <c r="B23" t="s">
        <v>261</v>
      </c>
      <c r="C23" t="s">
        <v>493</v>
      </c>
      <c r="D23">
        <v>1</v>
      </c>
      <c r="E23">
        <v>81.67</v>
      </c>
      <c r="F23" t="s">
        <v>265</v>
      </c>
      <c r="G23">
        <v>81.67</v>
      </c>
      <c r="H23">
        <v>98.01</v>
      </c>
      <c r="I23" t="s">
        <v>273</v>
      </c>
      <c r="J23" t="s">
        <v>494</v>
      </c>
      <c r="K23" t="s">
        <v>627</v>
      </c>
      <c r="L23" t="s">
        <v>170</v>
      </c>
      <c r="M23" t="s">
        <v>384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384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98.01</v>
      </c>
      <c r="AQ23">
        <f>$H$23*$W$23</f>
        <v>98.01</v>
      </c>
      <c r="AR23">
        <f>$H$23*$X$23</f>
        <v>98.01</v>
      </c>
      <c r="AS23">
        <f>$H$23*$Y$23</f>
        <v>98.01</v>
      </c>
      <c r="AT23">
        <f>$H$23*$Z$23</f>
        <v>98.01</v>
      </c>
      <c r="AU23">
        <f>$H$23*$AA$23</f>
        <v>98.01</v>
      </c>
      <c r="AV23">
        <f>$H$23*$AB$23</f>
        <v>98.01</v>
      </c>
      <c r="AW23">
        <f>$H$23*$AC$23</f>
        <v>98.01</v>
      </c>
      <c r="AX23">
        <f>$H$23*$AD$23</f>
        <v>98.01</v>
      </c>
      <c r="AY23">
        <f>$H$23*$AE$23</f>
        <v>98.01</v>
      </c>
      <c r="AZ23">
        <f>$H$23*$AF$23</f>
        <v>98.01</v>
      </c>
    </row>
    <row r="24" spans="1:52" x14ac:dyDescent="0.25">
      <c r="A24">
        <v>47</v>
      </c>
      <c r="B24" t="s">
        <v>261</v>
      </c>
      <c r="C24" t="s">
        <v>495</v>
      </c>
      <c r="D24">
        <v>1</v>
      </c>
      <c r="E24">
        <v>4700.3500000000004</v>
      </c>
      <c r="F24" t="s">
        <v>265</v>
      </c>
      <c r="G24">
        <v>4700.3500000000004</v>
      </c>
      <c r="H24">
        <v>5640.43</v>
      </c>
      <c r="I24" t="s">
        <v>273</v>
      </c>
      <c r="J24" t="s">
        <v>496</v>
      </c>
      <c r="K24" t="s">
        <v>628</v>
      </c>
      <c r="L24" t="s">
        <v>170</v>
      </c>
      <c r="M24" t="s">
        <v>384</v>
      </c>
      <c r="N24" t="s">
        <v>26</v>
      </c>
      <c r="O24" t="s">
        <v>67</v>
      </c>
      <c r="P24">
        <v>0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384</v>
      </c>
      <c r="AH24" t="s">
        <v>26</v>
      </c>
      <c r="AI24" t="s">
        <v>67</v>
      </c>
      <c r="AJ24">
        <f>$H$24*$P$24</f>
        <v>0</v>
      </c>
      <c r="AK24">
        <f>$H$24*$Q$24</f>
        <v>5640.43</v>
      </c>
      <c r="AL24">
        <f>$H$24*$R$24</f>
        <v>5640.43</v>
      </c>
      <c r="AM24">
        <f>$H$24*$S$24</f>
        <v>5640.43</v>
      </c>
      <c r="AN24">
        <f>$H$24*$T$24</f>
        <v>5640.43</v>
      </c>
      <c r="AO24">
        <f>$H$24*$U$24</f>
        <v>5640.43</v>
      </c>
      <c r="AP24">
        <f>$H$24*$V$24</f>
        <v>5640.43</v>
      </c>
      <c r="AQ24">
        <f>$H$24*$W$24</f>
        <v>5640.43</v>
      </c>
      <c r="AR24">
        <f>$H$24*$X$24</f>
        <v>5640.43</v>
      </c>
      <c r="AS24">
        <f>$H$24*$Y$24</f>
        <v>5640.43</v>
      </c>
      <c r="AT24">
        <f>$H$24*$Z$24</f>
        <v>5640.43</v>
      </c>
      <c r="AU24">
        <f>$H$24*$AA$24</f>
        <v>5640.43</v>
      </c>
      <c r="AV24">
        <f>$H$24*$AB$24</f>
        <v>5640.43</v>
      </c>
      <c r="AW24">
        <f>$H$24*$AC$24</f>
        <v>5640.43</v>
      </c>
      <c r="AX24">
        <f>$H$24*$AD$24</f>
        <v>5640.43</v>
      </c>
      <c r="AY24">
        <f>$H$24*$AE$24</f>
        <v>5640.43</v>
      </c>
      <c r="AZ24">
        <f>$H$24*$AF$24</f>
        <v>5640.43</v>
      </c>
    </row>
    <row r="25" spans="1:52" x14ac:dyDescent="0.25">
      <c r="A25">
        <v>54</v>
      </c>
      <c r="B25" t="s">
        <v>261</v>
      </c>
      <c r="C25" t="s">
        <v>498</v>
      </c>
      <c r="D25">
        <v>6</v>
      </c>
      <c r="E25">
        <v>81.78</v>
      </c>
      <c r="F25" t="s">
        <v>262</v>
      </c>
      <c r="G25">
        <v>13.63</v>
      </c>
      <c r="H25">
        <v>98.14</v>
      </c>
      <c r="I25" t="s">
        <v>263</v>
      </c>
      <c r="J25" t="s">
        <v>499</v>
      </c>
      <c r="K25" t="s">
        <v>629</v>
      </c>
      <c r="L25" t="s">
        <v>170</v>
      </c>
      <c r="M25" t="s">
        <v>395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395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98.14</v>
      </c>
      <c r="AY25">
        <f>$H$25*$AE$25</f>
        <v>98.14</v>
      </c>
      <c r="AZ25">
        <f>$H$25*$AF$25</f>
        <v>98.14</v>
      </c>
    </row>
    <row r="26" spans="1:52" x14ac:dyDescent="0.25">
      <c r="A26">
        <v>55</v>
      </c>
      <c r="B26" t="s">
        <v>261</v>
      </c>
      <c r="C26" t="s">
        <v>500</v>
      </c>
      <c r="D26">
        <v>1</v>
      </c>
      <c r="E26">
        <v>773.22</v>
      </c>
      <c r="F26" t="s">
        <v>265</v>
      </c>
      <c r="G26">
        <v>773.22</v>
      </c>
      <c r="H26">
        <v>927.86</v>
      </c>
      <c r="I26" t="s">
        <v>497</v>
      </c>
      <c r="J26" t="s">
        <v>501</v>
      </c>
      <c r="K26" t="s">
        <v>630</v>
      </c>
      <c r="L26" t="s">
        <v>170</v>
      </c>
      <c r="M26" t="s">
        <v>395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395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927.86</v>
      </c>
      <c r="AY26">
        <f>$H$26*$AE$26</f>
        <v>927.86</v>
      </c>
      <c r="AZ26">
        <f>$H$26*$AF$26</f>
        <v>927.86</v>
      </c>
    </row>
    <row r="27" spans="1:52" x14ac:dyDescent="0.25">
      <c r="A27">
        <v>57</v>
      </c>
      <c r="B27" t="s">
        <v>261</v>
      </c>
      <c r="C27" t="s">
        <v>502</v>
      </c>
      <c r="D27">
        <v>1</v>
      </c>
      <c r="E27">
        <v>1474.23</v>
      </c>
      <c r="F27" t="s">
        <v>265</v>
      </c>
      <c r="G27">
        <v>1474.23</v>
      </c>
      <c r="H27">
        <v>1769.07</v>
      </c>
      <c r="I27" t="s">
        <v>276</v>
      </c>
      <c r="J27" t="s">
        <v>503</v>
      </c>
      <c r="K27" t="s">
        <v>631</v>
      </c>
      <c r="L27" t="s">
        <v>170</v>
      </c>
      <c r="M27" t="s">
        <v>384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384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1769.07</v>
      </c>
      <c r="AS27">
        <f>$H$27*$Y$27</f>
        <v>1769.07</v>
      </c>
      <c r="AT27">
        <f>$H$27*$Z$27</f>
        <v>1769.07</v>
      </c>
      <c r="AU27">
        <f>$H$27*$AA$27</f>
        <v>1769.07</v>
      </c>
      <c r="AV27">
        <f>$H$27*$AB$27</f>
        <v>1769.07</v>
      </c>
      <c r="AW27">
        <f>$H$27*$AC$27</f>
        <v>1769.07</v>
      </c>
      <c r="AX27">
        <f>$H$27*$AD$27</f>
        <v>1769.07</v>
      </c>
      <c r="AY27">
        <f>$H$27*$AE$27</f>
        <v>1769.07</v>
      </c>
      <c r="AZ27">
        <f>$H$27*$AF$27</f>
        <v>1769.07</v>
      </c>
    </row>
    <row r="28" spans="1:52" x14ac:dyDescent="0.25">
      <c r="A28">
        <v>58</v>
      </c>
      <c r="B28" t="s">
        <v>261</v>
      </c>
      <c r="C28" t="s">
        <v>504</v>
      </c>
      <c r="D28">
        <v>75</v>
      </c>
      <c r="E28">
        <v>328.5</v>
      </c>
      <c r="F28" t="s">
        <v>275</v>
      </c>
      <c r="G28">
        <v>4.38</v>
      </c>
      <c r="H28">
        <v>394.2</v>
      </c>
      <c r="I28" t="s">
        <v>263</v>
      </c>
      <c r="J28" t="s">
        <v>505</v>
      </c>
      <c r="K28" t="s">
        <v>632</v>
      </c>
      <c r="L28" t="s">
        <v>170</v>
      </c>
      <c r="M28" t="s">
        <v>379</v>
      </c>
      <c r="N28" t="s">
        <v>27</v>
      </c>
      <c r="O28" t="s">
        <v>66</v>
      </c>
      <c r="P28">
        <v>0</v>
      </c>
      <c r="Q28">
        <v>0</v>
      </c>
      <c r="R28">
        <v>0</v>
      </c>
      <c r="S28">
        <v>0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379</v>
      </c>
      <c r="AH28" t="s">
        <v>27</v>
      </c>
      <c r="AI28" t="s">
        <v>66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394.2</v>
      </c>
      <c r="AO28">
        <f>$H$28*$U$28</f>
        <v>394.2</v>
      </c>
      <c r="AP28">
        <f>$H$28*$V$28</f>
        <v>394.2</v>
      </c>
      <c r="AQ28">
        <f>$H$28*$W$28</f>
        <v>394.2</v>
      </c>
      <c r="AR28">
        <f>$H$28*$X$28</f>
        <v>394.2</v>
      </c>
      <c r="AS28">
        <f>$H$28*$Y$28</f>
        <v>394.2</v>
      </c>
      <c r="AT28">
        <f>$H$28*$Z$28</f>
        <v>394.2</v>
      </c>
      <c r="AU28">
        <f>$H$28*$AA$28</f>
        <v>394.2</v>
      </c>
      <c r="AV28">
        <f>$H$28*$AB$28</f>
        <v>394.2</v>
      </c>
      <c r="AW28">
        <f>$H$28*$AC$28</f>
        <v>394.2</v>
      </c>
      <c r="AX28">
        <f>$H$28*$AD$28</f>
        <v>394.2</v>
      </c>
      <c r="AY28">
        <f>$H$28*$AE$28</f>
        <v>394.2</v>
      </c>
      <c r="AZ28">
        <f>$H$28*$AF$28</f>
        <v>394.2</v>
      </c>
    </row>
    <row r="29" spans="1:52" x14ac:dyDescent="0.25">
      <c r="A29">
        <v>59</v>
      </c>
      <c r="B29" t="s">
        <v>261</v>
      </c>
      <c r="C29" t="s">
        <v>506</v>
      </c>
      <c r="D29">
        <v>75</v>
      </c>
      <c r="E29">
        <v>1476</v>
      </c>
      <c r="F29" t="s">
        <v>275</v>
      </c>
      <c r="G29">
        <v>19.68</v>
      </c>
      <c r="H29">
        <v>1771.2</v>
      </c>
      <c r="I29" t="s">
        <v>264</v>
      </c>
      <c r="J29" t="s">
        <v>507</v>
      </c>
      <c r="K29" t="s">
        <v>633</v>
      </c>
      <c r="L29" t="s">
        <v>170</v>
      </c>
      <c r="M29" t="s">
        <v>379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0.25</v>
      </c>
      <c r="W29">
        <v>0.25</v>
      </c>
      <c r="X29">
        <v>0.5</v>
      </c>
      <c r="Y29">
        <v>0.5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379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442.8</v>
      </c>
      <c r="AQ29">
        <f>$H$29*$W$29</f>
        <v>442.8</v>
      </c>
      <c r="AR29">
        <f>$H$29*$X$29</f>
        <v>885.6</v>
      </c>
      <c r="AS29">
        <f>$H$29*$Y$29</f>
        <v>885.6</v>
      </c>
      <c r="AT29">
        <f>$H$29*$Z$29</f>
        <v>1771.2</v>
      </c>
      <c r="AU29">
        <f>$H$29*$AA$29</f>
        <v>1771.2</v>
      </c>
      <c r="AV29">
        <f>$H$29*$AB$29</f>
        <v>1771.2</v>
      </c>
      <c r="AW29">
        <f>$H$29*$AC$29</f>
        <v>1771.2</v>
      </c>
      <c r="AX29">
        <f>$H$29*$AD$29</f>
        <v>1771.2</v>
      </c>
      <c r="AY29">
        <f>$H$29*$AE$29</f>
        <v>1771.2</v>
      </c>
      <c r="AZ29">
        <f>$H$29*$AF$29</f>
        <v>1771.2</v>
      </c>
    </row>
    <row r="30" spans="1:52" x14ac:dyDescent="0.25">
      <c r="A30">
        <v>60</v>
      </c>
      <c r="B30" t="s">
        <v>261</v>
      </c>
      <c r="C30" t="s">
        <v>508</v>
      </c>
      <c r="D30">
        <v>1</v>
      </c>
      <c r="E30">
        <v>743.56</v>
      </c>
      <c r="F30" t="s">
        <v>265</v>
      </c>
      <c r="G30">
        <v>743.56</v>
      </c>
      <c r="H30">
        <v>892.28</v>
      </c>
      <c r="I30" t="s">
        <v>276</v>
      </c>
      <c r="J30" t="s">
        <v>509</v>
      </c>
      <c r="K30" t="s">
        <v>634</v>
      </c>
      <c r="L30" t="s">
        <v>170</v>
      </c>
      <c r="M30" t="s">
        <v>379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379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892.28</v>
      </c>
      <c r="AT30">
        <f>$H$30*$Z$30</f>
        <v>892.28</v>
      </c>
      <c r="AU30">
        <f>$H$30*$AA$30</f>
        <v>892.28</v>
      </c>
      <c r="AV30">
        <f>$H$30*$AB$30</f>
        <v>892.28</v>
      </c>
      <c r="AW30">
        <f>$H$30*$AC$30</f>
        <v>892.28</v>
      </c>
      <c r="AX30">
        <f>$H$30*$AD$30</f>
        <v>892.28</v>
      </c>
      <c r="AY30">
        <f>$H$30*$AE$30</f>
        <v>892.28</v>
      </c>
      <c r="AZ30">
        <f>$H$30*$AF$30</f>
        <v>892.28</v>
      </c>
    </row>
    <row r="31" spans="1:52" x14ac:dyDescent="0.25">
      <c r="A31">
        <v>61</v>
      </c>
      <c r="B31" t="s">
        <v>261</v>
      </c>
      <c r="C31" t="s">
        <v>510</v>
      </c>
      <c r="D31">
        <v>1</v>
      </c>
      <c r="E31">
        <v>416.97</v>
      </c>
      <c r="F31" t="s">
        <v>265</v>
      </c>
      <c r="G31">
        <v>416.97</v>
      </c>
      <c r="H31">
        <v>500.37</v>
      </c>
      <c r="I31" t="s">
        <v>276</v>
      </c>
      <c r="J31" t="s">
        <v>511</v>
      </c>
      <c r="K31" t="s">
        <v>635</v>
      </c>
      <c r="L31" t="s">
        <v>170</v>
      </c>
      <c r="M31" t="s">
        <v>7</v>
      </c>
      <c r="N31" t="s">
        <v>12</v>
      </c>
      <c r="O31" t="s">
        <v>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7</v>
      </c>
      <c r="AH31" t="s">
        <v>12</v>
      </c>
      <c r="AI31" t="s">
        <v>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500.37</v>
      </c>
      <c r="AV31">
        <f>$H$31*$AB$31</f>
        <v>500.37</v>
      </c>
      <c r="AW31">
        <f>$H$31*$AC$31</f>
        <v>500.37</v>
      </c>
      <c r="AX31">
        <f>$H$31*$AD$31</f>
        <v>500.37</v>
      </c>
      <c r="AY31">
        <f>$H$31*$AE$31</f>
        <v>500.37</v>
      </c>
      <c r="AZ31">
        <f>$H$31*$AF$31</f>
        <v>500.37</v>
      </c>
    </row>
    <row r="32" spans="1:52" x14ac:dyDescent="0.25">
      <c r="A32">
        <v>62</v>
      </c>
      <c r="B32" t="s">
        <v>261</v>
      </c>
      <c r="C32" t="s">
        <v>512</v>
      </c>
      <c r="D32">
        <v>1</v>
      </c>
      <c r="E32">
        <v>491.49</v>
      </c>
      <c r="F32" t="s">
        <v>265</v>
      </c>
      <c r="G32">
        <v>491.49</v>
      </c>
      <c r="H32">
        <v>589.79</v>
      </c>
      <c r="I32" t="s">
        <v>276</v>
      </c>
      <c r="J32" t="s">
        <v>513</v>
      </c>
      <c r="K32" t="s">
        <v>636</v>
      </c>
      <c r="L32" t="s">
        <v>170</v>
      </c>
      <c r="M32" t="s">
        <v>475</v>
      </c>
      <c r="N32" t="s">
        <v>12</v>
      </c>
      <c r="O32" t="s">
        <v>476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475</v>
      </c>
      <c r="AH32" t="s">
        <v>12</v>
      </c>
      <c r="AI32" t="s">
        <v>476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589.79</v>
      </c>
      <c r="AV32">
        <f>$H$32*$AB$32</f>
        <v>589.79</v>
      </c>
      <c r="AW32">
        <f>$H$32*$AC$32</f>
        <v>589.79</v>
      </c>
      <c r="AX32">
        <f>$H$32*$AD$32</f>
        <v>589.79</v>
      </c>
      <c r="AY32">
        <f>$H$32*$AE$32</f>
        <v>589.79</v>
      </c>
      <c r="AZ32">
        <f>$H$32*$AF$32</f>
        <v>589.79</v>
      </c>
    </row>
    <row r="33" spans="1:52" x14ac:dyDescent="0.25">
      <c r="A33">
        <v>63</v>
      </c>
      <c r="B33" t="s">
        <v>261</v>
      </c>
      <c r="C33" t="s">
        <v>514</v>
      </c>
      <c r="D33">
        <v>2</v>
      </c>
      <c r="E33">
        <v>758.42</v>
      </c>
      <c r="F33" t="s">
        <v>265</v>
      </c>
      <c r="G33">
        <v>379.21</v>
      </c>
      <c r="H33">
        <v>910.1</v>
      </c>
      <c r="I33" t="s">
        <v>270</v>
      </c>
      <c r="J33" t="s">
        <v>515</v>
      </c>
      <c r="K33" t="s">
        <v>637</v>
      </c>
      <c r="L33" t="s">
        <v>170</v>
      </c>
      <c r="M33" t="s">
        <v>379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1</v>
      </c>
      <c r="AF33">
        <v>1</v>
      </c>
      <c r="AG33" t="s">
        <v>379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0</v>
      </c>
      <c r="AV33">
        <f>$H$33*$AB$33</f>
        <v>0</v>
      </c>
      <c r="AW33">
        <f>$H$33*$AC$33</f>
        <v>0</v>
      </c>
      <c r="AX33">
        <f>$H$33*$AD$33</f>
        <v>910.1</v>
      </c>
      <c r="AY33">
        <f>$H$33*$AE$33</f>
        <v>910.1</v>
      </c>
      <c r="AZ33">
        <f>$H$33*$AF$33</f>
        <v>910.1</v>
      </c>
    </row>
    <row r="34" spans="1:52" x14ac:dyDescent="0.25">
      <c r="A34">
        <v>64</v>
      </c>
      <c r="B34" t="s">
        <v>261</v>
      </c>
      <c r="C34" t="s">
        <v>516</v>
      </c>
      <c r="D34">
        <v>2</v>
      </c>
      <c r="E34">
        <v>249.86</v>
      </c>
      <c r="F34" t="s">
        <v>265</v>
      </c>
      <c r="G34">
        <v>124.93</v>
      </c>
      <c r="H34">
        <v>299.83999999999997</v>
      </c>
      <c r="I34" t="s">
        <v>270</v>
      </c>
      <c r="J34" t="s">
        <v>517</v>
      </c>
      <c r="K34" t="s">
        <v>638</v>
      </c>
      <c r="L34" t="s">
        <v>170</v>
      </c>
      <c r="M34" t="s">
        <v>395</v>
      </c>
      <c r="N34" t="s">
        <v>12</v>
      </c>
      <c r="O34" t="s">
        <v>68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1</v>
      </c>
      <c r="AF34">
        <v>1</v>
      </c>
      <c r="AG34" t="s">
        <v>395</v>
      </c>
      <c r="AH34" t="s">
        <v>12</v>
      </c>
      <c r="AI34" t="s">
        <v>68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0</v>
      </c>
      <c r="AV34">
        <f>$H$34*$AB$34</f>
        <v>0</v>
      </c>
      <c r="AW34">
        <f>$H$34*$AC$34</f>
        <v>0</v>
      </c>
      <c r="AX34">
        <f>$H$34*$AD$34</f>
        <v>299.83999999999997</v>
      </c>
      <c r="AY34">
        <f>$H$34*$AE$34</f>
        <v>299.83999999999997</v>
      </c>
      <c r="AZ34">
        <f>$H$34*$AF$34</f>
        <v>299.83999999999997</v>
      </c>
    </row>
    <row r="35" spans="1:52" x14ac:dyDescent="0.25">
      <c r="A35">
        <v>65</v>
      </c>
      <c r="B35" t="s">
        <v>261</v>
      </c>
      <c r="C35" t="s">
        <v>306</v>
      </c>
      <c r="D35">
        <v>2</v>
      </c>
      <c r="E35">
        <v>213.02</v>
      </c>
      <c r="F35" t="s">
        <v>265</v>
      </c>
      <c r="G35">
        <v>106.51</v>
      </c>
      <c r="H35">
        <v>255.62</v>
      </c>
      <c r="I35" t="s">
        <v>289</v>
      </c>
      <c r="J35" t="s">
        <v>307</v>
      </c>
      <c r="K35" t="s">
        <v>397</v>
      </c>
      <c r="L35" t="s">
        <v>170</v>
      </c>
      <c r="M35" t="s">
        <v>395</v>
      </c>
      <c r="N35" t="s">
        <v>12</v>
      </c>
      <c r="O35" t="s">
        <v>68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395</v>
      </c>
      <c r="AH35" t="s">
        <v>12</v>
      </c>
      <c r="AI35" t="s">
        <v>68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255.62</v>
      </c>
      <c r="AV35">
        <f>$H$35*$AB$35</f>
        <v>255.62</v>
      </c>
      <c r="AW35">
        <f>$H$35*$AC$35</f>
        <v>255.62</v>
      </c>
      <c r="AX35">
        <f>$H$35*$AD$35</f>
        <v>255.62</v>
      </c>
      <c r="AY35">
        <f>$H$35*$AE$35</f>
        <v>255.62</v>
      </c>
      <c r="AZ35">
        <f>$H$35*$AF$35</f>
        <v>255.62</v>
      </c>
    </row>
    <row r="36" spans="1:52" x14ac:dyDescent="0.25">
      <c r="A36">
        <v>66</v>
      </c>
      <c r="B36" t="s">
        <v>261</v>
      </c>
      <c r="C36" t="s">
        <v>518</v>
      </c>
      <c r="D36">
        <v>2</v>
      </c>
      <c r="E36">
        <v>1268.1600000000001</v>
      </c>
      <c r="F36" t="s">
        <v>265</v>
      </c>
      <c r="G36">
        <v>634.08000000000004</v>
      </c>
      <c r="H36">
        <v>1521.8</v>
      </c>
      <c r="I36" t="s">
        <v>292</v>
      </c>
      <c r="J36" t="s">
        <v>517</v>
      </c>
      <c r="K36" t="s">
        <v>639</v>
      </c>
      <c r="L36" t="s">
        <v>170</v>
      </c>
      <c r="M36" t="s">
        <v>395</v>
      </c>
      <c r="N36" t="s">
        <v>12</v>
      </c>
      <c r="O36" t="s">
        <v>68</v>
      </c>
      <c r="P36">
        <v>0</v>
      </c>
      <c r="Q36">
        <v>0</v>
      </c>
      <c r="R36">
        <v>0</v>
      </c>
      <c r="S36">
        <v>0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395</v>
      </c>
      <c r="AH36" t="s">
        <v>12</v>
      </c>
      <c r="AI36" t="s">
        <v>68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1521.8</v>
      </c>
      <c r="AO36">
        <f>$H$36*$U$36</f>
        <v>1521.8</v>
      </c>
      <c r="AP36">
        <f>$H$36*$V$36</f>
        <v>1521.8</v>
      </c>
      <c r="AQ36">
        <f>$H$36*$W$36</f>
        <v>1521.8</v>
      </c>
      <c r="AR36">
        <f>$H$36*$X$36</f>
        <v>1521.8</v>
      </c>
      <c r="AS36">
        <f>$H$36*$Y$36</f>
        <v>1521.8</v>
      </c>
      <c r="AT36">
        <f>$H$36*$Z$36</f>
        <v>1521.8</v>
      </c>
      <c r="AU36">
        <f>$H$36*$AA$36</f>
        <v>1521.8</v>
      </c>
      <c r="AV36">
        <f>$H$36*$AB$36</f>
        <v>1521.8</v>
      </c>
      <c r="AW36">
        <f>$H$36*$AC$36</f>
        <v>1521.8</v>
      </c>
      <c r="AX36">
        <f>$H$36*$AD$36</f>
        <v>1521.8</v>
      </c>
      <c r="AY36">
        <f>$H$36*$AE$36</f>
        <v>1521.8</v>
      </c>
      <c r="AZ36">
        <f>$H$36*$AF$36</f>
        <v>1521.8</v>
      </c>
    </row>
    <row r="37" spans="1:52" x14ac:dyDescent="0.25">
      <c r="A37">
        <v>67</v>
      </c>
      <c r="B37" t="s">
        <v>261</v>
      </c>
      <c r="C37" t="s">
        <v>519</v>
      </c>
      <c r="D37">
        <v>1</v>
      </c>
      <c r="E37">
        <v>1631.23</v>
      </c>
      <c r="F37" t="s">
        <v>265</v>
      </c>
      <c r="G37">
        <v>1631.23</v>
      </c>
      <c r="H37">
        <v>1957.47</v>
      </c>
      <c r="I37" t="s">
        <v>308</v>
      </c>
      <c r="J37" t="s">
        <v>520</v>
      </c>
      <c r="K37" t="s">
        <v>640</v>
      </c>
      <c r="L37" t="s">
        <v>170</v>
      </c>
      <c r="M37" t="s">
        <v>395</v>
      </c>
      <c r="N37" t="s">
        <v>12</v>
      </c>
      <c r="O37" t="s">
        <v>68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395</v>
      </c>
      <c r="AH37" t="s">
        <v>12</v>
      </c>
      <c r="AI37" t="s">
        <v>68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1957.47</v>
      </c>
      <c r="AO37">
        <f>$H$37*$U$37</f>
        <v>1957.47</v>
      </c>
      <c r="AP37">
        <f>$H$37*$V$37</f>
        <v>1957.47</v>
      </c>
      <c r="AQ37">
        <f>$H$37*$W$37</f>
        <v>1957.47</v>
      </c>
      <c r="AR37">
        <f>$H$37*$X$37</f>
        <v>1957.47</v>
      </c>
      <c r="AS37">
        <f>$H$37*$Y$37</f>
        <v>1957.47</v>
      </c>
      <c r="AT37">
        <f>$H$37*$Z$37</f>
        <v>1957.47</v>
      </c>
      <c r="AU37">
        <f>$H$37*$AA$37</f>
        <v>1957.47</v>
      </c>
      <c r="AV37">
        <f>$H$37*$AB$37</f>
        <v>1957.47</v>
      </c>
      <c r="AW37">
        <f>$H$37*$AC$37</f>
        <v>1957.47</v>
      </c>
      <c r="AX37">
        <f>$H$37*$AD$37</f>
        <v>1957.47</v>
      </c>
      <c r="AY37">
        <f>$H$37*$AE$37</f>
        <v>1957.47</v>
      </c>
      <c r="AZ37">
        <f>$H$37*$AF$37</f>
        <v>1957.47</v>
      </c>
    </row>
    <row r="38" spans="1:52" x14ac:dyDescent="0.25">
      <c r="A38">
        <v>80</v>
      </c>
      <c r="B38" t="s">
        <v>261</v>
      </c>
      <c r="C38" t="s">
        <v>310</v>
      </c>
      <c r="D38">
        <v>2</v>
      </c>
      <c r="E38">
        <v>41.16</v>
      </c>
      <c r="F38" t="s">
        <v>265</v>
      </c>
      <c r="G38">
        <v>20.58</v>
      </c>
      <c r="H38">
        <v>49.4</v>
      </c>
      <c r="I38" t="s">
        <v>267</v>
      </c>
      <c r="J38" t="s">
        <v>311</v>
      </c>
      <c r="K38" t="s">
        <v>398</v>
      </c>
      <c r="L38" t="s">
        <v>170</v>
      </c>
      <c r="M38" t="s">
        <v>379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379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49.4</v>
      </c>
      <c r="AS38">
        <f>$H$38*$Y$38</f>
        <v>49.4</v>
      </c>
      <c r="AT38">
        <f>$H$38*$Z$38</f>
        <v>49.4</v>
      </c>
      <c r="AU38">
        <f>$H$38*$AA$38</f>
        <v>49.4</v>
      </c>
      <c r="AV38">
        <f>$H$38*$AB$38</f>
        <v>49.4</v>
      </c>
      <c r="AW38">
        <f>$H$38*$AC$38</f>
        <v>49.4</v>
      </c>
      <c r="AX38">
        <f>$H$38*$AD$38</f>
        <v>49.4</v>
      </c>
      <c r="AY38">
        <f>$H$38*$AE$38</f>
        <v>49.4</v>
      </c>
      <c r="AZ38">
        <f>$H$38*$AF$38</f>
        <v>49.4</v>
      </c>
    </row>
    <row r="39" spans="1:52" x14ac:dyDescent="0.25">
      <c r="A39">
        <v>82</v>
      </c>
      <c r="B39" t="s">
        <v>261</v>
      </c>
      <c r="C39" t="s">
        <v>521</v>
      </c>
      <c r="D39">
        <v>1</v>
      </c>
      <c r="E39">
        <v>1684.68</v>
      </c>
      <c r="F39" t="s">
        <v>265</v>
      </c>
      <c r="G39">
        <v>1684.68</v>
      </c>
      <c r="H39">
        <v>2021.62</v>
      </c>
      <c r="I39" t="s">
        <v>267</v>
      </c>
      <c r="J39" t="s">
        <v>522</v>
      </c>
      <c r="K39" t="s">
        <v>641</v>
      </c>
      <c r="L39" t="s">
        <v>170</v>
      </c>
      <c r="M39" t="s">
        <v>384</v>
      </c>
      <c r="N39" t="s">
        <v>26</v>
      </c>
      <c r="O39" t="s">
        <v>67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384</v>
      </c>
      <c r="AH39" t="s">
        <v>26</v>
      </c>
      <c r="AI39" t="s">
        <v>67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2021.62</v>
      </c>
      <c r="AV39">
        <f>$H$39*$AB$39</f>
        <v>2021.62</v>
      </c>
      <c r="AW39">
        <f>$H$39*$AC$39</f>
        <v>2021.62</v>
      </c>
      <c r="AX39">
        <f>$H$39*$AD$39</f>
        <v>2021.62</v>
      </c>
      <c r="AY39">
        <f>$H$39*$AE$39</f>
        <v>2021.62</v>
      </c>
      <c r="AZ39">
        <f>$H$39*$AF$39</f>
        <v>2021.62</v>
      </c>
    </row>
    <row r="40" spans="1:52" x14ac:dyDescent="0.25">
      <c r="A40">
        <v>85</v>
      </c>
      <c r="B40" t="s">
        <v>261</v>
      </c>
      <c r="C40" t="s">
        <v>312</v>
      </c>
      <c r="D40">
        <v>40</v>
      </c>
      <c r="E40">
        <v>48</v>
      </c>
      <c r="F40" t="s">
        <v>262</v>
      </c>
      <c r="G40">
        <v>1.2</v>
      </c>
      <c r="H40">
        <v>57.6</v>
      </c>
      <c r="I40" t="s">
        <v>267</v>
      </c>
      <c r="J40" t="s">
        <v>313</v>
      </c>
      <c r="K40" t="s">
        <v>399</v>
      </c>
      <c r="L40" t="s">
        <v>170</v>
      </c>
      <c r="M40" t="s">
        <v>379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0.6</v>
      </c>
      <c r="Y40">
        <v>0.6</v>
      </c>
      <c r="Z40">
        <v>0.6</v>
      </c>
      <c r="AA40">
        <v>0.6</v>
      </c>
      <c r="AB40">
        <v>0.6</v>
      </c>
      <c r="AC40">
        <v>0.6</v>
      </c>
      <c r="AD40">
        <v>0.6</v>
      </c>
      <c r="AE40">
        <v>0.6</v>
      </c>
      <c r="AF40">
        <v>0.6</v>
      </c>
      <c r="AG40" t="s">
        <v>379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34.56</v>
      </c>
      <c r="AS40">
        <f>$H$40*$Y$40</f>
        <v>34.56</v>
      </c>
      <c r="AT40">
        <f>$H$40*$Z$40</f>
        <v>34.56</v>
      </c>
      <c r="AU40">
        <f>$H$40*$AA$40</f>
        <v>34.56</v>
      </c>
      <c r="AV40">
        <f>$H$40*$AB$40</f>
        <v>34.56</v>
      </c>
      <c r="AW40">
        <f>$H$40*$AC$40</f>
        <v>34.56</v>
      </c>
      <c r="AX40">
        <f>$H$40*$AD$40</f>
        <v>34.56</v>
      </c>
      <c r="AY40">
        <f>$H$40*$AE$40</f>
        <v>34.56</v>
      </c>
      <c r="AZ40">
        <f>$H$40*$AF$40</f>
        <v>34.56</v>
      </c>
    </row>
    <row r="41" spans="1:52" x14ac:dyDescent="0.25">
      <c r="A41">
        <v>87</v>
      </c>
      <c r="B41" t="s">
        <v>261</v>
      </c>
      <c r="C41" t="s">
        <v>310</v>
      </c>
      <c r="D41">
        <v>4</v>
      </c>
      <c r="E41">
        <v>82.32</v>
      </c>
      <c r="F41" t="s">
        <v>265</v>
      </c>
      <c r="G41">
        <v>20.58</v>
      </c>
      <c r="H41">
        <v>98.78</v>
      </c>
      <c r="I41" t="s">
        <v>267</v>
      </c>
      <c r="J41" t="s">
        <v>311</v>
      </c>
      <c r="K41" t="s">
        <v>398</v>
      </c>
      <c r="L41" t="s">
        <v>170</v>
      </c>
      <c r="M41" t="s">
        <v>379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379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98.78</v>
      </c>
      <c r="AS41">
        <f>$H$41*$Y$41</f>
        <v>98.78</v>
      </c>
      <c r="AT41">
        <f>$H$41*$Z$41</f>
        <v>98.78</v>
      </c>
      <c r="AU41">
        <f>$H$41*$AA$41</f>
        <v>98.78</v>
      </c>
      <c r="AV41">
        <f>$H$41*$AB$41</f>
        <v>98.78</v>
      </c>
      <c r="AW41">
        <f>$H$41*$AC$41</f>
        <v>98.78</v>
      </c>
      <c r="AX41">
        <f>$H$41*$AD$41</f>
        <v>98.78</v>
      </c>
      <c r="AY41">
        <f>$H$41*$AE$41</f>
        <v>98.78</v>
      </c>
      <c r="AZ41">
        <f>$H$41*$AF$41</f>
        <v>98.78</v>
      </c>
    </row>
    <row r="42" spans="1:52" x14ac:dyDescent="0.25">
      <c r="A42">
        <v>88</v>
      </c>
      <c r="B42" t="s">
        <v>261</v>
      </c>
      <c r="C42" t="s">
        <v>314</v>
      </c>
      <c r="D42">
        <v>2</v>
      </c>
      <c r="E42">
        <v>47.12</v>
      </c>
      <c r="F42" t="s">
        <v>265</v>
      </c>
      <c r="G42">
        <v>23.56</v>
      </c>
      <c r="H42">
        <v>56.54</v>
      </c>
      <c r="I42" t="s">
        <v>267</v>
      </c>
      <c r="J42" t="s">
        <v>315</v>
      </c>
      <c r="K42" t="s">
        <v>400</v>
      </c>
      <c r="L42" t="s">
        <v>170</v>
      </c>
      <c r="M42" t="s">
        <v>395</v>
      </c>
      <c r="N42" t="s">
        <v>12</v>
      </c>
      <c r="O42" t="s">
        <v>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395</v>
      </c>
      <c r="AH42" t="s">
        <v>12</v>
      </c>
      <c r="AI42" t="s">
        <v>68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56.54</v>
      </c>
      <c r="AS42">
        <f>$H$42*$Y$42</f>
        <v>56.54</v>
      </c>
      <c r="AT42">
        <f>$H$42*$Z$42</f>
        <v>56.54</v>
      </c>
      <c r="AU42">
        <f>$H$42*$AA$42</f>
        <v>56.54</v>
      </c>
      <c r="AV42">
        <f>$H$42*$AB$42</f>
        <v>56.54</v>
      </c>
      <c r="AW42">
        <f>$H$42*$AC$42</f>
        <v>56.54</v>
      </c>
      <c r="AX42">
        <f>$H$42*$AD$42</f>
        <v>56.54</v>
      </c>
      <c r="AY42">
        <f>$H$42*$AE$42</f>
        <v>56.54</v>
      </c>
      <c r="AZ42">
        <f>$H$42*$AF$42</f>
        <v>56.54</v>
      </c>
    </row>
    <row r="43" spans="1:52" x14ac:dyDescent="0.25">
      <c r="A43">
        <v>89</v>
      </c>
      <c r="B43" t="s">
        <v>261</v>
      </c>
      <c r="C43" t="s">
        <v>316</v>
      </c>
      <c r="D43">
        <v>1600</v>
      </c>
      <c r="E43">
        <v>6768</v>
      </c>
      <c r="F43" t="s">
        <v>275</v>
      </c>
      <c r="G43">
        <v>4.2300000000000004</v>
      </c>
      <c r="H43">
        <v>8121.6</v>
      </c>
      <c r="I43" t="s">
        <v>267</v>
      </c>
      <c r="J43" t="s">
        <v>317</v>
      </c>
      <c r="K43" t="s">
        <v>401</v>
      </c>
      <c r="L43" t="s">
        <v>170</v>
      </c>
      <c r="M43" t="s">
        <v>379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0.6</v>
      </c>
      <c r="Y43">
        <v>0.6</v>
      </c>
      <c r="Z43">
        <v>0.6</v>
      </c>
      <c r="AA43">
        <v>0.6</v>
      </c>
      <c r="AB43">
        <v>0.6</v>
      </c>
      <c r="AC43">
        <v>0.6</v>
      </c>
      <c r="AD43">
        <v>0.6</v>
      </c>
      <c r="AE43">
        <v>0.6</v>
      </c>
      <c r="AF43">
        <v>0.6</v>
      </c>
      <c r="AG43" t="s">
        <v>379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4872.96</v>
      </c>
      <c r="AS43">
        <f>$H$43*$Y$43</f>
        <v>4872.96</v>
      </c>
      <c r="AT43">
        <f>$H$43*$Z$43</f>
        <v>4872.96</v>
      </c>
      <c r="AU43">
        <f>$H$43*$AA$43</f>
        <v>4872.96</v>
      </c>
      <c r="AV43">
        <f>$H$43*$AB$43</f>
        <v>4872.96</v>
      </c>
      <c r="AW43">
        <f>$H$43*$AC$43</f>
        <v>4872.96</v>
      </c>
      <c r="AX43">
        <f>$H$43*$AD$43</f>
        <v>4872.96</v>
      </c>
      <c r="AY43">
        <f>$H$43*$AE$43</f>
        <v>4872.96</v>
      </c>
      <c r="AZ43">
        <f>$H$43*$AF$43</f>
        <v>4872.96</v>
      </c>
    </row>
    <row r="44" spans="1:52" x14ac:dyDescent="0.25">
      <c r="A44">
        <v>90</v>
      </c>
      <c r="B44" t="s">
        <v>261</v>
      </c>
      <c r="C44" t="s">
        <v>312</v>
      </c>
      <c r="D44">
        <v>40</v>
      </c>
      <c r="E44">
        <v>48</v>
      </c>
      <c r="F44" t="s">
        <v>262</v>
      </c>
      <c r="G44">
        <v>1.2</v>
      </c>
      <c r="H44">
        <v>57.6</v>
      </c>
      <c r="I44" t="s">
        <v>267</v>
      </c>
      <c r="J44" t="s">
        <v>313</v>
      </c>
      <c r="K44" t="s">
        <v>399</v>
      </c>
      <c r="L44" t="s">
        <v>170</v>
      </c>
      <c r="M44" t="s">
        <v>379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0.6</v>
      </c>
      <c r="Y44">
        <v>0.6</v>
      </c>
      <c r="Z44">
        <v>0.6</v>
      </c>
      <c r="AA44">
        <v>0.6</v>
      </c>
      <c r="AB44">
        <v>0.6</v>
      </c>
      <c r="AC44">
        <v>0.6</v>
      </c>
      <c r="AD44">
        <v>0.6</v>
      </c>
      <c r="AE44">
        <v>0.6</v>
      </c>
      <c r="AF44">
        <v>0.6</v>
      </c>
      <c r="AG44" t="s">
        <v>379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34.56</v>
      </c>
      <c r="AS44">
        <f>$H$44*$Y$44</f>
        <v>34.56</v>
      </c>
      <c r="AT44">
        <f>$H$44*$Z$44</f>
        <v>34.56</v>
      </c>
      <c r="AU44">
        <f>$H$44*$AA$44</f>
        <v>34.56</v>
      </c>
      <c r="AV44">
        <f>$H$44*$AB$44</f>
        <v>34.56</v>
      </c>
      <c r="AW44">
        <f>$H$44*$AC$44</f>
        <v>34.56</v>
      </c>
      <c r="AX44">
        <f>$H$44*$AD$44</f>
        <v>34.56</v>
      </c>
      <c r="AY44">
        <f>$H$44*$AE$44</f>
        <v>34.56</v>
      </c>
      <c r="AZ44">
        <f>$H$44*$AF$44</f>
        <v>34.56</v>
      </c>
    </row>
    <row r="45" spans="1:52" x14ac:dyDescent="0.25">
      <c r="A45">
        <v>92</v>
      </c>
      <c r="B45" t="s">
        <v>261</v>
      </c>
      <c r="C45" t="s">
        <v>279</v>
      </c>
      <c r="D45">
        <v>5</v>
      </c>
      <c r="E45">
        <v>38.65</v>
      </c>
      <c r="F45" t="s">
        <v>262</v>
      </c>
      <c r="G45">
        <v>7.73</v>
      </c>
      <c r="H45">
        <v>46.39</v>
      </c>
      <c r="I45" t="s">
        <v>263</v>
      </c>
      <c r="J45" t="s">
        <v>280</v>
      </c>
      <c r="K45" t="s">
        <v>385</v>
      </c>
      <c r="L45" t="s">
        <v>170</v>
      </c>
      <c r="M45" t="s">
        <v>379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379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46.39</v>
      </c>
      <c r="AV45">
        <f>$H$45*$AB$45</f>
        <v>46.39</v>
      </c>
      <c r="AW45">
        <f>$H$45*$AC$45</f>
        <v>46.39</v>
      </c>
      <c r="AX45">
        <f>$H$45*$AD$45</f>
        <v>46.39</v>
      </c>
      <c r="AY45">
        <f>$H$45*$AE$45</f>
        <v>46.39</v>
      </c>
      <c r="AZ45">
        <f>$H$45*$AF$45</f>
        <v>46.39</v>
      </c>
    </row>
    <row r="46" spans="1:52" x14ac:dyDescent="0.25">
      <c r="A46">
        <v>93</v>
      </c>
      <c r="B46" t="s">
        <v>261</v>
      </c>
      <c r="C46" t="s">
        <v>281</v>
      </c>
      <c r="D46">
        <v>5</v>
      </c>
      <c r="E46">
        <v>64.099999999999994</v>
      </c>
      <c r="F46" t="s">
        <v>262</v>
      </c>
      <c r="G46">
        <v>12.82</v>
      </c>
      <c r="H46">
        <v>76.92</v>
      </c>
      <c r="I46" t="s">
        <v>264</v>
      </c>
      <c r="J46" t="s">
        <v>282</v>
      </c>
      <c r="K46" t="s">
        <v>386</v>
      </c>
      <c r="L46" t="s">
        <v>170</v>
      </c>
      <c r="M46" t="s">
        <v>379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379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76.92</v>
      </c>
      <c r="AV46">
        <f>$H$46*$AB$46</f>
        <v>76.92</v>
      </c>
      <c r="AW46">
        <f>$H$46*$AC$46</f>
        <v>76.92</v>
      </c>
      <c r="AX46">
        <f>$H$46*$AD$46</f>
        <v>76.92</v>
      </c>
      <c r="AY46">
        <f>$H$46*$AE$46</f>
        <v>76.92</v>
      </c>
      <c r="AZ46">
        <f>$H$46*$AF$46</f>
        <v>76.92</v>
      </c>
    </row>
    <row r="47" spans="1:52" x14ac:dyDescent="0.25">
      <c r="A47">
        <v>94</v>
      </c>
      <c r="B47" t="s">
        <v>261</v>
      </c>
      <c r="C47" t="s">
        <v>318</v>
      </c>
      <c r="D47">
        <v>5</v>
      </c>
      <c r="E47">
        <v>27.6</v>
      </c>
      <c r="F47" t="s">
        <v>262</v>
      </c>
      <c r="G47">
        <v>5.52</v>
      </c>
      <c r="H47">
        <v>33.119999999999997</v>
      </c>
      <c r="I47" t="s">
        <v>264</v>
      </c>
      <c r="J47" t="s">
        <v>319</v>
      </c>
      <c r="K47" t="s">
        <v>402</v>
      </c>
      <c r="L47" t="s">
        <v>170</v>
      </c>
      <c r="M47" t="s">
        <v>379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1</v>
      </c>
      <c r="AD47">
        <v>1</v>
      </c>
      <c r="AE47">
        <v>1</v>
      </c>
      <c r="AF47">
        <v>1</v>
      </c>
      <c r="AG47" t="s">
        <v>379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33.119999999999997</v>
      </c>
      <c r="AX47">
        <f>$H$47*$AD$47</f>
        <v>33.119999999999997</v>
      </c>
      <c r="AY47">
        <f>$H$47*$AE$47</f>
        <v>33.119999999999997</v>
      </c>
      <c r="AZ47">
        <f>$H$47*$AF$47</f>
        <v>33.119999999999997</v>
      </c>
    </row>
    <row r="48" spans="1:52" x14ac:dyDescent="0.25">
      <c r="A48">
        <v>95</v>
      </c>
      <c r="B48" t="s">
        <v>261</v>
      </c>
      <c r="C48" t="s">
        <v>283</v>
      </c>
      <c r="D48">
        <v>122</v>
      </c>
      <c r="E48">
        <v>197.64</v>
      </c>
      <c r="F48" t="s">
        <v>275</v>
      </c>
      <c r="G48">
        <v>1.62</v>
      </c>
      <c r="H48">
        <v>237.16</v>
      </c>
      <c r="I48" t="s">
        <v>263</v>
      </c>
      <c r="J48" t="s">
        <v>284</v>
      </c>
      <c r="K48" t="s">
        <v>387</v>
      </c>
      <c r="L48" t="s">
        <v>170</v>
      </c>
      <c r="M48" t="s">
        <v>379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379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237.16</v>
      </c>
      <c r="AO48">
        <f>$H$48*$U$48</f>
        <v>237.16</v>
      </c>
      <c r="AP48">
        <f>$H$48*$V$48</f>
        <v>237.16</v>
      </c>
      <c r="AQ48">
        <f>$H$48*$W$48</f>
        <v>237.16</v>
      </c>
      <c r="AR48">
        <f>$H$48*$X$48</f>
        <v>237.16</v>
      </c>
      <c r="AS48">
        <f>$H$48*$Y$48</f>
        <v>237.16</v>
      </c>
      <c r="AT48">
        <f>$H$48*$Z$48</f>
        <v>237.16</v>
      </c>
      <c r="AU48">
        <f>$H$48*$AA$48</f>
        <v>237.16</v>
      </c>
      <c r="AV48">
        <f>$H$48*$AB$48</f>
        <v>237.16</v>
      </c>
      <c r="AW48">
        <f>$H$48*$AC$48</f>
        <v>237.16</v>
      </c>
      <c r="AX48">
        <f>$H$48*$AD$48</f>
        <v>237.16</v>
      </c>
      <c r="AY48">
        <f>$H$48*$AE$48</f>
        <v>237.16</v>
      </c>
      <c r="AZ48">
        <f>$H$48*$AF$48</f>
        <v>237.16</v>
      </c>
    </row>
    <row r="49" spans="1:52" x14ac:dyDescent="0.25">
      <c r="A49">
        <v>96</v>
      </c>
      <c r="B49" t="s">
        <v>261</v>
      </c>
      <c r="C49" t="s">
        <v>285</v>
      </c>
      <c r="D49">
        <v>122</v>
      </c>
      <c r="E49">
        <v>503.86</v>
      </c>
      <c r="F49" t="s">
        <v>275</v>
      </c>
      <c r="G49">
        <v>4.13</v>
      </c>
      <c r="H49">
        <v>604.64</v>
      </c>
      <c r="I49" t="s">
        <v>286</v>
      </c>
      <c r="J49" t="s">
        <v>287</v>
      </c>
      <c r="K49" t="s">
        <v>388</v>
      </c>
      <c r="L49" t="s">
        <v>170</v>
      </c>
      <c r="M49" t="s">
        <v>379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0.25</v>
      </c>
      <c r="T49">
        <v>0.25</v>
      </c>
      <c r="U49">
        <v>0.25</v>
      </c>
      <c r="V49">
        <v>0.25</v>
      </c>
      <c r="W49">
        <v>0.5</v>
      </c>
      <c r="X49">
        <v>0.5</v>
      </c>
      <c r="Y49">
        <v>0.5</v>
      </c>
      <c r="Z49">
        <v>0.5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379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151.16</v>
      </c>
      <c r="AN49">
        <f>$H$49*$T$49</f>
        <v>151.16</v>
      </c>
      <c r="AO49">
        <f>$H$49*$U$49</f>
        <v>151.16</v>
      </c>
      <c r="AP49">
        <f>$H$49*$V$49</f>
        <v>151.16</v>
      </c>
      <c r="AQ49">
        <f>$H$49*$W$49</f>
        <v>302.32</v>
      </c>
      <c r="AR49">
        <f>$H$49*$X$49</f>
        <v>302.32</v>
      </c>
      <c r="AS49">
        <f>$H$49*$Y$49</f>
        <v>302.32</v>
      </c>
      <c r="AT49">
        <f>$H$49*$Z$49</f>
        <v>302.32</v>
      </c>
      <c r="AU49">
        <f>$H$49*$AA$49</f>
        <v>604.64</v>
      </c>
      <c r="AV49">
        <f>$H$49*$AB$49</f>
        <v>604.64</v>
      </c>
      <c r="AW49">
        <f>$H$49*$AC$49</f>
        <v>604.64</v>
      </c>
      <c r="AX49">
        <f>$H$49*$AD$49</f>
        <v>604.64</v>
      </c>
      <c r="AY49">
        <f>$H$49*$AE$49</f>
        <v>604.64</v>
      </c>
      <c r="AZ49">
        <f>$H$49*$AF$49</f>
        <v>604.64</v>
      </c>
    </row>
    <row r="50" spans="1:52" x14ac:dyDescent="0.25">
      <c r="A50">
        <v>97</v>
      </c>
      <c r="B50" t="s">
        <v>261</v>
      </c>
      <c r="C50" t="s">
        <v>288</v>
      </c>
      <c r="D50">
        <v>1</v>
      </c>
      <c r="E50">
        <v>63.54</v>
      </c>
      <c r="F50" t="s">
        <v>265</v>
      </c>
      <c r="G50">
        <v>63.54</v>
      </c>
      <c r="H50">
        <v>76.239999999999995</v>
      </c>
      <c r="I50" t="s">
        <v>289</v>
      </c>
      <c r="J50" t="s">
        <v>290</v>
      </c>
      <c r="K50" t="s">
        <v>389</v>
      </c>
      <c r="L50" t="s">
        <v>170</v>
      </c>
      <c r="M50" t="s">
        <v>379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379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76.239999999999995</v>
      </c>
      <c r="AV50">
        <f>$H$50*$AB$50</f>
        <v>76.239999999999995</v>
      </c>
      <c r="AW50">
        <f>$H$50*$AC$50</f>
        <v>76.239999999999995</v>
      </c>
      <c r="AX50">
        <f>$H$50*$AD$50</f>
        <v>76.239999999999995</v>
      </c>
      <c r="AY50">
        <f>$H$50*$AE$50</f>
        <v>76.239999999999995</v>
      </c>
      <c r="AZ50">
        <f>$H$50*$AF$50</f>
        <v>76.239999999999995</v>
      </c>
    </row>
    <row r="51" spans="1:52" x14ac:dyDescent="0.25">
      <c r="A51">
        <v>98</v>
      </c>
      <c r="B51" t="s">
        <v>261</v>
      </c>
      <c r="C51" t="s">
        <v>291</v>
      </c>
      <c r="D51">
        <v>1</v>
      </c>
      <c r="E51">
        <v>410.31</v>
      </c>
      <c r="F51" t="s">
        <v>265</v>
      </c>
      <c r="G51">
        <v>410.31</v>
      </c>
      <c r="H51">
        <v>492.37</v>
      </c>
      <c r="I51" t="s">
        <v>292</v>
      </c>
      <c r="J51" t="s">
        <v>293</v>
      </c>
      <c r="K51" t="s">
        <v>390</v>
      </c>
      <c r="L51" t="s">
        <v>170</v>
      </c>
      <c r="M51" t="s">
        <v>379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379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492.37</v>
      </c>
      <c r="AO51">
        <f>$H$51*$U$51</f>
        <v>492.37</v>
      </c>
      <c r="AP51">
        <f>$H$51*$V$51</f>
        <v>492.37</v>
      </c>
      <c r="AQ51">
        <f>$H$51*$W$51</f>
        <v>492.37</v>
      </c>
      <c r="AR51">
        <f>$H$51*$X$51</f>
        <v>492.37</v>
      </c>
      <c r="AS51">
        <f>$H$51*$Y$51</f>
        <v>492.37</v>
      </c>
      <c r="AT51">
        <f>$H$51*$Z$51</f>
        <v>492.37</v>
      </c>
      <c r="AU51">
        <f>$H$51*$AA$51</f>
        <v>492.37</v>
      </c>
      <c r="AV51">
        <f>$H$51*$AB$51</f>
        <v>492.37</v>
      </c>
      <c r="AW51">
        <f>$H$51*$AC$51</f>
        <v>492.37</v>
      </c>
      <c r="AX51">
        <f>$H$51*$AD$51</f>
        <v>492.37</v>
      </c>
      <c r="AY51">
        <f>$H$51*$AE$51</f>
        <v>492.37</v>
      </c>
      <c r="AZ51">
        <f>$H$51*$AF$51</f>
        <v>492.37</v>
      </c>
    </row>
    <row r="52" spans="1:52" x14ac:dyDescent="0.25">
      <c r="A52">
        <v>99</v>
      </c>
      <c r="B52" t="s">
        <v>261</v>
      </c>
      <c r="C52" t="s">
        <v>294</v>
      </c>
      <c r="D52">
        <v>2</v>
      </c>
      <c r="E52">
        <v>106.22</v>
      </c>
      <c r="F52" t="s">
        <v>265</v>
      </c>
      <c r="G52">
        <v>53.11</v>
      </c>
      <c r="H52">
        <v>127.46</v>
      </c>
      <c r="I52" t="s">
        <v>263</v>
      </c>
      <c r="J52" t="s">
        <v>295</v>
      </c>
      <c r="K52" t="s">
        <v>391</v>
      </c>
      <c r="L52" t="s">
        <v>170</v>
      </c>
      <c r="M52" t="s">
        <v>379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379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127.46</v>
      </c>
      <c r="AN52">
        <f>$H$52*$T$52</f>
        <v>127.46</v>
      </c>
      <c r="AO52">
        <f>$H$52*$U$52</f>
        <v>127.46</v>
      </c>
      <c r="AP52">
        <f>$H$52*$V$52</f>
        <v>127.46</v>
      </c>
      <c r="AQ52">
        <f>$H$52*$W$52</f>
        <v>127.46</v>
      </c>
      <c r="AR52">
        <f>$H$52*$X$52</f>
        <v>127.46</v>
      </c>
      <c r="AS52">
        <f>$H$52*$Y$52</f>
        <v>127.46</v>
      </c>
      <c r="AT52">
        <f>$H$52*$Z$52</f>
        <v>127.46</v>
      </c>
      <c r="AU52">
        <f>$H$52*$AA$52</f>
        <v>127.46</v>
      </c>
      <c r="AV52">
        <f>$H$52*$AB$52</f>
        <v>127.46</v>
      </c>
      <c r="AW52">
        <f>$H$52*$AC$52</f>
        <v>127.46</v>
      </c>
      <c r="AX52">
        <f>$H$52*$AD$52</f>
        <v>127.46</v>
      </c>
      <c r="AY52">
        <f>$H$52*$AE$52</f>
        <v>127.46</v>
      </c>
      <c r="AZ52">
        <f>$H$52*$AF$52</f>
        <v>127.46</v>
      </c>
    </row>
    <row r="53" spans="1:52" x14ac:dyDescent="0.25">
      <c r="A53">
        <v>100</v>
      </c>
      <c r="B53" t="s">
        <v>261</v>
      </c>
      <c r="C53" t="s">
        <v>296</v>
      </c>
      <c r="D53">
        <v>2</v>
      </c>
      <c r="E53">
        <v>126.18</v>
      </c>
      <c r="F53" t="s">
        <v>265</v>
      </c>
      <c r="G53">
        <v>63.09</v>
      </c>
      <c r="H53">
        <v>151.41999999999999</v>
      </c>
      <c r="I53" t="s">
        <v>263</v>
      </c>
      <c r="J53" t="s">
        <v>292</v>
      </c>
      <c r="K53" t="s">
        <v>392</v>
      </c>
      <c r="L53" t="s">
        <v>170</v>
      </c>
      <c r="M53" t="s">
        <v>379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379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151.41999999999999</v>
      </c>
      <c r="AN53">
        <f>$H$53*$T$53</f>
        <v>151.41999999999999</v>
      </c>
      <c r="AO53">
        <f>$H$53*$U$53</f>
        <v>151.41999999999999</v>
      </c>
      <c r="AP53">
        <f>$H$53*$V$53</f>
        <v>151.41999999999999</v>
      </c>
      <c r="AQ53">
        <f>$H$53*$W$53</f>
        <v>151.41999999999999</v>
      </c>
      <c r="AR53">
        <f>$H$53*$X$53</f>
        <v>151.41999999999999</v>
      </c>
      <c r="AS53">
        <f>$H$53*$Y$53</f>
        <v>151.41999999999999</v>
      </c>
      <c r="AT53">
        <f>$H$53*$Z$53</f>
        <v>151.41999999999999</v>
      </c>
      <c r="AU53">
        <f>$H$53*$AA$53</f>
        <v>151.41999999999999</v>
      </c>
      <c r="AV53">
        <f>$H$53*$AB$53</f>
        <v>151.41999999999999</v>
      </c>
      <c r="AW53">
        <f>$H$53*$AC$53</f>
        <v>151.41999999999999</v>
      </c>
      <c r="AX53">
        <f>$H$53*$AD$53</f>
        <v>151.41999999999999</v>
      </c>
      <c r="AY53">
        <f>$H$53*$AE$53</f>
        <v>151.41999999999999</v>
      </c>
      <c r="AZ53">
        <f>$H$53*$AF$53</f>
        <v>151.41999999999999</v>
      </c>
    </row>
    <row r="54" spans="1:52" x14ac:dyDescent="0.25">
      <c r="A54">
        <v>101</v>
      </c>
      <c r="B54" t="s">
        <v>261</v>
      </c>
      <c r="C54" t="s">
        <v>523</v>
      </c>
      <c r="D54">
        <v>2</v>
      </c>
      <c r="E54">
        <v>1161.94</v>
      </c>
      <c r="F54" t="s">
        <v>265</v>
      </c>
      <c r="G54">
        <v>580.97</v>
      </c>
      <c r="H54">
        <v>1394.32</v>
      </c>
      <c r="I54" t="s">
        <v>276</v>
      </c>
      <c r="J54" t="s">
        <v>524</v>
      </c>
      <c r="K54" t="s">
        <v>642</v>
      </c>
      <c r="L54" t="s">
        <v>170</v>
      </c>
      <c r="M54" t="s">
        <v>379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379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1394.32</v>
      </c>
      <c r="AV54">
        <f>$H$54*$AB$54</f>
        <v>1394.32</v>
      </c>
      <c r="AW54">
        <f>$H$54*$AC$54</f>
        <v>1394.32</v>
      </c>
      <c r="AX54">
        <f>$H$54*$AD$54</f>
        <v>1394.32</v>
      </c>
      <c r="AY54">
        <f>$H$54*$AE$54</f>
        <v>1394.32</v>
      </c>
      <c r="AZ54">
        <f>$H$54*$AF$54</f>
        <v>1394.32</v>
      </c>
    </row>
    <row r="55" spans="1:52" x14ac:dyDescent="0.25">
      <c r="A55">
        <v>102</v>
      </c>
      <c r="B55" t="s">
        <v>473</v>
      </c>
      <c r="C55" t="s">
        <v>324</v>
      </c>
      <c r="D55">
        <v>2</v>
      </c>
      <c r="E55">
        <v>32.159999999999997</v>
      </c>
      <c r="F55" t="s">
        <v>265</v>
      </c>
      <c r="G55">
        <v>16.079999999999998</v>
      </c>
      <c r="H55">
        <v>38.6</v>
      </c>
      <c r="I55" t="s">
        <v>267</v>
      </c>
      <c r="J55" t="s">
        <v>325</v>
      </c>
      <c r="K55" t="s">
        <v>404</v>
      </c>
      <c r="L55" t="s">
        <v>170</v>
      </c>
      <c r="M55" t="s">
        <v>473</v>
      </c>
      <c r="N55" t="s">
        <v>12</v>
      </c>
      <c r="O55" t="s">
        <v>474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473</v>
      </c>
      <c r="AH55" t="s">
        <v>12</v>
      </c>
      <c r="AI55" t="s">
        <v>474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38.6</v>
      </c>
      <c r="AS55">
        <f>$H$55*$Y$55</f>
        <v>38.6</v>
      </c>
      <c r="AT55">
        <f>$H$55*$Z$55</f>
        <v>38.6</v>
      </c>
      <c r="AU55">
        <f>$H$55*$AA$55</f>
        <v>38.6</v>
      </c>
      <c r="AV55">
        <f>$H$55*$AB$55</f>
        <v>38.6</v>
      </c>
      <c r="AW55">
        <f>$H$55*$AC$55</f>
        <v>38.6</v>
      </c>
      <c r="AX55">
        <f>$H$55*$AD$55</f>
        <v>38.6</v>
      </c>
      <c r="AY55">
        <f>$H$55*$AE$55</f>
        <v>38.6</v>
      </c>
      <c r="AZ55">
        <f>$H$55*$AF$55</f>
        <v>38.6</v>
      </c>
    </row>
    <row r="56" spans="1:52" x14ac:dyDescent="0.25">
      <c r="A56">
        <v>103</v>
      </c>
      <c r="B56" t="s">
        <v>473</v>
      </c>
      <c r="C56" t="s">
        <v>525</v>
      </c>
      <c r="D56">
        <v>1</v>
      </c>
      <c r="E56">
        <v>109.28</v>
      </c>
      <c r="F56" t="s">
        <v>265</v>
      </c>
      <c r="G56">
        <v>109.28</v>
      </c>
      <c r="H56">
        <v>131.13999999999999</v>
      </c>
      <c r="I56" t="s">
        <v>270</v>
      </c>
      <c r="J56" t="s">
        <v>293</v>
      </c>
      <c r="K56" t="s">
        <v>643</v>
      </c>
      <c r="L56" t="s">
        <v>170</v>
      </c>
      <c r="M56" t="s">
        <v>473</v>
      </c>
      <c r="N56" t="s">
        <v>12</v>
      </c>
      <c r="O56" t="s">
        <v>474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1</v>
      </c>
      <c r="AF56">
        <v>1</v>
      </c>
      <c r="AG56" t="s">
        <v>473</v>
      </c>
      <c r="AH56" t="s">
        <v>12</v>
      </c>
      <c r="AI56" t="s">
        <v>474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0</v>
      </c>
      <c r="AV56">
        <f>$H$56*$AB$56</f>
        <v>0</v>
      </c>
      <c r="AW56">
        <f>$H$56*$AC$56</f>
        <v>0</v>
      </c>
      <c r="AX56">
        <f>$H$56*$AD$56</f>
        <v>131.13999999999999</v>
      </c>
      <c r="AY56">
        <f>$H$56*$AE$56</f>
        <v>131.13999999999999</v>
      </c>
      <c r="AZ56">
        <f>$H$56*$AF$56</f>
        <v>131.13999999999999</v>
      </c>
    </row>
    <row r="57" spans="1:52" x14ac:dyDescent="0.25">
      <c r="A57">
        <v>104</v>
      </c>
      <c r="B57" t="s">
        <v>473</v>
      </c>
      <c r="C57" t="s">
        <v>335</v>
      </c>
      <c r="D57">
        <v>9.6</v>
      </c>
      <c r="E57">
        <v>36.770000000000003</v>
      </c>
      <c r="F57" t="s">
        <v>262</v>
      </c>
      <c r="G57">
        <v>3.83</v>
      </c>
      <c r="H57">
        <v>44.13</v>
      </c>
      <c r="I57" t="s">
        <v>336</v>
      </c>
      <c r="J57" t="s">
        <v>337</v>
      </c>
      <c r="K57" t="s">
        <v>409</v>
      </c>
      <c r="L57" t="s">
        <v>170</v>
      </c>
      <c r="M57" t="s">
        <v>473</v>
      </c>
      <c r="N57" t="s">
        <v>12</v>
      </c>
      <c r="O57" t="s">
        <v>474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473</v>
      </c>
      <c r="AH57" t="s">
        <v>12</v>
      </c>
      <c r="AI57" t="s">
        <v>474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44.13</v>
      </c>
      <c r="AV57">
        <f>$H$57*$AB$57</f>
        <v>44.13</v>
      </c>
      <c r="AW57">
        <f>$H$57*$AC$57</f>
        <v>44.13</v>
      </c>
      <c r="AX57">
        <f>$H$57*$AD$57</f>
        <v>44.13</v>
      </c>
      <c r="AY57">
        <f>$H$57*$AE$57</f>
        <v>44.13</v>
      </c>
      <c r="AZ57">
        <f>$H$57*$AF$57</f>
        <v>44.13</v>
      </c>
    </row>
    <row r="58" spans="1:52" x14ac:dyDescent="0.25">
      <c r="A58">
        <v>105</v>
      </c>
      <c r="B58" t="s">
        <v>473</v>
      </c>
      <c r="C58" t="s">
        <v>338</v>
      </c>
      <c r="D58">
        <v>86.4</v>
      </c>
      <c r="E58">
        <v>285.98</v>
      </c>
      <c r="F58" t="s">
        <v>275</v>
      </c>
      <c r="G58">
        <v>3.31</v>
      </c>
      <c r="H58">
        <v>343.18</v>
      </c>
      <c r="I58" t="s">
        <v>336</v>
      </c>
      <c r="J58" t="s">
        <v>339</v>
      </c>
      <c r="K58" t="s">
        <v>410</v>
      </c>
      <c r="L58" t="s">
        <v>170</v>
      </c>
      <c r="M58" t="s">
        <v>473</v>
      </c>
      <c r="N58" t="s">
        <v>12</v>
      </c>
      <c r="O58" t="s">
        <v>474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473</v>
      </c>
      <c r="AH58" t="s">
        <v>12</v>
      </c>
      <c r="AI58" t="s">
        <v>474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343.18</v>
      </c>
      <c r="AN58">
        <f>$H$58*$T$58</f>
        <v>343.18</v>
      </c>
      <c r="AO58">
        <f>$H$58*$U$58</f>
        <v>343.18</v>
      </c>
      <c r="AP58">
        <f>$H$58*$V$58</f>
        <v>343.18</v>
      </c>
      <c r="AQ58">
        <f>$H$58*$W$58</f>
        <v>343.18</v>
      </c>
      <c r="AR58">
        <f>$H$58*$X$58</f>
        <v>343.18</v>
      </c>
      <c r="AS58">
        <f>$H$58*$Y$58</f>
        <v>343.18</v>
      </c>
      <c r="AT58">
        <f>$H$58*$Z$58</f>
        <v>343.18</v>
      </c>
      <c r="AU58">
        <f>$H$58*$AA$58</f>
        <v>343.18</v>
      </c>
      <c r="AV58">
        <f>$H$58*$AB$58</f>
        <v>343.18</v>
      </c>
      <c r="AW58">
        <f>$H$58*$AC$58</f>
        <v>343.18</v>
      </c>
      <c r="AX58">
        <f>$H$58*$AD$58</f>
        <v>343.18</v>
      </c>
      <c r="AY58">
        <f>$H$58*$AE$58</f>
        <v>343.18</v>
      </c>
      <c r="AZ58">
        <f>$H$58*$AF$58</f>
        <v>343.18</v>
      </c>
    </row>
    <row r="59" spans="1:52" x14ac:dyDescent="0.25">
      <c r="A59">
        <v>106</v>
      </c>
      <c r="B59" t="s">
        <v>473</v>
      </c>
      <c r="C59" t="s">
        <v>340</v>
      </c>
      <c r="D59">
        <v>86.4</v>
      </c>
      <c r="E59">
        <v>91.58</v>
      </c>
      <c r="F59" t="s">
        <v>275</v>
      </c>
      <c r="G59">
        <v>1.06</v>
      </c>
      <c r="H59">
        <v>109.9</v>
      </c>
      <c r="I59" t="s">
        <v>263</v>
      </c>
      <c r="J59" t="s">
        <v>341</v>
      </c>
      <c r="K59" t="s">
        <v>411</v>
      </c>
      <c r="L59" t="s">
        <v>170</v>
      </c>
      <c r="M59" t="s">
        <v>473</v>
      </c>
      <c r="N59" t="s">
        <v>12</v>
      </c>
      <c r="O59" t="s">
        <v>474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1</v>
      </c>
      <c r="AF59">
        <v>1</v>
      </c>
      <c r="AG59" t="s">
        <v>473</v>
      </c>
      <c r="AH59" t="s">
        <v>12</v>
      </c>
      <c r="AI59" t="s">
        <v>474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0</v>
      </c>
      <c r="AX59">
        <f>$H$59*$AD$59</f>
        <v>109.9</v>
      </c>
      <c r="AY59">
        <f>$H$59*$AE$59</f>
        <v>109.9</v>
      </c>
      <c r="AZ59">
        <f>$H$59*$AF$59</f>
        <v>109.9</v>
      </c>
    </row>
    <row r="60" spans="1:52" x14ac:dyDescent="0.25">
      <c r="A60">
        <v>107</v>
      </c>
      <c r="B60" t="s">
        <v>473</v>
      </c>
      <c r="C60" t="s">
        <v>283</v>
      </c>
      <c r="D60">
        <v>108</v>
      </c>
      <c r="E60">
        <v>174.96</v>
      </c>
      <c r="F60" t="s">
        <v>275</v>
      </c>
      <c r="G60">
        <v>1.62</v>
      </c>
      <c r="H60">
        <v>209.96</v>
      </c>
      <c r="I60" t="s">
        <v>263</v>
      </c>
      <c r="J60" t="s">
        <v>284</v>
      </c>
      <c r="K60" t="s">
        <v>387</v>
      </c>
      <c r="L60" t="s">
        <v>170</v>
      </c>
      <c r="M60" t="s">
        <v>473</v>
      </c>
      <c r="N60" t="s">
        <v>12</v>
      </c>
      <c r="O60" t="s">
        <v>474</v>
      </c>
      <c r="P60">
        <v>0</v>
      </c>
      <c r="Q60">
        <v>0</v>
      </c>
      <c r="R60">
        <v>0</v>
      </c>
      <c r="S60">
        <v>0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473</v>
      </c>
      <c r="AH60" t="s">
        <v>12</v>
      </c>
      <c r="AI60" t="s">
        <v>474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209.96</v>
      </c>
      <c r="AO60">
        <f>$H$60*$U$60</f>
        <v>209.96</v>
      </c>
      <c r="AP60">
        <f>$H$60*$V$60</f>
        <v>209.96</v>
      </c>
      <c r="AQ60">
        <f>$H$60*$W$60</f>
        <v>209.96</v>
      </c>
      <c r="AR60">
        <f>$H$60*$X$60</f>
        <v>209.96</v>
      </c>
      <c r="AS60">
        <f>$H$60*$Y$60</f>
        <v>209.96</v>
      </c>
      <c r="AT60">
        <f>$H$60*$Z$60</f>
        <v>209.96</v>
      </c>
      <c r="AU60">
        <f>$H$60*$AA$60</f>
        <v>209.96</v>
      </c>
      <c r="AV60">
        <f>$H$60*$AB$60</f>
        <v>209.96</v>
      </c>
      <c r="AW60">
        <f>$H$60*$AC$60</f>
        <v>209.96</v>
      </c>
      <c r="AX60">
        <f>$H$60*$AD$60</f>
        <v>209.96</v>
      </c>
      <c r="AY60">
        <f>$H$60*$AE$60</f>
        <v>209.96</v>
      </c>
      <c r="AZ60">
        <f>$H$60*$AF$60</f>
        <v>209.96</v>
      </c>
    </row>
    <row r="61" spans="1:52" x14ac:dyDescent="0.25">
      <c r="A61">
        <v>108</v>
      </c>
      <c r="B61" t="s">
        <v>473</v>
      </c>
      <c r="C61" t="s">
        <v>526</v>
      </c>
      <c r="D61">
        <v>21.6</v>
      </c>
      <c r="E61">
        <v>91.37</v>
      </c>
      <c r="F61" t="s">
        <v>275</v>
      </c>
      <c r="G61">
        <v>4.2300000000000004</v>
      </c>
      <c r="H61">
        <v>109.65</v>
      </c>
      <c r="I61" t="s">
        <v>527</v>
      </c>
      <c r="J61" t="s">
        <v>309</v>
      </c>
      <c r="K61" t="s">
        <v>644</v>
      </c>
      <c r="L61" t="s">
        <v>170</v>
      </c>
      <c r="M61" t="s">
        <v>473</v>
      </c>
      <c r="N61" t="s">
        <v>12</v>
      </c>
      <c r="O61" t="s">
        <v>474</v>
      </c>
      <c r="P61">
        <v>0</v>
      </c>
      <c r="Q61">
        <v>0</v>
      </c>
      <c r="R61">
        <v>0</v>
      </c>
      <c r="S61">
        <v>0.25</v>
      </c>
      <c r="T61">
        <v>0.25</v>
      </c>
      <c r="U61">
        <v>0.25</v>
      </c>
      <c r="V61">
        <v>0.25</v>
      </c>
      <c r="W61">
        <v>0.25</v>
      </c>
      <c r="X61">
        <v>0.5</v>
      </c>
      <c r="Y61">
        <v>0.5</v>
      </c>
      <c r="Z61">
        <v>0.5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473</v>
      </c>
      <c r="AH61" t="s">
        <v>12</v>
      </c>
      <c r="AI61" t="s">
        <v>474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27.412500000000001</v>
      </c>
      <c r="AN61">
        <f>$H$61*$T$61</f>
        <v>27.412500000000001</v>
      </c>
      <c r="AO61">
        <f>$H$61*$U$61</f>
        <v>27.412500000000001</v>
      </c>
      <c r="AP61">
        <f>$H$61*$V$61</f>
        <v>27.412500000000001</v>
      </c>
      <c r="AQ61">
        <f>$H$61*$W$61</f>
        <v>27.412500000000001</v>
      </c>
      <c r="AR61">
        <f>$H$61*$X$61</f>
        <v>54.825000000000003</v>
      </c>
      <c r="AS61">
        <f>$H$61*$Y$61</f>
        <v>54.825000000000003</v>
      </c>
      <c r="AT61">
        <f>$H$61*$Z$61</f>
        <v>54.825000000000003</v>
      </c>
      <c r="AU61">
        <f>$H$61*$AA$61</f>
        <v>109.65</v>
      </c>
      <c r="AV61">
        <f>$H$61*$AB$61</f>
        <v>109.65</v>
      </c>
      <c r="AW61">
        <f>$H$61*$AC$61</f>
        <v>109.65</v>
      </c>
      <c r="AX61">
        <f>$H$61*$AD$61</f>
        <v>109.65</v>
      </c>
      <c r="AY61">
        <f>$H$61*$AE$61</f>
        <v>109.65</v>
      </c>
      <c r="AZ61">
        <f>$H$61*$AF$61</f>
        <v>109.65</v>
      </c>
    </row>
    <row r="62" spans="1:52" x14ac:dyDescent="0.25">
      <c r="A62">
        <v>109</v>
      </c>
      <c r="B62" t="s">
        <v>473</v>
      </c>
      <c r="C62" t="s">
        <v>285</v>
      </c>
      <c r="D62">
        <v>216</v>
      </c>
      <c r="E62">
        <v>892.08</v>
      </c>
      <c r="F62" t="s">
        <v>275</v>
      </c>
      <c r="G62">
        <v>4.13</v>
      </c>
      <c r="H62">
        <v>1070.5</v>
      </c>
      <c r="I62" t="s">
        <v>286</v>
      </c>
      <c r="J62" t="s">
        <v>287</v>
      </c>
      <c r="K62" t="s">
        <v>388</v>
      </c>
      <c r="L62" t="s">
        <v>170</v>
      </c>
      <c r="M62" t="s">
        <v>473</v>
      </c>
      <c r="N62" t="s">
        <v>12</v>
      </c>
      <c r="O62" t="s">
        <v>474</v>
      </c>
      <c r="P62">
        <v>0</v>
      </c>
      <c r="Q62">
        <v>0</v>
      </c>
      <c r="R62">
        <v>0</v>
      </c>
      <c r="S62">
        <v>0.25</v>
      </c>
      <c r="T62">
        <v>0.25</v>
      </c>
      <c r="U62">
        <v>0.25</v>
      </c>
      <c r="V62">
        <v>0.25</v>
      </c>
      <c r="W62">
        <v>0.5</v>
      </c>
      <c r="X62">
        <v>0.5</v>
      </c>
      <c r="Y62">
        <v>0.5</v>
      </c>
      <c r="Z62">
        <v>0.5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473</v>
      </c>
      <c r="AH62" t="s">
        <v>12</v>
      </c>
      <c r="AI62" t="s">
        <v>474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267.625</v>
      </c>
      <c r="AN62">
        <f>$H$62*$T$62</f>
        <v>267.625</v>
      </c>
      <c r="AO62">
        <f>$H$62*$U$62</f>
        <v>267.625</v>
      </c>
      <c r="AP62">
        <f>$H$62*$V$62</f>
        <v>267.625</v>
      </c>
      <c r="AQ62">
        <f>$H$62*$W$62</f>
        <v>535.25</v>
      </c>
      <c r="AR62">
        <f>$H$62*$X$62</f>
        <v>535.25</v>
      </c>
      <c r="AS62">
        <f>$H$62*$Y$62</f>
        <v>535.25</v>
      </c>
      <c r="AT62">
        <f>$H$62*$Z$62</f>
        <v>535.25</v>
      </c>
      <c r="AU62">
        <f>$H$62*$AA$62</f>
        <v>1070.5</v>
      </c>
      <c r="AV62">
        <f>$H$62*$AB$62</f>
        <v>1070.5</v>
      </c>
      <c r="AW62">
        <f>$H$62*$AC$62</f>
        <v>1070.5</v>
      </c>
      <c r="AX62">
        <f>$H$62*$AD$62</f>
        <v>1070.5</v>
      </c>
      <c r="AY62">
        <f>$H$62*$AE$62</f>
        <v>1070.5</v>
      </c>
      <c r="AZ62">
        <f>$H$62*$AF$62</f>
        <v>1070.5</v>
      </c>
    </row>
    <row r="63" spans="1:52" x14ac:dyDescent="0.25">
      <c r="A63">
        <v>110</v>
      </c>
      <c r="B63" t="s">
        <v>473</v>
      </c>
      <c r="C63" t="s">
        <v>372</v>
      </c>
      <c r="D63">
        <v>24</v>
      </c>
      <c r="E63">
        <v>43.44</v>
      </c>
      <c r="F63" t="s">
        <v>262</v>
      </c>
      <c r="G63">
        <v>1.81</v>
      </c>
      <c r="H63">
        <v>52.12</v>
      </c>
      <c r="I63" t="s">
        <v>263</v>
      </c>
      <c r="J63" t="s">
        <v>373</v>
      </c>
      <c r="K63" t="s">
        <v>426</v>
      </c>
      <c r="L63" t="s">
        <v>170</v>
      </c>
      <c r="M63" t="s">
        <v>473</v>
      </c>
      <c r="N63" t="s">
        <v>12</v>
      </c>
      <c r="O63" t="s">
        <v>474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473</v>
      </c>
      <c r="AH63" t="s">
        <v>12</v>
      </c>
      <c r="AI63" t="s">
        <v>474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52.12</v>
      </c>
      <c r="AV63">
        <f>$H$63*$AB$63</f>
        <v>52.12</v>
      </c>
      <c r="AW63">
        <f>$H$63*$AC$63</f>
        <v>52.12</v>
      </c>
      <c r="AX63">
        <f>$H$63*$AD$63</f>
        <v>52.12</v>
      </c>
      <c r="AY63">
        <f>$H$63*$AE$63</f>
        <v>52.12</v>
      </c>
      <c r="AZ63">
        <f>$H$63*$AF$63</f>
        <v>52.12</v>
      </c>
    </row>
    <row r="64" spans="1:52" x14ac:dyDescent="0.25">
      <c r="A64">
        <v>111</v>
      </c>
      <c r="B64" t="s">
        <v>473</v>
      </c>
      <c r="C64" t="s">
        <v>374</v>
      </c>
      <c r="D64">
        <v>24</v>
      </c>
      <c r="E64">
        <v>209.76</v>
      </c>
      <c r="F64" t="s">
        <v>262</v>
      </c>
      <c r="G64">
        <v>8.74</v>
      </c>
      <c r="H64">
        <v>251.72</v>
      </c>
      <c r="I64" t="s">
        <v>264</v>
      </c>
      <c r="J64" t="s">
        <v>375</v>
      </c>
      <c r="K64" t="s">
        <v>427</v>
      </c>
      <c r="L64" t="s">
        <v>170</v>
      </c>
      <c r="M64" t="s">
        <v>473</v>
      </c>
      <c r="N64" t="s">
        <v>12</v>
      </c>
      <c r="O64" t="s">
        <v>474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473</v>
      </c>
      <c r="AH64" t="s">
        <v>12</v>
      </c>
      <c r="AI64" t="s">
        <v>474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251.72</v>
      </c>
      <c r="AV64">
        <f>$H$64*$AB$64</f>
        <v>251.72</v>
      </c>
      <c r="AW64">
        <f>$H$64*$AC$64</f>
        <v>251.72</v>
      </c>
      <c r="AX64">
        <f>$H$64*$AD$64</f>
        <v>251.72</v>
      </c>
      <c r="AY64">
        <f>$H$64*$AE$64</f>
        <v>251.72</v>
      </c>
      <c r="AZ64">
        <f>$H$64*$AF$64</f>
        <v>251.72</v>
      </c>
    </row>
    <row r="65" spans="1:52" x14ac:dyDescent="0.25">
      <c r="A65">
        <v>112</v>
      </c>
      <c r="B65" t="s">
        <v>473</v>
      </c>
      <c r="C65" t="s">
        <v>342</v>
      </c>
      <c r="D65">
        <v>24</v>
      </c>
      <c r="E65">
        <v>63.36</v>
      </c>
      <c r="F65" t="s">
        <v>262</v>
      </c>
      <c r="G65">
        <v>2.64</v>
      </c>
      <c r="H65">
        <v>76.040000000000006</v>
      </c>
      <c r="I65" t="s">
        <v>263</v>
      </c>
      <c r="J65" t="s">
        <v>343</v>
      </c>
      <c r="K65" t="s">
        <v>412</v>
      </c>
      <c r="L65" t="s">
        <v>170</v>
      </c>
      <c r="M65" t="s">
        <v>473</v>
      </c>
      <c r="N65" t="s">
        <v>12</v>
      </c>
      <c r="O65" t="s">
        <v>474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473</v>
      </c>
      <c r="AH65" t="s">
        <v>12</v>
      </c>
      <c r="AI65" t="s">
        <v>474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76.040000000000006</v>
      </c>
      <c r="AN65">
        <f>$H$65*$T$65</f>
        <v>76.040000000000006</v>
      </c>
      <c r="AO65">
        <f>$H$65*$U$65</f>
        <v>76.040000000000006</v>
      </c>
      <c r="AP65">
        <f>$H$65*$V$65</f>
        <v>76.040000000000006</v>
      </c>
      <c r="AQ65">
        <f>$H$65*$W$65</f>
        <v>76.040000000000006</v>
      </c>
      <c r="AR65">
        <f>$H$65*$X$65</f>
        <v>76.040000000000006</v>
      </c>
      <c r="AS65">
        <f>$H$65*$Y$65</f>
        <v>76.040000000000006</v>
      </c>
      <c r="AT65">
        <f>$H$65*$Z$65</f>
        <v>76.040000000000006</v>
      </c>
      <c r="AU65">
        <f>$H$65*$AA$65</f>
        <v>76.040000000000006</v>
      </c>
      <c r="AV65">
        <f>$H$65*$AB$65</f>
        <v>76.040000000000006</v>
      </c>
      <c r="AW65">
        <f>$H$65*$AC$65</f>
        <v>76.040000000000006</v>
      </c>
      <c r="AX65">
        <f>$H$65*$AD$65</f>
        <v>76.040000000000006</v>
      </c>
      <c r="AY65">
        <f>$H$65*$AE$65</f>
        <v>76.040000000000006</v>
      </c>
      <c r="AZ65">
        <f>$H$65*$AF$65</f>
        <v>76.040000000000006</v>
      </c>
    </row>
    <row r="66" spans="1:52" x14ac:dyDescent="0.25">
      <c r="A66">
        <v>113</v>
      </c>
      <c r="B66" t="s">
        <v>473</v>
      </c>
      <c r="C66" t="s">
        <v>344</v>
      </c>
      <c r="D66">
        <v>24</v>
      </c>
      <c r="E66">
        <v>148.56</v>
      </c>
      <c r="F66" t="s">
        <v>262</v>
      </c>
      <c r="G66">
        <v>6.19</v>
      </c>
      <c r="H66">
        <v>178.28</v>
      </c>
      <c r="I66" t="s">
        <v>264</v>
      </c>
      <c r="J66" t="s">
        <v>345</v>
      </c>
      <c r="K66" t="s">
        <v>413</v>
      </c>
      <c r="L66" t="s">
        <v>170</v>
      </c>
      <c r="M66" t="s">
        <v>473</v>
      </c>
      <c r="N66" t="s">
        <v>12</v>
      </c>
      <c r="O66" t="s">
        <v>474</v>
      </c>
      <c r="P66">
        <v>0</v>
      </c>
      <c r="Q66">
        <v>0</v>
      </c>
      <c r="R66">
        <v>0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473</v>
      </c>
      <c r="AH66" t="s">
        <v>12</v>
      </c>
      <c r="AI66" t="s">
        <v>474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178.28</v>
      </c>
      <c r="AN66">
        <f>$H$66*$T$66</f>
        <v>178.28</v>
      </c>
      <c r="AO66">
        <f>$H$66*$U$66</f>
        <v>178.28</v>
      </c>
      <c r="AP66">
        <f>$H$66*$V$66</f>
        <v>178.28</v>
      </c>
      <c r="AQ66">
        <f>$H$66*$W$66</f>
        <v>178.28</v>
      </c>
      <c r="AR66">
        <f>$H$66*$X$66</f>
        <v>178.28</v>
      </c>
      <c r="AS66">
        <f>$H$66*$Y$66</f>
        <v>178.28</v>
      </c>
      <c r="AT66">
        <f>$H$66*$Z$66</f>
        <v>178.28</v>
      </c>
      <c r="AU66">
        <f>$H$66*$AA$66</f>
        <v>178.28</v>
      </c>
      <c r="AV66">
        <f>$H$66*$AB$66</f>
        <v>178.28</v>
      </c>
      <c r="AW66">
        <f>$H$66*$AC$66</f>
        <v>178.28</v>
      </c>
      <c r="AX66">
        <f>$H$66*$AD$66</f>
        <v>178.28</v>
      </c>
      <c r="AY66">
        <f>$H$66*$AE$66</f>
        <v>178.28</v>
      </c>
      <c r="AZ66">
        <f>$H$66*$AF$66</f>
        <v>178.28</v>
      </c>
    </row>
    <row r="67" spans="1:52" x14ac:dyDescent="0.25">
      <c r="A67">
        <v>114</v>
      </c>
      <c r="B67" t="s">
        <v>473</v>
      </c>
      <c r="C67" t="s">
        <v>285</v>
      </c>
      <c r="D67">
        <v>49.92</v>
      </c>
      <c r="E67">
        <v>206.17</v>
      </c>
      <c r="F67" t="s">
        <v>275</v>
      </c>
      <c r="G67">
        <v>4.13</v>
      </c>
      <c r="H67">
        <v>247.41</v>
      </c>
      <c r="I67" t="s">
        <v>286</v>
      </c>
      <c r="J67" t="s">
        <v>287</v>
      </c>
      <c r="K67" t="s">
        <v>388</v>
      </c>
      <c r="L67" t="s">
        <v>170</v>
      </c>
      <c r="M67" t="s">
        <v>473</v>
      </c>
      <c r="N67" t="s">
        <v>12</v>
      </c>
      <c r="O67" t="s">
        <v>474</v>
      </c>
      <c r="P67">
        <v>0</v>
      </c>
      <c r="Q67">
        <v>0</v>
      </c>
      <c r="R67">
        <v>0</v>
      </c>
      <c r="S67">
        <v>0.25</v>
      </c>
      <c r="T67">
        <v>0.25</v>
      </c>
      <c r="U67">
        <v>0.25</v>
      </c>
      <c r="V67">
        <v>0.25</v>
      </c>
      <c r="W67">
        <v>0.5</v>
      </c>
      <c r="X67">
        <v>0.5</v>
      </c>
      <c r="Y67">
        <v>0.5</v>
      </c>
      <c r="Z67">
        <v>0.5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473</v>
      </c>
      <c r="AH67" t="s">
        <v>12</v>
      </c>
      <c r="AI67" t="s">
        <v>474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61.852499999999999</v>
      </c>
      <c r="AN67">
        <f>$H$67*$T$67</f>
        <v>61.852499999999999</v>
      </c>
      <c r="AO67">
        <f>$H$67*$U$67</f>
        <v>61.852499999999999</v>
      </c>
      <c r="AP67">
        <f>$H$67*$V$67</f>
        <v>61.852499999999999</v>
      </c>
      <c r="AQ67">
        <f>$H$67*$W$67</f>
        <v>123.705</v>
      </c>
      <c r="AR67">
        <f>$H$67*$X$67</f>
        <v>123.705</v>
      </c>
      <c r="AS67">
        <f>$H$67*$Y$67</f>
        <v>123.705</v>
      </c>
      <c r="AT67">
        <f>$H$67*$Z$67</f>
        <v>123.705</v>
      </c>
      <c r="AU67">
        <f>$H$67*$AA$67</f>
        <v>247.41</v>
      </c>
      <c r="AV67">
        <f>$H$67*$AB$67</f>
        <v>247.41</v>
      </c>
      <c r="AW67">
        <f>$H$67*$AC$67</f>
        <v>247.41</v>
      </c>
      <c r="AX67">
        <f>$H$67*$AD$67</f>
        <v>247.41</v>
      </c>
      <c r="AY67">
        <f>$H$67*$AE$67</f>
        <v>247.41</v>
      </c>
      <c r="AZ67">
        <f>$H$67*$AF$67</f>
        <v>247.41</v>
      </c>
    </row>
    <row r="68" spans="1:52" x14ac:dyDescent="0.25">
      <c r="A68">
        <v>115</v>
      </c>
      <c r="B68" t="s">
        <v>473</v>
      </c>
      <c r="C68" t="s">
        <v>340</v>
      </c>
      <c r="D68">
        <v>49.92</v>
      </c>
      <c r="E68">
        <v>52.92</v>
      </c>
      <c r="F68" t="s">
        <v>275</v>
      </c>
      <c r="G68">
        <v>1.06</v>
      </c>
      <c r="H68">
        <v>63.5</v>
      </c>
      <c r="I68" t="s">
        <v>263</v>
      </c>
      <c r="J68" t="s">
        <v>341</v>
      </c>
      <c r="K68" t="s">
        <v>411</v>
      </c>
      <c r="L68" t="s">
        <v>170</v>
      </c>
      <c r="M68" t="s">
        <v>473</v>
      </c>
      <c r="N68" t="s">
        <v>12</v>
      </c>
      <c r="O68" t="s">
        <v>474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 t="s">
        <v>473</v>
      </c>
      <c r="AH68" t="s">
        <v>12</v>
      </c>
      <c r="AI68" t="s">
        <v>474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0</v>
      </c>
      <c r="AX68">
        <f>$H$68*$AD$68</f>
        <v>63.5</v>
      </c>
      <c r="AY68">
        <f>$H$68*$AE$68</f>
        <v>63.5</v>
      </c>
      <c r="AZ68">
        <f>$H$68*$AF$68</f>
        <v>63.5</v>
      </c>
    </row>
    <row r="69" spans="1:52" x14ac:dyDescent="0.25">
      <c r="A69">
        <v>116</v>
      </c>
      <c r="B69" t="s">
        <v>473</v>
      </c>
      <c r="C69" t="s">
        <v>346</v>
      </c>
      <c r="D69">
        <v>49.92</v>
      </c>
      <c r="E69">
        <v>55.91</v>
      </c>
      <c r="F69" t="s">
        <v>275</v>
      </c>
      <c r="G69">
        <v>1.1200000000000001</v>
      </c>
      <c r="H69">
        <v>67.09</v>
      </c>
      <c r="I69" t="s">
        <v>263</v>
      </c>
      <c r="J69" t="s">
        <v>347</v>
      </c>
      <c r="K69" t="s">
        <v>414</v>
      </c>
      <c r="L69" t="s">
        <v>170</v>
      </c>
      <c r="M69" t="s">
        <v>473</v>
      </c>
      <c r="N69" t="s">
        <v>12</v>
      </c>
      <c r="O69" t="s">
        <v>474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473</v>
      </c>
      <c r="AH69" t="s">
        <v>12</v>
      </c>
      <c r="AI69" t="s">
        <v>474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67.09</v>
      </c>
      <c r="AN69">
        <f>$H$69*$T$69</f>
        <v>67.09</v>
      </c>
      <c r="AO69">
        <f>$H$69*$U$69</f>
        <v>67.09</v>
      </c>
      <c r="AP69">
        <f>$H$69*$V$69</f>
        <v>67.09</v>
      </c>
      <c r="AQ69">
        <f>$H$69*$W$69</f>
        <v>67.09</v>
      </c>
      <c r="AR69">
        <f>$H$69*$X$69</f>
        <v>67.09</v>
      </c>
      <c r="AS69">
        <f>$H$69*$Y$69</f>
        <v>67.09</v>
      </c>
      <c r="AT69">
        <f>$H$69*$Z$69</f>
        <v>67.09</v>
      </c>
      <c r="AU69">
        <f>$H$69*$AA$69</f>
        <v>67.09</v>
      </c>
      <c r="AV69">
        <f>$H$69*$AB$69</f>
        <v>67.09</v>
      </c>
      <c r="AW69">
        <f>$H$69*$AC$69</f>
        <v>67.09</v>
      </c>
      <c r="AX69">
        <f>$H$69*$AD$69</f>
        <v>67.09</v>
      </c>
      <c r="AY69">
        <f>$H$69*$AE$69</f>
        <v>67.09</v>
      </c>
      <c r="AZ69">
        <f>$H$69*$AF$69</f>
        <v>67.09</v>
      </c>
    </row>
    <row r="70" spans="1:52" x14ac:dyDescent="0.25">
      <c r="A70">
        <v>117</v>
      </c>
      <c r="B70" t="s">
        <v>473</v>
      </c>
      <c r="C70" t="s">
        <v>528</v>
      </c>
      <c r="D70">
        <v>7.06</v>
      </c>
      <c r="E70">
        <v>147.91</v>
      </c>
      <c r="F70" t="s">
        <v>275</v>
      </c>
      <c r="G70">
        <v>20.95</v>
      </c>
      <c r="H70">
        <v>177.49</v>
      </c>
      <c r="I70" t="s">
        <v>348</v>
      </c>
      <c r="J70" t="s">
        <v>529</v>
      </c>
      <c r="K70" t="s">
        <v>645</v>
      </c>
      <c r="L70" t="s">
        <v>170</v>
      </c>
      <c r="M70" t="s">
        <v>473</v>
      </c>
      <c r="N70" t="s">
        <v>12</v>
      </c>
      <c r="O70" t="s">
        <v>474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473</v>
      </c>
      <c r="AH70" t="s">
        <v>12</v>
      </c>
      <c r="AI70" t="s">
        <v>474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177.49</v>
      </c>
      <c r="AT70">
        <f>$H$70*$Z$70</f>
        <v>177.49</v>
      </c>
      <c r="AU70">
        <f>$H$70*$AA$70</f>
        <v>177.49</v>
      </c>
      <c r="AV70">
        <f>$H$70*$AB$70</f>
        <v>177.49</v>
      </c>
      <c r="AW70">
        <f>$H$70*$AC$70</f>
        <v>177.49</v>
      </c>
      <c r="AX70">
        <f>$H$70*$AD$70</f>
        <v>177.49</v>
      </c>
      <c r="AY70">
        <f>$H$70*$AE$70</f>
        <v>177.49</v>
      </c>
      <c r="AZ70">
        <f>$H$70*$AF$70</f>
        <v>177.49</v>
      </c>
    </row>
    <row r="71" spans="1:52" x14ac:dyDescent="0.25">
      <c r="A71">
        <v>118</v>
      </c>
      <c r="B71" t="s">
        <v>473</v>
      </c>
      <c r="C71" t="s">
        <v>349</v>
      </c>
      <c r="D71">
        <v>14.12</v>
      </c>
      <c r="E71">
        <v>60.15</v>
      </c>
      <c r="F71" t="s">
        <v>275</v>
      </c>
      <c r="G71">
        <v>4.26</v>
      </c>
      <c r="H71">
        <v>72.19</v>
      </c>
      <c r="I71" t="s">
        <v>350</v>
      </c>
      <c r="J71" t="s">
        <v>351</v>
      </c>
      <c r="K71" t="s">
        <v>415</v>
      </c>
      <c r="L71" t="s">
        <v>170</v>
      </c>
      <c r="M71" t="s">
        <v>473</v>
      </c>
      <c r="N71" t="s">
        <v>12</v>
      </c>
      <c r="O71" t="s">
        <v>474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473</v>
      </c>
      <c r="AH71" t="s">
        <v>12</v>
      </c>
      <c r="AI71" t="s">
        <v>474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72.19</v>
      </c>
      <c r="AN71">
        <f>$H$71*$T$71</f>
        <v>72.19</v>
      </c>
      <c r="AO71">
        <f>$H$71*$U$71</f>
        <v>72.19</v>
      </c>
      <c r="AP71">
        <f>$H$71*$V$71</f>
        <v>72.19</v>
      </c>
      <c r="AQ71">
        <f>$H$71*$W$71</f>
        <v>72.19</v>
      </c>
      <c r="AR71">
        <f>$H$71*$X$71</f>
        <v>72.19</v>
      </c>
      <c r="AS71">
        <f>$H$71*$Y$71</f>
        <v>72.19</v>
      </c>
      <c r="AT71">
        <f>$H$71*$Z$71</f>
        <v>72.19</v>
      </c>
      <c r="AU71">
        <f>$H$71*$AA$71</f>
        <v>72.19</v>
      </c>
      <c r="AV71">
        <f>$H$71*$AB$71</f>
        <v>72.19</v>
      </c>
      <c r="AW71">
        <f>$H$71*$AC$71</f>
        <v>72.19</v>
      </c>
      <c r="AX71">
        <f>$H$71*$AD$71</f>
        <v>72.19</v>
      </c>
      <c r="AY71">
        <f>$H$71*$AE$71</f>
        <v>72.19</v>
      </c>
      <c r="AZ71">
        <f>$H$71*$AF$71</f>
        <v>72.19</v>
      </c>
    </row>
    <row r="72" spans="1:52" x14ac:dyDescent="0.25">
      <c r="A72">
        <v>119</v>
      </c>
      <c r="B72" t="s">
        <v>473</v>
      </c>
      <c r="C72" t="s">
        <v>352</v>
      </c>
      <c r="D72">
        <v>14.12</v>
      </c>
      <c r="E72">
        <v>151.65</v>
      </c>
      <c r="F72" t="s">
        <v>275</v>
      </c>
      <c r="G72">
        <v>10.74</v>
      </c>
      <c r="H72">
        <v>181.99</v>
      </c>
      <c r="I72" t="s">
        <v>350</v>
      </c>
      <c r="J72" t="s">
        <v>293</v>
      </c>
      <c r="K72" t="s">
        <v>416</v>
      </c>
      <c r="L72" t="s">
        <v>170</v>
      </c>
      <c r="M72" t="s">
        <v>473</v>
      </c>
      <c r="N72" t="s">
        <v>12</v>
      </c>
      <c r="O72" t="s">
        <v>474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473</v>
      </c>
      <c r="AH72" t="s">
        <v>12</v>
      </c>
      <c r="AI72" t="s">
        <v>474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181.99</v>
      </c>
      <c r="AN72">
        <f>$H$72*$T$72</f>
        <v>181.99</v>
      </c>
      <c r="AO72">
        <f>$H$72*$U$72</f>
        <v>181.99</v>
      </c>
      <c r="AP72">
        <f>$H$72*$V$72</f>
        <v>181.99</v>
      </c>
      <c r="AQ72">
        <f>$H$72*$W$72</f>
        <v>181.99</v>
      </c>
      <c r="AR72">
        <f>$H$72*$X$72</f>
        <v>181.99</v>
      </c>
      <c r="AS72">
        <f>$H$72*$Y$72</f>
        <v>181.99</v>
      </c>
      <c r="AT72">
        <f>$H$72*$Z$72</f>
        <v>181.99</v>
      </c>
      <c r="AU72">
        <f>$H$72*$AA$72</f>
        <v>181.99</v>
      </c>
      <c r="AV72">
        <f>$H$72*$AB$72</f>
        <v>181.99</v>
      </c>
      <c r="AW72">
        <f>$H$72*$AC$72</f>
        <v>181.99</v>
      </c>
      <c r="AX72">
        <f>$H$72*$AD$72</f>
        <v>181.99</v>
      </c>
      <c r="AY72">
        <f>$H$72*$AE$72</f>
        <v>181.99</v>
      </c>
      <c r="AZ72">
        <f>$H$72*$AF$72</f>
        <v>181.99</v>
      </c>
    </row>
    <row r="73" spans="1:52" x14ac:dyDescent="0.25">
      <c r="A73">
        <v>120</v>
      </c>
      <c r="B73" t="s">
        <v>473</v>
      </c>
      <c r="C73" t="s">
        <v>530</v>
      </c>
      <c r="D73">
        <v>16.239999999999998</v>
      </c>
      <c r="E73">
        <v>17.21</v>
      </c>
      <c r="F73" t="s">
        <v>275</v>
      </c>
      <c r="G73">
        <v>1.06</v>
      </c>
      <c r="H73">
        <v>20.65</v>
      </c>
      <c r="I73" t="s">
        <v>353</v>
      </c>
      <c r="J73" t="s">
        <v>531</v>
      </c>
      <c r="K73" t="s">
        <v>646</v>
      </c>
      <c r="L73" t="s">
        <v>170</v>
      </c>
      <c r="M73" t="s">
        <v>473</v>
      </c>
      <c r="N73" t="s">
        <v>12</v>
      </c>
      <c r="O73" t="s">
        <v>474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473</v>
      </c>
      <c r="AH73" t="s">
        <v>12</v>
      </c>
      <c r="AI73" t="s">
        <v>474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20.65</v>
      </c>
      <c r="AN73">
        <f>$H$73*$T$73</f>
        <v>20.65</v>
      </c>
      <c r="AO73">
        <f>$H$73*$U$73</f>
        <v>20.65</v>
      </c>
      <c r="AP73">
        <f>$H$73*$V$73</f>
        <v>20.65</v>
      </c>
      <c r="AQ73">
        <f>$H$73*$W$73</f>
        <v>20.65</v>
      </c>
      <c r="AR73">
        <f>$H$73*$X$73</f>
        <v>20.65</v>
      </c>
      <c r="AS73">
        <f>$H$73*$Y$73</f>
        <v>20.65</v>
      </c>
      <c r="AT73">
        <f>$H$73*$Z$73</f>
        <v>20.65</v>
      </c>
      <c r="AU73">
        <f>$H$73*$AA$73</f>
        <v>20.65</v>
      </c>
      <c r="AV73">
        <f>$H$73*$AB$73</f>
        <v>20.65</v>
      </c>
      <c r="AW73">
        <f>$H$73*$AC$73</f>
        <v>20.65</v>
      </c>
      <c r="AX73">
        <f>$H$73*$AD$73</f>
        <v>20.65</v>
      </c>
      <c r="AY73">
        <f>$H$73*$AE$73</f>
        <v>20.65</v>
      </c>
      <c r="AZ73">
        <f>$H$73*$AF$73</f>
        <v>20.65</v>
      </c>
    </row>
    <row r="74" spans="1:52" x14ac:dyDescent="0.25">
      <c r="A74">
        <v>121</v>
      </c>
      <c r="B74" t="s">
        <v>473</v>
      </c>
      <c r="C74" t="s">
        <v>532</v>
      </c>
      <c r="D74">
        <v>16.239999999999998</v>
      </c>
      <c r="E74">
        <v>140.15</v>
      </c>
      <c r="F74" t="s">
        <v>275</v>
      </c>
      <c r="G74">
        <v>8.6300000000000008</v>
      </c>
      <c r="H74">
        <v>168.19</v>
      </c>
      <c r="I74" t="s">
        <v>353</v>
      </c>
      <c r="J74" t="s">
        <v>529</v>
      </c>
      <c r="K74" t="s">
        <v>647</v>
      </c>
      <c r="L74" t="s">
        <v>170</v>
      </c>
      <c r="M74" t="s">
        <v>473</v>
      </c>
      <c r="N74" t="s">
        <v>12</v>
      </c>
      <c r="O74" t="s">
        <v>474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473</v>
      </c>
      <c r="AH74" t="s">
        <v>12</v>
      </c>
      <c r="AI74" t="s">
        <v>474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168.19</v>
      </c>
      <c r="AN74">
        <f>$H$74*$T$74</f>
        <v>168.19</v>
      </c>
      <c r="AO74">
        <f>$H$74*$U$74</f>
        <v>168.19</v>
      </c>
      <c r="AP74">
        <f>$H$74*$V$74</f>
        <v>168.19</v>
      </c>
      <c r="AQ74">
        <f>$H$74*$W$74</f>
        <v>168.19</v>
      </c>
      <c r="AR74">
        <f>$H$74*$X$74</f>
        <v>168.19</v>
      </c>
      <c r="AS74">
        <f>$H$74*$Y$74</f>
        <v>168.19</v>
      </c>
      <c r="AT74">
        <f>$H$74*$Z$74</f>
        <v>168.19</v>
      </c>
      <c r="AU74">
        <f>$H$74*$AA$74</f>
        <v>168.19</v>
      </c>
      <c r="AV74">
        <f>$H$74*$AB$74</f>
        <v>168.19</v>
      </c>
      <c r="AW74">
        <f>$H$74*$AC$74</f>
        <v>168.19</v>
      </c>
      <c r="AX74">
        <f>$H$74*$AD$74</f>
        <v>168.19</v>
      </c>
      <c r="AY74">
        <f>$H$74*$AE$74</f>
        <v>168.19</v>
      </c>
      <c r="AZ74">
        <f>$H$74*$AF$74</f>
        <v>168.19</v>
      </c>
    </row>
    <row r="75" spans="1:52" x14ac:dyDescent="0.25">
      <c r="A75">
        <v>122</v>
      </c>
      <c r="B75" t="s">
        <v>240</v>
      </c>
      <c r="C75" t="s">
        <v>533</v>
      </c>
      <c r="D75">
        <v>60</v>
      </c>
      <c r="E75">
        <v>6542.4</v>
      </c>
      <c r="F75" t="s">
        <v>275</v>
      </c>
      <c r="G75">
        <v>109.04</v>
      </c>
      <c r="H75">
        <v>7850.88</v>
      </c>
      <c r="I75" t="s">
        <v>320</v>
      </c>
      <c r="J75" t="s">
        <v>534</v>
      </c>
      <c r="K75" t="s">
        <v>648</v>
      </c>
      <c r="L75" t="s">
        <v>170</v>
      </c>
      <c r="M75" t="s">
        <v>240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0.25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240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1962.72</v>
      </c>
      <c r="AN75">
        <f>$H$75*$T$75</f>
        <v>1962.72</v>
      </c>
      <c r="AO75">
        <f>$H$75*$U$75</f>
        <v>1962.72</v>
      </c>
      <c r="AP75">
        <f>$H$75*$V$75</f>
        <v>1962.72</v>
      </c>
      <c r="AQ75">
        <f>$H$75*$W$75</f>
        <v>1962.72</v>
      </c>
      <c r="AR75">
        <f>$H$75*$X$75</f>
        <v>3925.44</v>
      </c>
      <c r="AS75">
        <f>$H$75*$Y$75</f>
        <v>3925.44</v>
      </c>
      <c r="AT75">
        <f>$H$75*$Z$75</f>
        <v>3925.44</v>
      </c>
      <c r="AU75">
        <f>$H$75*$AA$75</f>
        <v>7850.88</v>
      </c>
      <c r="AV75">
        <f>$H$75*$AB$75</f>
        <v>7850.88</v>
      </c>
      <c r="AW75">
        <f>$H$75*$AC$75</f>
        <v>7850.88</v>
      </c>
      <c r="AX75">
        <f>$H$75*$AD$75</f>
        <v>7850.88</v>
      </c>
      <c r="AY75">
        <f>$H$75*$AE$75</f>
        <v>7850.88</v>
      </c>
      <c r="AZ75">
        <f>$H$75*$AF$75</f>
        <v>7850.88</v>
      </c>
    </row>
    <row r="76" spans="1:52" x14ac:dyDescent="0.25">
      <c r="A76">
        <v>123</v>
      </c>
      <c r="B76" t="s">
        <v>240</v>
      </c>
      <c r="C76" t="s">
        <v>321</v>
      </c>
      <c r="D76">
        <v>60</v>
      </c>
      <c r="E76">
        <v>739.8</v>
      </c>
      <c r="F76" t="s">
        <v>275</v>
      </c>
      <c r="G76">
        <v>12.33</v>
      </c>
      <c r="H76">
        <v>887.76</v>
      </c>
      <c r="I76" t="s">
        <v>322</v>
      </c>
      <c r="J76" t="s">
        <v>323</v>
      </c>
      <c r="K76" t="s">
        <v>403</v>
      </c>
      <c r="L76" t="s">
        <v>170</v>
      </c>
      <c r="M76" t="s">
        <v>240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240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887.76</v>
      </c>
      <c r="AN76">
        <f>$H$76*$T$76</f>
        <v>887.76</v>
      </c>
      <c r="AO76">
        <f>$H$76*$U$76</f>
        <v>887.76</v>
      </c>
      <c r="AP76">
        <f>$H$76*$V$76</f>
        <v>887.76</v>
      </c>
      <c r="AQ76">
        <f>$H$76*$W$76</f>
        <v>887.76</v>
      </c>
      <c r="AR76">
        <f>$H$76*$X$76</f>
        <v>887.76</v>
      </c>
      <c r="AS76">
        <f>$H$76*$Y$76</f>
        <v>887.76</v>
      </c>
      <c r="AT76">
        <f>$H$76*$Z$76</f>
        <v>887.76</v>
      </c>
      <c r="AU76">
        <f>$H$76*$AA$76</f>
        <v>887.76</v>
      </c>
      <c r="AV76">
        <f>$H$76*$AB$76</f>
        <v>887.76</v>
      </c>
      <c r="AW76">
        <f>$H$76*$AC$76</f>
        <v>887.76</v>
      </c>
      <c r="AX76">
        <f>$H$76*$AD$76</f>
        <v>887.76</v>
      </c>
      <c r="AY76">
        <f>$H$76*$AE$76</f>
        <v>887.76</v>
      </c>
      <c r="AZ76">
        <f>$H$76*$AF$76</f>
        <v>887.76</v>
      </c>
    </row>
    <row r="77" spans="1:52" x14ac:dyDescent="0.25">
      <c r="A77">
        <v>124</v>
      </c>
      <c r="B77" t="s">
        <v>240</v>
      </c>
      <c r="C77" t="s">
        <v>535</v>
      </c>
      <c r="D77">
        <v>1</v>
      </c>
      <c r="E77">
        <v>43.36</v>
      </c>
      <c r="F77" t="s">
        <v>265</v>
      </c>
      <c r="G77">
        <v>43.36</v>
      </c>
      <c r="H77">
        <v>52.04</v>
      </c>
      <c r="I77" t="s">
        <v>289</v>
      </c>
      <c r="J77" t="s">
        <v>536</v>
      </c>
      <c r="K77" t="s">
        <v>649</v>
      </c>
      <c r="L77" t="s">
        <v>170</v>
      </c>
      <c r="M77" t="s">
        <v>240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240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52.04</v>
      </c>
      <c r="AT77">
        <f>$H$77*$Z$77</f>
        <v>52.04</v>
      </c>
      <c r="AU77">
        <f>$H$77*$AA$77</f>
        <v>52.04</v>
      </c>
      <c r="AV77">
        <f>$H$77*$AB$77</f>
        <v>52.04</v>
      </c>
      <c r="AW77">
        <f>$H$77*$AC$77</f>
        <v>52.04</v>
      </c>
      <c r="AX77">
        <f>$H$77*$AD$77</f>
        <v>52.04</v>
      </c>
      <c r="AY77">
        <f>$H$77*$AE$77</f>
        <v>52.04</v>
      </c>
      <c r="AZ77">
        <f>$H$77*$AF$77</f>
        <v>52.04</v>
      </c>
    </row>
    <row r="78" spans="1:52" x14ac:dyDescent="0.25">
      <c r="A78">
        <v>125</v>
      </c>
      <c r="B78" t="s">
        <v>240</v>
      </c>
      <c r="C78" t="s">
        <v>537</v>
      </c>
      <c r="D78">
        <v>1</v>
      </c>
      <c r="E78">
        <v>46.63</v>
      </c>
      <c r="F78" t="s">
        <v>265</v>
      </c>
      <c r="G78">
        <v>46.63</v>
      </c>
      <c r="H78">
        <v>55.95</v>
      </c>
      <c r="I78" t="s">
        <v>289</v>
      </c>
      <c r="J78" t="s">
        <v>538</v>
      </c>
      <c r="K78" t="s">
        <v>650</v>
      </c>
      <c r="L78" t="s">
        <v>170</v>
      </c>
      <c r="M78" t="s">
        <v>240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240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55.95</v>
      </c>
      <c r="AV78">
        <f>$H$78*$AB$78</f>
        <v>55.95</v>
      </c>
      <c r="AW78">
        <f>$H$78*$AC$78</f>
        <v>55.95</v>
      </c>
      <c r="AX78">
        <f>$H$78*$AD$78</f>
        <v>55.95</v>
      </c>
      <c r="AY78">
        <f>$H$78*$AE$78</f>
        <v>55.95</v>
      </c>
      <c r="AZ78">
        <f>$H$78*$AF$78</f>
        <v>55.95</v>
      </c>
    </row>
    <row r="79" spans="1:52" x14ac:dyDescent="0.25">
      <c r="A79">
        <v>126</v>
      </c>
      <c r="B79" t="s">
        <v>240</v>
      </c>
      <c r="C79" t="s">
        <v>279</v>
      </c>
      <c r="D79">
        <v>15</v>
      </c>
      <c r="E79">
        <v>115.95</v>
      </c>
      <c r="F79" t="s">
        <v>262</v>
      </c>
      <c r="G79">
        <v>7.73</v>
      </c>
      <c r="H79">
        <v>139.15</v>
      </c>
      <c r="I79" t="s">
        <v>263</v>
      </c>
      <c r="J79" t="s">
        <v>280</v>
      </c>
      <c r="K79" t="s">
        <v>385</v>
      </c>
      <c r="L79" t="s">
        <v>170</v>
      </c>
      <c r="M79" t="s">
        <v>240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240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139.15</v>
      </c>
      <c r="AV79">
        <f>$H$79*$AB$79</f>
        <v>139.15</v>
      </c>
      <c r="AW79">
        <f>$H$79*$AC$79</f>
        <v>139.15</v>
      </c>
      <c r="AX79">
        <f>$H$79*$AD$79</f>
        <v>139.15</v>
      </c>
      <c r="AY79">
        <f>$H$79*$AE$79</f>
        <v>139.15</v>
      </c>
      <c r="AZ79">
        <f>$H$79*$AF$79</f>
        <v>139.15</v>
      </c>
    </row>
    <row r="80" spans="1:52" x14ac:dyDescent="0.25">
      <c r="A80">
        <v>127</v>
      </c>
      <c r="B80" t="s">
        <v>240</v>
      </c>
      <c r="C80" t="s">
        <v>281</v>
      </c>
      <c r="D80">
        <v>15</v>
      </c>
      <c r="E80">
        <v>192.3</v>
      </c>
      <c r="F80" t="s">
        <v>262</v>
      </c>
      <c r="G80">
        <v>12.82</v>
      </c>
      <c r="H80">
        <v>230.76</v>
      </c>
      <c r="I80" t="s">
        <v>264</v>
      </c>
      <c r="J80" t="s">
        <v>282</v>
      </c>
      <c r="K80" t="s">
        <v>386</v>
      </c>
      <c r="L80" t="s">
        <v>170</v>
      </c>
      <c r="M80" t="s">
        <v>240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240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230.76</v>
      </c>
      <c r="AV80">
        <f>$H$80*$AB$80</f>
        <v>230.76</v>
      </c>
      <c r="AW80">
        <f>$H$80*$AC$80</f>
        <v>230.76</v>
      </c>
      <c r="AX80">
        <f>$H$80*$AD$80</f>
        <v>230.76</v>
      </c>
      <c r="AY80">
        <f>$H$80*$AE$80</f>
        <v>230.76</v>
      </c>
      <c r="AZ80">
        <f>$H$80*$AF$80</f>
        <v>230.76</v>
      </c>
    </row>
    <row r="81" spans="1:52" x14ac:dyDescent="0.25">
      <c r="A81">
        <v>128</v>
      </c>
      <c r="B81" t="s">
        <v>240</v>
      </c>
      <c r="C81" t="s">
        <v>539</v>
      </c>
      <c r="D81">
        <v>1</v>
      </c>
      <c r="E81">
        <v>43.95</v>
      </c>
      <c r="F81" t="s">
        <v>265</v>
      </c>
      <c r="G81">
        <v>43.95</v>
      </c>
      <c r="H81">
        <v>52.75</v>
      </c>
      <c r="I81" t="s">
        <v>289</v>
      </c>
      <c r="J81" t="s">
        <v>540</v>
      </c>
      <c r="K81" t="s">
        <v>651</v>
      </c>
      <c r="L81" t="s">
        <v>170</v>
      </c>
      <c r="M81" t="s">
        <v>240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240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52.75</v>
      </c>
      <c r="AV81">
        <f>$H$81*$AB$81</f>
        <v>52.75</v>
      </c>
      <c r="AW81">
        <f>$H$81*$AC$81</f>
        <v>52.75</v>
      </c>
      <c r="AX81">
        <f>$H$81*$AD$81</f>
        <v>52.75</v>
      </c>
      <c r="AY81">
        <f>$H$81*$AE$81</f>
        <v>52.75</v>
      </c>
      <c r="AZ81">
        <f>$H$81*$AF$81</f>
        <v>52.75</v>
      </c>
    </row>
    <row r="82" spans="1:52" x14ac:dyDescent="0.25">
      <c r="A82">
        <v>129</v>
      </c>
      <c r="B82" t="s">
        <v>240</v>
      </c>
      <c r="C82" t="s">
        <v>324</v>
      </c>
      <c r="D82">
        <v>2</v>
      </c>
      <c r="E82">
        <v>32.159999999999997</v>
      </c>
      <c r="F82" t="s">
        <v>265</v>
      </c>
      <c r="G82">
        <v>16.079999999999998</v>
      </c>
      <c r="H82">
        <v>38.6</v>
      </c>
      <c r="I82" t="s">
        <v>267</v>
      </c>
      <c r="J82" t="s">
        <v>325</v>
      </c>
      <c r="K82" t="s">
        <v>404</v>
      </c>
      <c r="L82" t="s">
        <v>170</v>
      </c>
      <c r="M82" t="s">
        <v>240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240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38.6</v>
      </c>
      <c r="AS82">
        <f>$H$82*$Y$82</f>
        <v>38.6</v>
      </c>
      <c r="AT82">
        <f>$H$82*$Z$82</f>
        <v>38.6</v>
      </c>
      <c r="AU82">
        <f>$H$82*$AA$82</f>
        <v>38.6</v>
      </c>
      <c r="AV82">
        <f>$H$82*$AB$82</f>
        <v>38.6</v>
      </c>
      <c r="AW82">
        <f>$H$82*$AC$82</f>
        <v>38.6</v>
      </c>
      <c r="AX82">
        <f>$H$82*$AD$82</f>
        <v>38.6</v>
      </c>
      <c r="AY82">
        <f>$H$82*$AE$82</f>
        <v>38.6</v>
      </c>
      <c r="AZ82">
        <f>$H$82*$AF$82</f>
        <v>38.6</v>
      </c>
    </row>
    <row r="83" spans="1:52" x14ac:dyDescent="0.25">
      <c r="A83">
        <v>130</v>
      </c>
      <c r="B83" t="s">
        <v>240</v>
      </c>
      <c r="C83" t="s">
        <v>326</v>
      </c>
      <c r="D83">
        <v>6</v>
      </c>
      <c r="E83">
        <v>114.06</v>
      </c>
      <c r="F83" t="s">
        <v>275</v>
      </c>
      <c r="G83">
        <v>19.010000000000002</v>
      </c>
      <c r="H83">
        <v>136.88</v>
      </c>
      <c r="I83" t="s">
        <v>327</v>
      </c>
      <c r="J83" t="s">
        <v>309</v>
      </c>
      <c r="K83" t="s">
        <v>405</v>
      </c>
      <c r="L83" t="s">
        <v>170</v>
      </c>
      <c r="M83" t="s">
        <v>240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240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136.88</v>
      </c>
      <c r="AV83">
        <f>$H$83*$AB$83</f>
        <v>136.88</v>
      </c>
      <c r="AW83">
        <f>$H$83*$AC$83</f>
        <v>136.88</v>
      </c>
      <c r="AX83">
        <f>$H$83*$AD$83</f>
        <v>136.88</v>
      </c>
      <c r="AY83">
        <f>$H$83*$AE$83</f>
        <v>136.88</v>
      </c>
      <c r="AZ83">
        <f>$H$83*$AF$83</f>
        <v>136.88</v>
      </c>
    </row>
    <row r="84" spans="1:52" x14ac:dyDescent="0.25">
      <c r="A84">
        <v>131</v>
      </c>
      <c r="B84" t="s">
        <v>240</v>
      </c>
      <c r="C84" t="s">
        <v>541</v>
      </c>
      <c r="D84">
        <v>1</v>
      </c>
      <c r="E84">
        <v>298.45999999999998</v>
      </c>
      <c r="F84" t="s">
        <v>265</v>
      </c>
      <c r="G84">
        <v>298.45999999999998</v>
      </c>
      <c r="H84">
        <v>358.16</v>
      </c>
      <c r="I84" t="s">
        <v>332</v>
      </c>
      <c r="J84" t="s">
        <v>542</v>
      </c>
      <c r="K84" t="s">
        <v>652</v>
      </c>
      <c r="L84" t="s">
        <v>170</v>
      </c>
      <c r="M84" t="s">
        <v>240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240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358.16</v>
      </c>
      <c r="AW84">
        <f>$H$84*$AC$84</f>
        <v>358.16</v>
      </c>
      <c r="AX84">
        <f>$H$84*$AD$84</f>
        <v>358.16</v>
      </c>
      <c r="AY84">
        <f>$H$84*$AE$84</f>
        <v>358.16</v>
      </c>
      <c r="AZ84">
        <f>$H$84*$AF$84</f>
        <v>358.16</v>
      </c>
    </row>
    <row r="85" spans="1:52" x14ac:dyDescent="0.25">
      <c r="A85">
        <v>132</v>
      </c>
      <c r="B85" t="s">
        <v>240</v>
      </c>
      <c r="C85" t="s">
        <v>508</v>
      </c>
      <c r="D85">
        <v>0.75</v>
      </c>
      <c r="E85">
        <v>557.66999999999996</v>
      </c>
      <c r="F85" t="s">
        <v>265</v>
      </c>
      <c r="G85">
        <v>743.56</v>
      </c>
      <c r="H85">
        <v>669.21</v>
      </c>
      <c r="I85" t="s">
        <v>276</v>
      </c>
      <c r="J85" t="s">
        <v>509</v>
      </c>
      <c r="K85" t="s">
        <v>634</v>
      </c>
      <c r="L85" t="s">
        <v>170</v>
      </c>
      <c r="M85" t="s">
        <v>240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240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669.21</v>
      </c>
      <c r="AT85">
        <f>$H$85*$Z$85</f>
        <v>669.21</v>
      </c>
      <c r="AU85">
        <f>$H$85*$AA$85</f>
        <v>669.21</v>
      </c>
      <c r="AV85">
        <f>$H$85*$AB$85</f>
        <v>669.21</v>
      </c>
      <c r="AW85">
        <f>$H$85*$AC$85</f>
        <v>669.21</v>
      </c>
      <c r="AX85">
        <f>$H$85*$AD$85</f>
        <v>669.21</v>
      </c>
      <c r="AY85">
        <f>$H$85*$AE$85</f>
        <v>669.21</v>
      </c>
      <c r="AZ85">
        <f>$H$85*$AF$85</f>
        <v>669.21</v>
      </c>
    </row>
    <row r="86" spans="1:52" x14ac:dyDescent="0.25">
      <c r="A86">
        <v>133</v>
      </c>
      <c r="B86" t="s">
        <v>240</v>
      </c>
      <c r="C86" t="s">
        <v>508</v>
      </c>
      <c r="D86">
        <v>0.25</v>
      </c>
      <c r="E86">
        <v>185.89</v>
      </c>
      <c r="F86" t="s">
        <v>265</v>
      </c>
      <c r="G86">
        <v>743.56</v>
      </c>
      <c r="H86">
        <v>223.07</v>
      </c>
      <c r="I86" t="s">
        <v>276</v>
      </c>
      <c r="J86" t="s">
        <v>509</v>
      </c>
      <c r="K86" t="s">
        <v>634</v>
      </c>
      <c r="L86" t="s">
        <v>170</v>
      </c>
      <c r="M86" t="s">
        <v>240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240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223.07</v>
      </c>
      <c r="AT86">
        <f>$H$86*$Z$86</f>
        <v>223.07</v>
      </c>
      <c r="AU86">
        <f>$H$86*$AA$86</f>
        <v>223.07</v>
      </c>
      <c r="AV86">
        <f>$H$86*$AB$86</f>
        <v>223.07</v>
      </c>
      <c r="AW86">
        <f>$H$86*$AC$86</f>
        <v>223.07</v>
      </c>
      <c r="AX86">
        <f>$H$86*$AD$86</f>
        <v>223.07</v>
      </c>
      <c r="AY86">
        <f>$H$86*$AE$86</f>
        <v>223.07</v>
      </c>
      <c r="AZ86">
        <f>$H$86*$AF$86</f>
        <v>223.07</v>
      </c>
    </row>
    <row r="87" spans="1:52" x14ac:dyDescent="0.25">
      <c r="A87">
        <v>134</v>
      </c>
      <c r="B87" t="s">
        <v>240</v>
      </c>
      <c r="C87" t="s">
        <v>543</v>
      </c>
      <c r="D87">
        <v>1</v>
      </c>
      <c r="E87">
        <v>82.72</v>
      </c>
      <c r="F87" t="s">
        <v>265</v>
      </c>
      <c r="G87">
        <v>82.72</v>
      </c>
      <c r="H87">
        <v>99.26</v>
      </c>
      <c r="I87" t="s">
        <v>276</v>
      </c>
      <c r="J87" t="s">
        <v>544</v>
      </c>
      <c r="K87" t="s">
        <v>653</v>
      </c>
      <c r="L87" t="s">
        <v>170</v>
      </c>
      <c r="M87" t="s">
        <v>240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240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99.26</v>
      </c>
      <c r="AT87">
        <f>$H$87*$Z$87</f>
        <v>99.26</v>
      </c>
      <c r="AU87">
        <f>$H$87*$AA$87</f>
        <v>99.26</v>
      </c>
      <c r="AV87">
        <f>$H$87*$AB$87</f>
        <v>99.26</v>
      </c>
      <c r="AW87">
        <f>$H$87*$AC$87</f>
        <v>99.26</v>
      </c>
      <c r="AX87">
        <f>$H$87*$AD$87</f>
        <v>99.26</v>
      </c>
      <c r="AY87">
        <f>$H$87*$AE$87</f>
        <v>99.26</v>
      </c>
      <c r="AZ87">
        <f>$H$87*$AF$87</f>
        <v>99.26</v>
      </c>
    </row>
    <row r="88" spans="1:52" x14ac:dyDescent="0.25">
      <c r="A88">
        <v>135</v>
      </c>
      <c r="B88" t="s">
        <v>240</v>
      </c>
      <c r="C88" t="s">
        <v>545</v>
      </c>
      <c r="D88">
        <v>1</v>
      </c>
      <c r="E88">
        <v>745.6</v>
      </c>
      <c r="F88" t="s">
        <v>265</v>
      </c>
      <c r="G88">
        <v>745.6</v>
      </c>
      <c r="H88">
        <v>894.72</v>
      </c>
      <c r="I88" t="s">
        <v>276</v>
      </c>
      <c r="J88" t="s">
        <v>546</v>
      </c>
      <c r="K88" t="s">
        <v>654</v>
      </c>
      <c r="L88" t="s">
        <v>170</v>
      </c>
      <c r="M88" t="s">
        <v>240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240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894.72</v>
      </c>
      <c r="AT88">
        <f>$H$88*$Z$88</f>
        <v>894.72</v>
      </c>
      <c r="AU88">
        <f>$H$88*$AA$88</f>
        <v>894.72</v>
      </c>
      <c r="AV88">
        <f>$H$88*$AB$88</f>
        <v>894.72</v>
      </c>
      <c r="AW88">
        <f>$H$88*$AC$88</f>
        <v>894.72</v>
      </c>
      <c r="AX88">
        <f>$H$88*$AD$88</f>
        <v>894.72</v>
      </c>
      <c r="AY88">
        <f>$H$88*$AE$88</f>
        <v>894.72</v>
      </c>
      <c r="AZ88">
        <f>$H$88*$AF$88</f>
        <v>894.72</v>
      </c>
    </row>
    <row r="89" spans="1:52" x14ac:dyDescent="0.25">
      <c r="A89">
        <v>136</v>
      </c>
      <c r="B89" t="s">
        <v>240</v>
      </c>
      <c r="C89" t="s">
        <v>547</v>
      </c>
      <c r="D89">
        <v>1</v>
      </c>
      <c r="E89">
        <v>665.23</v>
      </c>
      <c r="F89" t="s">
        <v>265</v>
      </c>
      <c r="G89">
        <v>665.23</v>
      </c>
      <c r="H89">
        <v>798.27</v>
      </c>
      <c r="I89" t="s">
        <v>327</v>
      </c>
      <c r="J89" t="s">
        <v>548</v>
      </c>
      <c r="K89" t="s">
        <v>655</v>
      </c>
      <c r="L89" t="s">
        <v>170</v>
      </c>
      <c r="M89" t="s">
        <v>240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240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798.27</v>
      </c>
      <c r="AT89">
        <f>$H$89*$Z$89</f>
        <v>798.27</v>
      </c>
      <c r="AU89">
        <f>$H$89*$AA$89</f>
        <v>798.27</v>
      </c>
      <c r="AV89">
        <f>$H$89*$AB$89</f>
        <v>798.27</v>
      </c>
      <c r="AW89">
        <f>$H$89*$AC$89</f>
        <v>798.27</v>
      </c>
      <c r="AX89">
        <f>$H$89*$AD$89</f>
        <v>798.27</v>
      </c>
      <c r="AY89">
        <f>$H$89*$AE$89</f>
        <v>798.27</v>
      </c>
      <c r="AZ89">
        <f>$H$89*$AF$89</f>
        <v>798.27</v>
      </c>
    </row>
    <row r="90" spans="1:52" x14ac:dyDescent="0.25">
      <c r="A90">
        <v>137</v>
      </c>
      <c r="B90" t="s">
        <v>240</v>
      </c>
      <c r="C90" t="s">
        <v>549</v>
      </c>
      <c r="D90">
        <v>1</v>
      </c>
      <c r="E90">
        <v>442.82</v>
      </c>
      <c r="F90" t="s">
        <v>265</v>
      </c>
      <c r="G90">
        <v>442.82</v>
      </c>
      <c r="H90">
        <v>531.38</v>
      </c>
      <c r="I90" t="s">
        <v>276</v>
      </c>
      <c r="J90" t="s">
        <v>550</v>
      </c>
      <c r="K90" t="s">
        <v>656</v>
      </c>
      <c r="L90" t="s">
        <v>170</v>
      </c>
      <c r="M90" t="s">
        <v>240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240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531.38</v>
      </c>
      <c r="AV90">
        <f>$H$90*$AB$90</f>
        <v>531.38</v>
      </c>
      <c r="AW90">
        <f>$H$90*$AC$90</f>
        <v>531.38</v>
      </c>
      <c r="AX90">
        <f>$H$90*$AD$90</f>
        <v>531.38</v>
      </c>
      <c r="AY90">
        <f>$H$90*$AE$90</f>
        <v>531.38</v>
      </c>
      <c r="AZ90">
        <f>$H$90*$AF$90</f>
        <v>531.38</v>
      </c>
    </row>
    <row r="91" spans="1:52" x14ac:dyDescent="0.25">
      <c r="A91">
        <v>138</v>
      </c>
      <c r="B91" t="s">
        <v>240</v>
      </c>
      <c r="C91" t="s">
        <v>328</v>
      </c>
      <c r="D91">
        <v>10</v>
      </c>
      <c r="E91">
        <v>79.7</v>
      </c>
      <c r="F91" t="s">
        <v>262</v>
      </c>
      <c r="G91">
        <v>7.97</v>
      </c>
      <c r="H91">
        <v>95.64</v>
      </c>
      <c r="I91" t="s">
        <v>273</v>
      </c>
      <c r="J91" t="s">
        <v>329</v>
      </c>
      <c r="K91" t="s">
        <v>406</v>
      </c>
      <c r="L91" t="s">
        <v>170</v>
      </c>
      <c r="M91" t="s">
        <v>240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1</v>
      </c>
      <c r="AE91">
        <v>1</v>
      </c>
      <c r="AF91">
        <v>1</v>
      </c>
      <c r="AG91" t="s">
        <v>240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0</v>
      </c>
      <c r="AV91">
        <f>$H$91*$AB$91</f>
        <v>0</v>
      </c>
      <c r="AW91">
        <f>$H$91*$AC$91</f>
        <v>0</v>
      </c>
      <c r="AX91">
        <f>$H$91*$AD$91</f>
        <v>95.64</v>
      </c>
      <c r="AY91">
        <f>$H$91*$AE$91</f>
        <v>95.64</v>
      </c>
      <c r="AZ91">
        <f>$H$91*$AF$91</f>
        <v>95.64</v>
      </c>
    </row>
    <row r="92" spans="1:52" x14ac:dyDescent="0.25">
      <c r="A92">
        <v>139</v>
      </c>
      <c r="B92" t="s">
        <v>240</v>
      </c>
      <c r="C92" t="s">
        <v>551</v>
      </c>
      <c r="D92">
        <v>1</v>
      </c>
      <c r="E92">
        <v>201.77</v>
      </c>
      <c r="F92" t="s">
        <v>265</v>
      </c>
      <c r="G92">
        <v>201.77</v>
      </c>
      <c r="H92">
        <v>242.13</v>
      </c>
      <c r="I92" t="s">
        <v>273</v>
      </c>
      <c r="J92" t="s">
        <v>552</v>
      </c>
      <c r="K92" t="s">
        <v>657</v>
      </c>
      <c r="L92" t="s">
        <v>170</v>
      </c>
      <c r="M92" t="s">
        <v>240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1</v>
      </c>
      <c r="AE92">
        <v>1</v>
      </c>
      <c r="AF92">
        <v>1</v>
      </c>
      <c r="AG92" t="s">
        <v>240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0</v>
      </c>
      <c r="AV92">
        <f>$H$92*$AB$92</f>
        <v>0</v>
      </c>
      <c r="AW92">
        <f>$H$92*$AC$92</f>
        <v>0</v>
      </c>
      <c r="AX92">
        <f>$H$92*$AD$92</f>
        <v>242.13</v>
      </c>
      <c r="AY92">
        <f>$H$92*$AE$92</f>
        <v>242.13</v>
      </c>
      <c r="AZ92">
        <f>$H$92*$AF$92</f>
        <v>242.13</v>
      </c>
    </row>
    <row r="93" spans="1:52" x14ac:dyDescent="0.25">
      <c r="A93">
        <v>140</v>
      </c>
      <c r="B93" t="s">
        <v>240</v>
      </c>
      <c r="C93" t="s">
        <v>553</v>
      </c>
      <c r="D93">
        <v>1</v>
      </c>
      <c r="E93">
        <v>165.92</v>
      </c>
      <c r="F93" t="s">
        <v>265</v>
      </c>
      <c r="G93">
        <v>165.92</v>
      </c>
      <c r="H93">
        <v>199.1</v>
      </c>
      <c r="I93" t="s">
        <v>270</v>
      </c>
      <c r="J93" t="s">
        <v>554</v>
      </c>
      <c r="K93" t="s">
        <v>658</v>
      </c>
      <c r="L93" t="s">
        <v>170</v>
      </c>
      <c r="M93" t="s">
        <v>240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1</v>
      </c>
      <c r="AE93">
        <v>1</v>
      </c>
      <c r="AF93">
        <v>1</v>
      </c>
      <c r="AG93" t="s">
        <v>240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0</v>
      </c>
      <c r="AV93">
        <f>$H$93*$AB$93</f>
        <v>0</v>
      </c>
      <c r="AW93">
        <f>$H$93*$AC$93</f>
        <v>0</v>
      </c>
      <c r="AX93">
        <f>$H$93*$AD$93</f>
        <v>199.1</v>
      </c>
      <c r="AY93">
        <f>$H$93*$AE$93</f>
        <v>199.1</v>
      </c>
      <c r="AZ93">
        <f>$H$93*$AF$93</f>
        <v>199.1</v>
      </c>
    </row>
    <row r="94" spans="1:52" x14ac:dyDescent="0.25">
      <c r="A94">
        <v>141</v>
      </c>
      <c r="B94" t="s">
        <v>240</v>
      </c>
      <c r="C94" t="s">
        <v>288</v>
      </c>
      <c r="D94">
        <v>1</v>
      </c>
      <c r="E94">
        <v>63.54</v>
      </c>
      <c r="F94" t="s">
        <v>265</v>
      </c>
      <c r="G94">
        <v>63.54</v>
      </c>
      <c r="H94">
        <v>76.239999999999995</v>
      </c>
      <c r="I94" t="s">
        <v>289</v>
      </c>
      <c r="J94" t="s">
        <v>290</v>
      </c>
      <c r="K94" t="s">
        <v>389</v>
      </c>
      <c r="L94" t="s">
        <v>170</v>
      </c>
      <c r="M94" t="s">
        <v>240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240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76.239999999999995</v>
      </c>
      <c r="AV94">
        <f>$H$94*$AB$94</f>
        <v>76.239999999999995</v>
      </c>
      <c r="AW94">
        <f>$H$94*$AC$94</f>
        <v>76.239999999999995</v>
      </c>
      <c r="AX94">
        <f>$H$94*$AD$94</f>
        <v>76.239999999999995</v>
      </c>
      <c r="AY94">
        <f>$H$94*$AE$94</f>
        <v>76.239999999999995</v>
      </c>
      <c r="AZ94">
        <f>$H$94*$AF$94</f>
        <v>76.239999999999995</v>
      </c>
    </row>
    <row r="95" spans="1:52" x14ac:dyDescent="0.25">
      <c r="A95">
        <v>142</v>
      </c>
      <c r="B95" t="s">
        <v>240</v>
      </c>
      <c r="C95" t="s">
        <v>296</v>
      </c>
      <c r="D95">
        <v>2</v>
      </c>
      <c r="E95">
        <v>126.18</v>
      </c>
      <c r="F95" t="s">
        <v>265</v>
      </c>
      <c r="G95">
        <v>63.09</v>
      </c>
      <c r="H95">
        <v>151.41999999999999</v>
      </c>
      <c r="I95" t="s">
        <v>263</v>
      </c>
      <c r="J95" t="s">
        <v>292</v>
      </c>
      <c r="K95" t="s">
        <v>392</v>
      </c>
      <c r="L95" t="s">
        <v>170</v>
      </c>
      <c r="M95" t="s">
        <v>240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240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151.41999999999999</v>
      </c>
      <c r="AN95">
        <f>$H$95*$T$95</f>
        <v>151.41999999999999</v>
      </c>
      <c r="AO95">
        <f>$H$95*$U$95</f>
        <v>151.41999999999999</v>
      </c>
      <c r="AP95">
        <f>$H$95*$V$95</f>
        <v>151.41999999999999</v>
      </c>
      <c r="AQ95">
        <f>$H$95*$W$95</f>
        <v>151.41999999999999</v>
      </c>
      <c r="AR95">
        <f>$H$95*$X$95</f>
        <v>151.41999999999999</v>
      </c>
      <c r="AS95">
        <f>$H$95*$Y$95</f>
        <v>151.41999999999999</v>
      </c>
      <c r="AT95">
        <f>$H$95*$Z$95</f>
        <v>151.41999999999999</v>
      </c>
      <c r="AU95">
        <f>$H$95*$AA$95</f>
        <v>151.41999999999999</v>
      </c>
      <c r="AV95">
        <f>$H$95*$AB$95</f>
        <v>151.41999999999999</v>
      </c>
      <c r="AW95">
        <f>$H$95*$AC$95</f>
        <v>151.41999999999999</v>
      </c>
      <c r="AX95">
        <f>$H$95*$AD$95</f>
        <v>151.41999999999999</v>
      </c>
      <c r="AY95">
        <f>$H$95*$AE$95</f>
        <v>151.41999999999999</v>
      </c>
      <c r="AZ95">
        <f>$H$95*$AF$95</f>
        <v>151.41999999999999</v>
      </c>
    </row>
    <row r="96" spans="1:52" x14ac:dyDescent="0.25">
      <c r="A96">
        <v>143</v>
      </c>
      <c r="B96" t="s">
        <v>240</v>
      </c>
      <c r="C96" t="s">
        <v>294</v>
      </c>
      <c r="D96">
        <v>2</v>
      </c>
      <c r="E96">
        <v>106.22</v>
      </c>
      <c r="F96" t="s">
        <v>265</v>
      </c>
      <c r="G96">
        <v>53.11</v>
      </c>
      <c r="H96">
        <v>127.46</v>
      </c>
      <c r="I96" t="s">
        <v>263</v>
      </c>
      <c r="J96" t="s">
        <v>295</v>
      </c>
      <c r="K96" t="s">
        <v>391</v>
      </c>
      <c r="L96" t="s">
        <v>170</v>
      </c>
      <c r="M96" t="s">
        <v>240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240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127.46</v>
      </c>
      <c r="AN96">
        <f>$H$96*$T$96</f>
        <v>127.46</v>
      </c>
      <c r="AO96">
        <f>$H$96*$U$96</f>
        <v>127.46</v>
      </c>
      <c r="AP96">
        <f>$H$96*$V$96</f>
        <v>127.46</v>
      </c>
      <c r="AQ96">
        <f>$H$96*$W$96</f>
        <v>127.46</v>
      </c>
      <c r="AR96">
        <f>$H$96*$X$96</f>
        <v>127.46</v>
      </c>
      <c r="AS96">
        <f>$H$96*$Y$96</f>
        <v>127.46</v>
      </c>
      <c r="AT96">
        <f>$H$96*$Z$96</f>
        <v>127.46</v>
      </c>
      <c r="AU96">
        <f>$H$96*$AA$96</f>
        <v>127.46</v>
      </c>
      <c r="AV96">
        <f>$H$96*$AB$96</f>
        <v>127.46</v>
      </c>
      <c r="AW96">
        <f>$H$96*$AC$96</f>
        <v>127.46</v>
      </c>
      <c r="AX96">
        <f>$H$96*$AD$96</f>
        <v>127.46</v>
      </c>
      <c r="AY96">
        <f>$H$96*$AE$96</f>
        <v>127.46</v>
      </c>
      <c r="AZ96">
        <f>$H$96*$AF$96</f>
        <v>127.46</v>
      </c>
    </row>
    <row r="97" spans="1:52" x14ac:dyDescent="0.25">
      <c r="A97">
        <v>144</v>
      </c>
      <c r="B97" t="s">
        <v>240</v>
      </c>
      <c r="C97" t="s">
        <v>291</v>
      </c>
      <c r="D97">
        <v>1</v>
      </c>
      <c r="E97">
        <v>410.31</v>
      </c>
      <c r="F97" t="s">
        <v>265</v>
      </c>
      <c r="G97">
        <v>410.31</v>
      </c>
      <c r="H97">
        <v>492.37</v>
      </c>
      <c r="I97" t="s">
        <v>292</v>
      </c>
      <c r="J97" t="s">
        <v>293</v>
      </c>
      <c r="K97" t="s">
        <v>390</v>
      </c>
      <c r="L97" t="s">
        <v>170</v>
      </c>
      <c r="M97" t="s">
        <v>240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240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492.37</v>
      </c>
      <c r="AO97">
        <f>$H$97*$U$97</f>
        <v>492.37</v>
      </c>
      <c r="AP97">
        <f>$H$97*$V$97</f>
        <v>492.37</v>
      </c>
      <c r="AQ97">
        <f>$H$97*$W$97</f>
        <v>492.37</v>
      </c>
      <c r="AR97">
        <f>$H$97*$X$97</f>
        <v>492.37</v>
      </c>
      <c r="AS97">
        <f>$H$97*$Y$97</f>
        <v>492.37</v>
      </c>
      <c r="AT97">
        <f>$H$97*$Z$97</f>
        <v>492.37</v>
      </c>
      <c r="AU97">
        <f>$H$97*$AA$97</f>
        <v>492.37</v>
      </c>
      <c r="AV97">
        <f>$H$97*$AB$97</f>
        <v>492.37</v>
      </c>
      <c r="AW97">
        <f>$H$97*$AC$97</f>
        <v>492.37</v>
      </c>
      <c r="AX97">
        <f>$H$97*$AD$97</f>
        <v>492.37</v>
      </c>
      <c r="AY97">
        <f>$H$97*$AE$97</f>
        <v>492.37</v>
      </c>
      <c r="AZ97">
        <f>$H$97*$AF$97</f>
        <v>492.37</v>
      </c>
    </row>
    <row r="98" spans="1:52" x14ac:dyDescent="0.25">
      <c r="A98">
        <v>145</v>
      </c>
      <c r="B98" t="s">
        <v>240</v>
      </c>
      <c r="C98" t="s">
        <v>330</v>
      </c>
      <c r="D98">
        <v>1</v>
      </c>
      <c r="E98">
        <v>37.28</v>
      </c>
      <c r="F98" t="s">
        <v>265</v>
      </c>
      <c r="G98">
        <v>37.28</v>
      </c>
      <c r="H98">
        <v>44.74</v>
      </c>
      <c r="I98" t="s">
        <v>267</v>
      </c>
      <c r="J98" t="s">
        <v>331</v>
      </c>
      <c r="K98" t="s">
        <v>407</v>
      </c>
      <c r="L98" t="s">
        <v>170</v>
      </c>
      <c r="M98" t="s">
        <v>240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0.6</v>
      </c>
      <c r="Y98">
        <v>0.6</v>
      </c>
      <c r="Z98">
        <v>0.6</v>
      </c>
      <c r="AA98">
        <v>0.6</v>
      </c>
      <c r="AB98">
        <v>0.6</v>
      </c>
      <c r="AC98">
        <v>0.6</v>
      </c>
      <c r="AD98">
        <v>1</v>
      </c>
      <c r="AE98">
        <v>1</v>
      </c>
      <c r="AF98">
        <v>1</v>
      </c>
      <c r="AG98" t="s">
        <v>240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26.844000000000001</v>
      </c>
      <c r="AS98">
        <f>$H$98*$Y$98</f>
        <v>26.844000000000001</v>
      </c>
      <c r="AT98">
        <f>$H$98*$Z$98</f>
        <v>26.844000000000001</v>
      </c>
      <c r="AU98">
        <f>$H$98*$AA$98</f>
        <v>26.844000000000001</v>
      </c>
      <c r="AV98">
        <f>$H$98*$AB$98</f>
        <v>26.844000000000001</v>
      </c>
      <c r="AW98">
        <f>$H$98*$AC$98</f>
        <v>26.844000000000001</v>
      </c>
      <c r="AX98">
        <f>$H$98*$AD$98</f>
        <v>44.74</v>
      </c>
      <c r="AY98">
        <f>$H$98*$AE$98</f>
        <v>44.74</v>
      </c>
      <c r="AZ98">
        <f>$H$98*$AF$98</f>
        <v>44.74</v>
      </c>
    </row>
    <row r="99" spans="1:52" x14ac:dyDescent="0.25">
      <c r="A99">
        <v>146</v>
      </c>
      <c r="B99" t="s">
        <v>240</v>
      </c>
      <c r="C99" t="s">
        <v>508</v>
      </c>
      <c r="D99">
        <v>0.75</v>
      </c>
      <c r="E99">
        <v>557.66999999999996</v>
      </c>
      <c r="F99" t="s">
        <v>265</v>
      </c>
      <c r="G99">
        <v>743.56</v>
      </c>
      <c r="H99">
        <v>669.21</v>
      </c>
      <c r="I99" t="s">
        <v>276</v>
      </c>
      <c r="J99" t="s">
        <v>509</v>
      </c>
      <c r="K99" t="s">
        <v>634</v>
      </c>
      <c r="L99" t="s">
        <v>170</v>
      </c>
      <c r="M99" t="s">
        <v>240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240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669.21</v>
      </c>
      <c r="AT99">
        <f>$H$99*$Z$99</f>
        <v>669.21</v>
      </c>
      <c r="AU99">
        <f>$H$99*$AA$99</f>
        <v>669.21</v>
      </c>
      <c r="AV99">
        <f>$H$99*$AB$99</f>
        <v>669.21</v>
      </c>
      <c r="AW99">
        <f>$H$99*$AC$99</f>
        <v>669.21</v>
      </c>
      <c r="AX99">
        <f>$H$99*$AD$99</f>
        <v>669.21</v>
      </c>
      <c r="AY99">
        <f>$H$99*$AE$99</f>
        <v>669.21</v>
      </c>
      <c r="AZ99">
        <f>$H$99*$AF$99</f>
        <v>669.21</v>
      </c>
    </row>
    <row r="100" spans="1:52" x14ac:dyDescent="0.25">
      <c r="A100">
        <v>147</v>
      </c>
      <c r="B100" t="s">
        <v>240</v>
      </c>
      <c r="C100" t="s">
        <v>555</v>
      </c>
      <c r="D100">
        <v>1</v>
      </c>
      <c r="E100">
        <v>406.39</v>
      </c>
      <c r="F100" t="s">
        <v>265</v>
      </c>
      <c r="G100">
        <v>406.39</v>
      </c>
      <c r="H100">
        <v>487.67</v>
      </c>
      <c r="I100" t="s">
        <v>276</v>
      </c>
      <c r="J100" t="s">
        <v>556</v>
      </c>
      <c r="K100" t="s">
        <v>659</v>
      </c>
      <c r="L100" t="s">
        <v>170</v>
      </c>
      <c r="M100" t="s">
        <v>240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240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487.67</v>
      </c>
      <c r="AT100">
        <f>$H$100*$Z$100</f>
        <v>487.67</v>
      </c>
      <c r="AU100">
        <f>$H$100*$AA$100</f>
        <v>487.67</v>
      </c>
      <c r="AV100">
        <f>$H$100*$AB$100</f>
        <v>487.67</v>
      </c>
      <c r="AW100">
        <f>$H$100*$AC$100</f>
        <v>487.67</v>
      </c>
      <c r="AX100">
        <f>$H$100*$AD$100</f>
        <v>487.67</v>
      </c>
      <c r="AY100">
        <f>$H$100*$AE$100</f>
        <v>487.67</v>
      </c>
      <c r="AZ100">
        <f>$H$100*$AF$100</f>
        <v>487.67</v>
      </c>
    </row>
    <row r="101" spans="1:52" x14ac:dyDescent="0.25">
      <c r="A101">
        <v>148</v>
      </c>
      <c r="B101" t="s">
        <v>240</v>
      </c>
      <c r="C101" t="s">
        <v>557</v>
      </c>
      <c r="D101">
        <v>1</v>
      </c>
      <c r="E101">
        <v>3910.37</v>
      </c>
      <c r="F101" t="s">
        <v>265</v>
      </c>
      <c r="G101">
        <v>3910.37</v>
      </c>
      <c r="H101">
        <v>4692.45</v>
      </c>
      <c r="I101" t="s">
        <v>276</v>
      </c>
      <c r="J101" t="s">
        <v>558</v>
      </c>
      <c r="K101" t="s">
        <v>660</v>
      </c>
      <c r="L101" t="s">
        <v>170</v>
      </c>
      <c r="M101" t="s">
        <v>240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240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4692.45</v>
      </c>
      <c r="AT101">
        <f>$H$101*$Z$101</f>
        <v>4692.45</v>
      </c>
      <c r="AU101">
        <f>$H$101*$AA$101</f>
        <v>4692.45</v>
      </c>
      <c r="AV101">
        <f>$H$101*$AB$101</f>
        <v>4692.45</v>
      </c>
      <c r="AW101">
        <f>$H$101*$AC$101</f>
        <v>4692.45</v>
      </c>
      <c r="AX101">
        <f>$H$101*$AD$101</f>
        <v>4692.45</v>
      </c>
      <c r="AY101">
        <f>$H$101*$AE$101</f>
        <v>4692.45</v>
      </c>
      <c r="AZ101">
        <f>$H$101*$AF$101</f>
        <v>4692.45</v>
      </c>
    </row>
    <row r="102" spans="1:52" x14ac:dyDescent="0.25">
      <c r="A102">
        <v>149</v>
      </c>
      <c r="B102" t="s">
        <v>240</v>
      </c>
      <c r="C102" t="s">
        <v>508</v>
      </c>
      <c r="D102">
        <v>0.25</v>
      </c>
      <c r="E102">
        <v>185.89</v>
      </c>
      <c r="F102" t="s">
        <v>265</v>
      </c>
      <c r="G102">
        <v>743.56</v>
      </c>
      <c r="H102">
        <v>223.07</v>
      </c>
      <c r="I102" t="s">
        <v>276</v>
      </c>
      <c r="J102" t="s">
        <v>509</v>
      </c>
      <c r="K102" t="s">
        <v>634</v>
      </c>
      <c r="L102" t="s">
        <v>170</v>
      </c>
      <c r="M102" t="s">
        <v>240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240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223.07</v>
      </c>
      <c r="AT102">
        <f>$H$102*$Z$102</f>
        <v>223.07</v>
      </c>
      <c r="AU102">
        <f>$H$102*$AA$102</f>
        <v>223.07</v>
      </c>
      <c r="AV102">
        <f>$H$102*$AB$102</f>
        <v>223.07</v>
      </c>
      <c r="AW102">
        <f>$H$102*$AC$102</f>
        <v>223.07</v>
      </c>
      <c r="AX102">
        <f>$H$102*$AD$102</f>
        <v>223.07</v>
      </c>
      <c r="AY102">
        <f>$H$102*$AE$102</f>
        <v>223.07</v>
      </c>
      <c r="AZ102">
        <f>$H$102*$AF$102</f>
        <v>223.07</v>
      </c>
    </row>
    <row r="103" spans="1:52" x14ac:dyDescent="0.25">
      <c r="A103">
        <v>150</v>
      </c>
      <c r="B103" t="s">
        <v>240</v>
      </c>
      <c r="C103" t="s">
        <v>559</v>
      </c>
      <c r="D103">
        <v>6</v>
      </c>
      <c r="E103">
        <v>1975.74</v>
      </c>
      <c r="F103" t="s">
        <v>262</v>
      </c>
      <c r="G103">
        <v>329.29</v>
      </c>
      <c r="H103">
        <v>2370.88</v>
      </c>
      <c r="I103" t="s">
        <v>332</v>
      </c>
      <c r="J103" t="s">
        <v>560</v>
      </c>
      <c r="K103" t="s">
        <v>661</v>
      </c>
      <c r="L103" t="s">
        <v>170</v>
      </c>
      <c r="M103" t="s">
        <v>240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240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2370.88</v>
      </c>
      <c r="AO103">
        <f>$H$103*$U$103</f>
        <v>2370.88</v>
      </c>
      <c r="AP103">
        <f>$H$103*$V$103</f>
        <v>2370.88</v>
      </c>
      <c r="AQ103">
        <f>$H$103*$W$103</f>
        <v>2370.88</v>
      </c>
      <c r="AR103">
        <f>$H$103*$X$103</f>
        <v>2370.88</v>
      </c>
      <c r="AS103">
        <f>$H$103*$Y$103</f>
        <v>2370.88</v>
      </c>
      <c r="AT103">
        <f>$H$103*$Z$103</f>
        <v>2370.88</v>
      </c>
      <c r="AU103">
        <f>$H$103*$AA$103</f>
        <v>2370.88</v>
      </c>
      <c r="AV103">
        <f>$H$103*$AB$103</f>
        <v>2370.88</v>
      </c>
      <c r="AW103">
        <f>$H$103*$AC$103</f>
        <v>2370.88</v>
      </c>
      <c r="AX103">
        <f>$H$103*$AD$103</f>
        <v>2370.88</v>
      </c>
      <c r="AY103">
        <f>$H$103*$AE$103</f>
        <v>2370.88</v>
      </c>
      <c r="AZ103">
        <f>$H$103*$AF$103</f>
        <v>2370.88</v>
      </c>
    </row>
    <row r="104" spans="1:52" x14ac:dyDescent="0.25">
      <c r="A104">
        <v>151</v>
      </c>
      <c r="B104" t="s">
        <v>240</v>
      </c>
      <c r="C104" t="s">
        <v>333</v>
      </c>
      <c r="D104">
        <v>10</v>
      </c>
      <c r="E104">
        <v>1017.8</v>
      </c>
      <c r="F104" t="s">
        <v>275</v>
      </c>
      <c r="G104">
        <v>101.78</v>
      </c>
      <c r="H104">
        <v>1221.3599999999999</v>
      </c>
      <c r="I104" t="s">
        <v>332</v>
      </c>
      <c r="J104" t="s">
        <v>334</v>
      </c>
      <c r="K104" t="s">
        <v>408</v>
      </c>
      <c r="L104" t="s">
        <v>170</v>
      </c>
      <c r="M104" t="s">
        <v>240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240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1221.3599999999999</v>
      </c>
      <c r="AU104">
        <f>$H$104*$AA$104</f>
        <v>1221.3599999999999</v>
      </c>
      <c r="AV104">
        <f>$H$104*$AB$104</f>
        <v>1221.3599999999999</v>
      </c>
      <c r="AW104">
        <f>$H$104*$AC$104</f>
        <v>1221.3599999999999</v>
      </c>
      <c r="AX104">
        <f>$H$104*$AD$104</f>
        <v>1221.3599999999999</v>
      </c>
      <c r="AY104">
        <f>$H$104*$AE$104</f>
        <v>1221.3599999999999</v>
      </c>
      <c r="AZ104">
        <f>$H$104*$AF$104</f>
        <v>1221.3599999999999</v>
      </c>
    </row>
    <row r="105" spans="1:52" x14ac:dyDescent="0.25">
      <c r="A105">
        <v>152</v>
      </c>
      <c r="B105" t="s">
        <v>240</v>
      </c>
      <c r="C105" t="s">
        <v>561</v>
      </c>
      <c r="D105">
        <v>1</v>
      </c>
      <c r="E105">
        <v>302.97000000000003</v>
      </c>
      <c r="F105" t="s">
        <v>265</v>
      </c>
      <c r="G105">
        <v>302.97000000000003</v>
      </c>
      <c r="H105">
        <v>363.57</v>
      </c>
      <c r="I105" t="s">
        <v>276</v>
      </c>
      <c r="J105" t="s">
        <v>562</v>
      </c>
      <c r="K105" t="s">
        <v>662</v>
      </c>
      <c r="L105" t="s">
        <v>170</v>
      </c>
      <c r="M105" t="s">
        <v>240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240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363.57</v>
      </c>
      <c r="AV105">
        <f>$H$105*$AB$105</f>
        <v>363.57</v>
      </c>
      <c r="AW105">
        <f>$H$105*$AC$105</f>
        <v>363.57</v>
      </c>
      <c r="AX105">
        <f>$H$105*$AD$105</f>
        <v>363.57</v>
      </c>
      <c r="AY105">
        <f>$H$105*$AE$105</f>
        <v>363.57</v>
      </c>
      <c r="AZ105">
        <f>$H$105*$AF$105</f>
        <v>363.57</v>
      </c>
    </row>
    <row r="106" spans="1:52" x14ac:dyDescent="0.25">
      <c r="A106">
        <v>153</v>
      </c>
      <c r="B106" t="s">
        <v>240</v>
      </c>
      <c r="C106" t="s">
        <v>508</v>
      </c>
      <c r="D106">
        <v>1.5</v>
      </c>
      <c r="E106">
        <v>1115.3399999999999</v>
      </c>
      <c r="F106" t="s">
        <v>265</v>
      </c>
      <c r="G106">
        <v>743.56</v>
      </c>
      <c r="H106">
        <v>1338.4</v>
      </c>
      <c r="I106" t="s">
        <v>276</v>
      </c>
      <c r="J106" t="s">
        <v>509</v>
      </c>
      <c r="K106" t="s">
        <v>634</v>
      </c>
      <c r="L106" t="s">
        <v>170</v>
      </c>
      <c r="M106" t="s">
        <v>240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240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1338.4</v>
      </c>
      <c r="AT106">
        <f>$H$106*$Z$106</f>
        <v>1338.4</v>
      </c>
      <c r="AU106">
        <f>$H$106*$AA$106</f>
        <v>1338.4</v>
      </c>
      <c r="AV106">
        <f>$H$106*$AB$106</f>
        <v>1338.4</v>
      </c>
      <c r="AW106">
        <f>$H$106*$AC$106</f>
        <v>1338.4</v>
      </c>
      <c r="AX106">
        <f>$H$106*$AD$106</f>
        <v>1338.4</v>
      </c>
      <c r="AY106">
        <f>$H$106*$AE$106</f>
        <v>1338.4</v>
      </c>
      <c r="AZ106">
        <f>$H$106*$AF$106</f>
        <v>1338.4</v>
      </c>
    </row>
    <row r="107" spans="1:52" x14ac:dyDescent="0.25">
      <c r="A107">
        <v>154</v>
      </c>
      <c r="B107" t="s">
        <v>240</v>
      </c>
      <c r="C107" t="s">
        <v>508</v>
      </c>
      <c r="D107">
        <v>0.5</v>
      </c>
      <c r="E107">
        <v>371.78</v>
      </c>
      <c r="F107" t="s">
        <v>265</v>
      </c>
      <c r="G107">
        <v>743.56</v>
      </c>
      <c r="H107">
        <v>446.14</v>
      </c>
      <c r="I107" t="s">
        <v>276</v>
      </c>
      <c r="J107" t="s">
        <v>509</v>
      </c>
      <c r="K107" t="s">
        <v>634</v>
      </c>
      <c r="L107" t="s">
        <v>170</v>
      </c>
      <c r="M107" t="s">
        <v>240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240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446.14</v>
      </c>
      <c r="AT107">
        <f>$H$107*$Z$107</f>
        <v>446.14</v>
      </c>
      <c r="AU107">
        <f>$H$107*$AA$107</f>
        <v>446.14</v>
      </c>
      <c r="AV107">
        <f>$H$107*$AB$107</f>
        <v>446.14</v>
      </c>
      <c r="AW107">
        <f>$H$107*$AC$107</f>
        <v>446.14</v>
      </c>
      <c r="AX107">
        <f>$H$107*$AD$107</f>
        <v>446.14</v>
      </c>
      <c r="AY107">
        <f>$H$107*$AE$107</f>
        <v>446.14</v>
      </c>
      <c r="AZ107">
        <f>$H$107*$AF$107</f>
        <v>446.14</v>
      </c>
    </row>
    <row r="108" spans="1:52" x14ac:dyDescent="0.25">
      <c r="A108">
        <v>155</v>
      </c>
      <c r="B108" t="s">
        <v>240</v>
      </c>
      <c r="C108" t="s">
        <v>563</v>
      </c>
      <c r="D108">
        <v>2</v>
      </c>
      <c r="E108">
        <v>889.42</v>
      </c>
      <c r="F108" t="s">
        <v>265</v>
      </c>
      <c r="G108">
        <v>444.71</v>
      </c>
      <c r="H108">
        <v>1067.3</v>
      </c>
      <c r="I108" t="s">
        <v>276</v>
      </c>
      <c r="J108" t="s">
        <v>564</v>
      </c>
      <c r="K108" t="s">
        <v>663</v>
      </c>
      <c r="L108" t="s">
        <v>170</v>
      </c>
      <c r="M108" t="s">
        <v>240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240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1067.3</v>
      </c>
      <c r="AV108">
        <f>$H$108*$AB$108</f>
        <v>1067.3</v>
      </c>
      <c r="AW108">
        <f>$H$108*$AC$108</f>
        <v>1067.3</v>
      </c>
      <c r="AX108">
        <f>$H$108*$AD$108</f>
        <v>1067.3</v>
      </c>
      <c r="AY108">
        <f>$H$108*$AE$108</f>
        <v>1067.3</v>
      </c>
      <c r="AZ108">
        <f>$H$108*$AF$108</f>
        <v>1067.3</v>
      </c>
    </row>
    <row r="109" spans="1:52" x14ac:dyDescent="0.25">
      <c r="A109">
        <v>156</v>
      </c>
      <c r="B109" t="s">
        <v>240</v>
      </c>
      <c r="C109" t="s">
        <v>335</v>
      </c>
      <c r="D109">
        <v>8.8699999999999992</v>
      </c>
      <c r="E109">
        <v>33.97</v>
      </c>
      <c r="F109" t="s">
        <v>262</v>
      </c>
      <c r="G109">
        <v>3.83</v>
      </c>
      <c r="H109">
        <v>40.770000000000003</v>
      </c>
      <c r="I109" t="s">
        <v>336</v>
      </c>
      <c r="J109" t="s">
        <v>337</v>
      </c>
      <c r="K109" t="s">
        <v>409</v>
      </c>
      <c r="L109" t="s">
        <v>170</v>
      </c>
      <c r="M109" t="s">
        <v>240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240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40.770000000000003</v>
      </c>
      <c r="AV109">
        <f>$H$109*$AB$109</f>
        <v>40.770000000000003</v>
      </c>
      <c r="AW109">
        <f>$H$109*$AC$109</f>
        <v>40.770000000000003</v>
      </c>
      <c r="AX109">
        <f>$H$109*$AD$109</f>
        <v>40.770000000000003</v>
      </c>
      <c r="AY109">
        <f>$H$109*$AE$109</f>
        <v>40.770000000000003</v>
      </c>
      <c r="AZ109">
        <f>$H$109*$AF$109</f>
        <v>40.770000000000003</v>
      </c>
    </row>
    <row r="110" spans="1:52" x14ac:dyDescent="0.25">
      <c r="A110">
        <v>157</v>
      </c>
      <c r="B110" t="s">
        <v>240</v>
      </c>
      <c r="C110" t="s">
        <v>338</v>
      </c>
      <c r="D110">
        <v>79.8</v>
      </c>
      <c r="E110">
        <v>264.14</v>
      </c>
      <c r="F110" t="s">
        <v>275</v>
      </c>
      <c r="G110">
        <v>3.31</v>
      </c>
      <c r="H110">
        <v>316.95999999999998</v>
      </c>
      <c r="I110" t="s">
        <v>336</v>
      </c>
      <c r="J110" t="s">
        <v>339</v>
      </c>
      <c r="K110" t="s">
        <v>410</v>
      </c>
      <c r="L110" t="s">
        <v>170</v>
      </c>
      <c r="M110" t="s">
        <v>240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240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316.95999999999998</v>
      </c>
      <c r="AN110">
        <f>$H$110*$T$110</f>
        <v>316.95999999999998</v>
      </c>
      <c r="AO110">
        <f>$H$110*$U$110</f>
        <v>316.95999999999998</v>
      </c>
      <c r="AP110">
        <f>$H$110*$V$110</f>
        <v>316.95999999999998</v>
      </c>
      <c r="AQ110">
        <f>$H$110*$W$110</f>
        <v>316.95999999999998</v>
      </c>
      <c r="AR110">
        <f>$H$110*$X$110</f>
        <v>316.95999999999998</v>
      </c>
      <c r="AS110">
        <f>$H$110*$Y$110</f>
        <v>316.95999999999998</v>
      </c>
      <c r="AT110">
        <f>$H$110*$Z$110</f>
        <v>316.95999999999998</v>
      </c>
      <c r="AU110">
        <f>$H$110*$AA$110</f>
        <v>316.95999999999998</v>
      </c>
      <c r="AV110">
        <f>$H$110*$AB$110</f>
        <v>316.95999999999998</v>
      </c>
      <c r="AW110">
        <f>$H$110*$AC$110</f>
        <v>316.95999999999998</v>
      </c>
      <c r="AX110">
        <f>$H$110*$AD$110</f>
        <v>316.95999999999998</v>
      </c>
      <c r="AY110">
        <f>$H$110*$AE$110</f>
        <v>316.95999999999998</v>
      </c>
      <c r="AZ110">
        <f>$H$110*$AF$110</f>
        <v>316.95999999999998</v>
      </c>
    </row>
    <row r="111" spans="1:52" x14ac:dyDescent="0.25">
      <c r="A111">
        <v>158</v>
      </c>
      <c r="B111" t="s">
        <v>240</v>
      </c>
      <c r="C111" t="s">
        <v>340</v>
      </c>
      <c r="D111">
        <v>79.8</v>
      </c>
      <c r="E111">
        <v>84.59</v>
      </c>
      <c r="F111" t="s">
        <v>275</v>
      </c>
      <c r="G111">
        <v>1.06</v>
      </c>
      <c r="H111">
        <v>101.51</v>
      </c>
      <c r="I111" t="s">
        <v>263</v>
      </c>
      <c r="J111" t="s">
        <v>341</v>
      </c>
      <c r="K111" t="s">
        <v>411</v>
      </c>
      <c r="L111" t="s">
        <v>170</v>
      </c>
      <c r="M111" t="s">
        <v>240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1</v>
      </c>
      <c r="AF111">
        <v>1</v>
      </c>
      <c r="AG111" t="s">
        <v>240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0</v>
      </c>
      <c r="AV111">
        <f>$H$111*$AB$111</f>
        <v>0</v>
      </c>
      <c r="AW111">
        <f>$H$111*$AC$111</f>
        <v>0</v>
      </c>
      <c r="AX111">
        <f>$H$111*$AD$111</f>
        <v>101.51</v>
      </c>
      <c r="AY111">
        <f>$H$111*$AE$111</f>
        <v>101.51</v>
      </c>
      <c r="AZ111">
        <f>$H$111*$AF$111</f>
        <v>101.51</v>
      </c>
    </row>
    <row r="112" spans="1:52" x14ac:dyDescent="0.25">
      <c r="A112">
        <v>159</v>
      </c>
      <c r="B112" t="s">
        <v>240</v>
      </c>
      <c r="C112" t="s">
        <v>283</v>
      </c>
      <c r="D112">
        <v>99.75</v>
      </c>
      <c r="E112">
        <v>161.6</v>
      </c>
      <c r="F112" t="s">
        <v>275</v>
      </c>
      <c r="G112">
        <v>1.62</v>
      </c>
      <c r="H112">
        <v>193.92</v>
      </c>
      <c r="I112" t="s">
        <v>263</v>
      </c>
      <c r="J112" t="s">
        <v>284</v>
      </c>
      <c r="K112" t="s">
        <v>387</v>
      </c>
      <c r="L112" t="s">
        <v>170</v>
      </c>
      <c r="M112" t="s">
        <v>240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240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193.92</v>
      </c>
      <c r="AO112">
        <f>$H$112*$U$112</f>
        <v>193.92</v>
      </c>
      <c r="AP112">
        <f>$H$112*$V$112</f>
        <v>193.92</v>
      </c>
      <c r="AQ112">
        <f>$H$112*$W$112</f>
        <v>193.92</v>
      </c>
      <c r="AR112">
        <f>$H$112*$X$112</f>
        <v>193.92</v>
      </c>
      <c r="AS112">
        <f>$H$112*$Y$112</f>
        <v>193.92</v>
      </c>
      <c r="AT112">
        <f>$H$112*$Z$112</f>
        <v>193.92</v>
      </c>
      <c r="AU112">
        <f>$H$112*$AA$112</f>
        <v>193.92</v>
      </c>
      <c r="AV112">
        <f>$H$112*$AB$112</f>
        <v>193.92</v>
      </c>
      <c r="AW112">
        <f>$H$112*$AC$112</f>
        <v>193.92</v>
      </c>
      <c r="AX112">
        <f>$H$112*$AD$112</f>
        <v>193.92</v>
      </c>
      <c r="AY112">
        <f>$H$112*$AE$112</f>
        <v>193.92</v>
      </c>
      <c r="AZ112">
        <f>$H$112*$AF$112</f>
        <v>193.92</v>
      </c>
    </row>
    <row r="113" spans="1:52" x14ac:dyDescent="0.25">
      <c r="A113">
        <v>160</v>
      </c>
      <c r="B113" t="s">
        <v>240</v>
      </c>
      <c r="C113" t="s">
        <v>526</v>
      </c>
      <c r="D113">
        <v>19.95</v>
      </c>
      <c r="E113">
        <v>84.39</v>
      </c>
      <c r="F113" t="s">
        <v>275</v>
      </c>
      <c r="G113">
        <v>4.2300000000000004</v>
      </c>
      <c r="H113">
        <v>101.27</v>
      </c>
      <c r="I113" t="s">
        <v>527</v>
      </c>
      <c r="J113" t="s">
        <v>309</v>
      </c>
      <c r="K113" t="s">
        <v>644</v>
      </c>
      <c r="L113" t="s">
        <v>170</v>
      </c>
      <c r="M113" t="s">
        <v>240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0.25</v>
      </c>
      <c r="T113">
        <v>0.25</v>
      </c>
      <c r="U113">
        <v>0.25</v>
      </c>
      <c r="V113">
        <v>0.25</v>
      </c>
      <c r="W113">
        <v>0.25</v>
      </c>
      <c r="X113">
        <v>0.5</v>
      </c>
      <c r="Y113">
        <v>0.5</v>
      </c>
      <c r="Z113">
        <v>0.5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240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25.317499999999999</v>
      </c>
      <c r="AN113">
        <f>$H$113*$T$113</f>
        <v>25.317499999999999</v>
      </c>
      <c r="AO113">
        <f>$H$113*$U$113</f>
        <v>25.317499999999999</v>
      </c>
      <c r="AP113">
        <f>$H$113*$V$113</f>
        <v>25.317499999999999</v>
      </c>
      <c r="AQ113">
        <f>$H$113*$W$113</f>
        <v>25.317499999999999</v>
      </c>
      <c r="AR113">
        <f>$H$113*$X$113</f>
        <v>50.634999999999998</v>
      </c>
      <c r="AS113">
        <f>$H$113*$Y$113</f>
        <v>50.634999999999998</v>
      </c>
      <c r="AT113">
        <f>$H$113*$Z$113</f>
        <v>50.634999999999998</v>
      </c>
      <c r="AU113">
        <f>$H$113*$AA$113</f>
        <v>101.27</v>
      </c>
      <c r="AV113">
        <f>$H$113*$AB$113</f>
        <v>101.27</v>
      </c>
      <c r="AW113">
        <f>$H$113*$AC$113</f>
        <v>101.27</v>
      </c>
      <c r="AX113">
        <f>$H$113*$AD$113</f>
        <v>101.27</v>
      </c>
      <c r="AY113">
        <f>$H$113*$AE$113</f>
        <v>101.27</v>
      </c>
      <c r="AZ113">
        <f>$H$113*$AF$113</f>
        <v>101.27</v>
      </c>
    </row>
    <row r="114" spans="1:52" x14ac:dyDescent="0.25">
      <c r="A114">
        <v>161</v>
      </c>
      <c r="B114" t="s">
        <v>240</v>
      </c>
      <c r="C114" t="s">
        <v>285</v>
      </c>
      <c r="D114">
        <v>199.5</v>
      </c>
      <c r="E114">
        <v>823.94</v>
      </c>
      <c r="F114" t="s">
        <v>275</v>
      </c>
      <c r="G114">
        <v>4.13</v>
      </c>
      <c r="H114">
        <v>988.72</v>
      </c>
      <c r="I114" t="s">
        <v>286</v>
      </c>
      <c r="J114" t="s">
        <v>287</v>
      </c>
      <c r="K114" t="s">
        <v>388</v>
      </c>
      <c r="L114" t="s">
        <v>170</v>
      </c>
      <c r="M114" t="s">
        <v>240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0.25</v>
      </c>
      <c r="T114">
        <v>0.25</v>
      </c>
      <c r="U114">
        <v>0.25</v>
      </c>
      <c r="V114">
        <v>0.25</v>
      </c>
      <c r="W114">
        <v>0.5</v>
      </c>
      <c r="X114">
        <v>0.5</v>
      </c>
      <c r="Y114">
        <v>0.5</v>
      </c>
      <c r="Z114">
        <v>0.5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240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247.18</v>
      </c>
      <c r="AN114">
        <f>$H$114*$T$114</f>
        <v>247.18</v>
      </c>
      <c r="AO114">
        <f>$H$114*$U$114</f>
        <v>247.18</v>
      </c>
      <c r="AP114">
        <f>$H$114*$V$114</f>
        <v>247.18</v>
      </c>
      <c r="AQ114">
        <f>$H$114*$W$114</f>
        <v>494.36</v>
      </c>
      <c r="AR114">
        <f>$H$114*$X$114</f>
        <v>494.36</v>
      </c>
      <c r="AS114">
        <f>$H$114*$Y$114</f>
        <v>494.36</v>
      </c>
      <c r="AT114">
        <f>$H$114*$Z$114</f>
        <v>494.36</v>
      </c>
      <c r="AU114">
        <f>$H$114*$AA$114</f>
        <v>988.72</v>
      </c>
      <c r="AV114">
        <f>$H$114*$AB$114</f>
        <v>988.72</v>
      </c>
      <c r="AW114">
        <f>$H$114*$AC$114</f>
        <v>988.72</v>
      </c>
      <c r="AX114">
        <f>$H$114*$AD$114</f>
        <v>988.72</v>
      </c>
      <c r="AY114">
        <f>$H$114*$AE$114</f>
        <v>988.72</v>
      </c>
      <c r="AZ114">
        <f>$H$114*$AF$114</f>
        <v>988.72</v>
      </c>
    </row>
    <row r="115" spans="1:52" x14ac:dyDescent="0.25">
      <c r="A115">
        <v>162</v>
      </c>
      <c r="B115" t="s">
        <v>240</v>
      </c>
      <c r="C115" t="s">
        <v>342</v>
      </c>
      <c r="D115">
        <v>22.17</v>
      </c>
      <c r="E115">
        <v>58.53</v>
      </c>
      <c r="F115" t="s">
        <v>262</v>
      </c>
      <c r="G115">
        <v>2.64</v>
      </c>
      <c r="H115">
        <v>70.23</v>
      </c>
      <c r="I115" t="s">
        <v>263</v>
      </c>
      <c r="J115" t="s">
        <v>343</v>
      </c>
      <c r="K115" t="s">
        <v>412</v>
      </c>
      <c r="L115" t="s">
        <v>170</v>
      </c>
      <c r="M115" t="s">
        <v>240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240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70.23</v>
      </c>
      <c r="AN115">
        <f>$H$115*$T$115</f>
        <v>70.23</v>
      </c>
      <c r="AO115">
        <f>$H$115*$U$115</f>
        <v>70.23</v>
      </c>
      <c r="AP115">
        <f>$H$115*$V$115</f>
        <v>70.23</v>
      </c>
      <c r="AQ115">
        <f>$H$115*$W$115</f>
        <v>70.23</v>
      </c>
      <c r="AR115">
        <f>$H$115*$X$115</f>
        <v>70.23</v>
      </c>
      <c r="AS115">
        <f>$H$115*$Y$115</f>
        <v>70.23</v>
      </c>
      <c r="AT115">
        <f>$H$115*$Z$115</f>
        <v>70.23</v>
      </c>
      <c r="AU115">
        <f>$H$115*$AA$115</f>
        <v>70.23</v>
      </c>
      <c r="AV115">
        <f>$H$115*$AB$115</f>
        <v>70.23</v>
      </c>
      <c r="AW115">
        <f>$H$115*$AC$115</f>
        <v>70.23</v>
      </c>
      <c r="AX115">
        <f>$H$115*$AD$115</f>
        <v>70.23</v>
      </c>
      <c r="AY115">
        <f>$H$115*$AE$115</f>
        <v>70.23</v>
      </c>
      <c r="AZ115">
        <f>$H$115*$AF$115</f>
        <v>70.23</v>
      </c>
    </row>
    <row r="116" spans="1:52" x14ac:dyDescent="0.25">
      <c r="A116">
        <v>163</v>
      </c>
      <c r="B116" t="s">
        <v>240</v>
      </c>
      <c r="C116" t="s">
        <v>344</v>
      </c>
      <c r="D116">
        <v>22.17</v>
      </c>
      <c r="E116">
        <v>137.22999999999999</v>
      </c>
      <c r="F116" t="s">
        <v>262</v>
      </c>
      <c r="G116">
        <v>6.19</v>
      </c>
      <c r="H116">
        <v>164.67</v>
      </c>
      <c r="I116" t="s">
        <v>264</v>
      </c>
      <c r="J116" t="s">
        <v>345</v>
      </c>
      <c r="K116" t="s">
        <v>413</v>
      </c>
      <c r="L116" t="s">
        <v>170</v>
      </c>
      <c r="M116" t="s">
        <v>240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240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164.67</v>
      </c>
      <c r="AN116">
        <f>$H$116*$T$116</f>
        <v>164.67</v>
      </c>
      <c r="AO116">
        <f>$H$116*$U$116</f>
        <v>164.67</v>
      </c>
      <c r="AP116">
        <f>$H$116*$V$116</f>
        <v>164.67</v>
      </c>
      <c r="AQ116">
        <f>$H$116*$W$116</f>
        <v>164.67</v>
      </c>
      <c r="AR116">
        <f>$H$116*$X$116</f>
        <v>164.67</v>
      </c>
      <c r="AS116">
        <f>$H$116*$Y$116</f>
        <v>164.67</v>
      </c>
      <c r="AT116">
        <f>$H$116*$Z$116</f>
        <v>164.67</v>
      </c>
      <c r="AU116">
        <f>$H$116*$AA$116</f>
        <v>164.67</v>
      </c>
      <c r="AV116">
        <f>$H$116*$AB$116</f>
        <v>164.67</v>
      </c>
      <c r="AW116">
        <f>$H$116*$AC$116</f>
        <v>164.67</v>
      </c>
      <c r="AX116">
        <f>$H$116*$AD$116</f>
        <v>164.67</v>
      </c>
      <c r="AY116">
        <f>$H$116*$AE$116</f>
        <v>164.67</v>
      </c>
      <c r="AZ116">
        <f>$H$116*$AF$116</f>
        <v>164.67</v>
      </c>
    </row>
    <row r="117" spans="1:52" x14ac:dyDescent="0.25">
      <c r="A117">
        <v>164</v>
      </c>
      <c r="B117" t="s">
        <v>240</v>
      </c>
      <c r="C117" t="s">
        <v>285</v>
      </c>
      <c r="D117">
        <v>29.04</v>
      </c>
      <c r="E117">
        <v>119.94</v>
      </c>
      <c r="F117" t="s">
        <v>275</v>
      </c>
      <c r="G117">
        <v>4.13</v>
      </c>
      <c r="H117">
        <v>143.91999999999999</v>
      </c>
      <c r="I117" t="s">
        <v>286</v>
      </c>
      <c r="J117" t="s">
        <v>287</v>
      </c>
      <c r="K117" t="s">
        <v>388</v>
      </c>
      <c r="L117" t="s">
        <v>170</v>
      </c>
      <c r="M117" t="s">
        <v>240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0.25</v>
      </c>
      <c r="T117">
        <v>0.25</v>
      </c>
      <c r="U117">
        <v>0.25</v>
      </c>
      <c r="V117">
        <v>0.25</v>
      </c>
      <c r="W117">
        <v>0.5</v>
      </c>
      <c r="X117">
        <v>0.5</v>
      </c>
      <c r="Y117">
        <v>0.5</v>
      </c>
      <c r="Z117">
        <v>0.5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240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35.979999999999997</v>
      </c>
      <c r="AN117">
        <f>$H$117*$T$117</f>
        <v>35.979999999999997</v>
      </c>
      <c r="AO117">
        <f>$H$117*$U$117</f>
        <v>35.979999999999997</v>
      </c>
      <c r="AP117">
        <f>$H$117*$V$117</f>
        <v>35.979999999999997</v>
      </c>
      <c r="AQ117">
        <f>$H$117*$W$117</f>
        <v>71.959999999999994</v>
      </c>
      <c r="AR117">
        <f>$H$117*$X$117</f>
        <v>71.959999999999994</v>
      </c>
      <c r="AS117">
        <f>$H$117*$Y$117</f>
        <v>71.959999999999994</v>
      </c>
      <c r="AT117">
        <f>$H$117*$Z$117</f>
        <v>71.959999999999994</v>
      </c>
      <c r="AU117">
        <f>$H$117*$AA$117</f>
        <v>143.91999999999999</v>
      </c>
      <c r="AV117">
        <f>$H$117*$AB$117</f>
        <v>143.91999999999999</v>
      </c>
      <c r="AW117">
        <f>$H$117*$AC$117</f>
        <v>143.91999999999999</v>
      </c>
      <c r="AX117">
        <f>$H$117*$AD$117</f>
        <v>143.91999999999999</v>
      </c>
      <c r="AY117">
        <f>$H$117*$AE$117</f>
        <v>143.91999999999999</v>
      </c>
      <c r="AZ117">
        <f>$H$117*$AF$117</f>
        <v>143.91999999999999</v>
      </c>
    </row>
    <row r="118" spans="1:52" x14ac:dyDescent="0.25">
      <c r="A118">
        <v>165</v>
      </c>
      <c r="B118" t="s">
        <v>240</v>
      </c>
      <c r="C118" t="s">
        <v>340</v>
      </c>
      <c r="D118">
        <v>29.04</v>
      </c>
      <c r="E118">
        <v>30.78</v>
      </c>
      <c r="F118" t="s">
        <v>275</v>
      </c>
      <c r="G118">
        <v>1.06</v>
      </c>
      <c r="H118">
        <v>36.94</v>
      </c>
      <c r="I118" t="s">
        <v>263</v>
      </c>
      <c r="J118" t="s">
        <v>341</v>
      </c>
      <c r="K118" t="s">
        <v>411</v>
      </c>
      <c r="L118" t="s">
        <v>170</v>
      </c>
      <c r="M118" t="s">
        <v>240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1</v>
      </c>
      <c r="AF118">
        <v>1</v>
      </c>
      <c r="AG118" t="s">
        <v>240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0</v>
      </c>
      <c r="AV118">
        <f>$H$118*$AB$118</f>
        <v>0</v>
      </c>
      <c r="AW118">
        <f>$H$118*$AC$118</f>
        <v>0</v>
      </c>
      <c r="AX118">
        <f>$H$118*$AD$118</f>
        <v>36.94</v>
      </c>
      <c r="AY118">
        <f>$H$118*$AE$118</f>
        <v>36.94</v>
      </c>
      <c r="AZ118">
        <f>$H$118*$AF$118</f>
        <v>36.94</v>
      </c>
    </row>
    <row r="119" spans="1:52" x14ac:dyDescent="0.25">
      <c r="A119">
        <v>166</v>
      </c>
      <c r="B119" t="s">
        <v>240</v>
      </c>
      <c r="C119" t="s">
        <v>346</v>
      </c>
      <c r="D119">
        <v>29.04</v>
      </c>
      <c r="E119">
        <v>32.520000000000003</v>
      </c>
      <c r="F119" t="s">
        <v>275</v>
      </c>
      <c r="G119">
        <v>1.1200000000000001</v>
      </c>
      <c r="H119">
        <v>39.020000000000003</v>
      </c>
      <c r="I119" t="s">
        <v>263</v>
      </c>
      <c r="J119" t="s">
        <v>347</v>
      </c>
      <c r="K119" t="s">
        <v>414</v>
      </c>
      <c r="L119" t="s">
        <v>170</v>
      </c>
      <c r="M119" t="s">
        <v>240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240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39.020000000000003</v>
      </c>
      <c r="AN119">
        <f>$H$119*$T$119</f>
        <v>39.020000000000003</v>
      </c>
      <c r="AO119">
        <f>$H$119*$U$119</f>
        <v>39.020000000000003</v>
      </c>
      <c r="AP119">
        <f>$H$119*$V$119</f>
        <v>39.020000000000003</v>
      </c>
      <c r="AQ119">
        <f>$H$119*$W$119</f>
        <v>39.020000000000003</v>
      </c>
      <c r="AR119">
        <f>$H$119*$X$119</f>
        <v>39.020000000000003</v>
      </c>
      <c r="AS119">
        <f>$H$119*$Y$119</f>
        <v>39.020000000000003</v>
      </c>
      <c r="AT119">
        <f>$H$119*$Z$119</f>
        <v>39.020000000000003</v>
      </c>
      <c r="AU119">
        <f>$H$119*$AA$119</f>
        <v>39.020000000000003</v>
      </c>
      <c r="AV119">
        <f>$H$119*$AB$119</f>
        <v>39.020000000000003</v>
      </c>
      <c r="AW119">
        <f>$H$119*$AC$119</f>
        <v>39.020000000000003</v>
      </c>
      <c r="AX119">
        <f>$H$119*$AD$119</f>
        <v>39.020000000000003</v>
      </c>
      <c r="AY119">
        <f>$H$119*$AE$119</f>
        <v>39.020000000000003</v>
      </c>
      <c r="AZ119">
        <f>$H$119*$AF$119</f>
        <v>39.020000000000003</v>
      </c>
    </row>
    <row r="120" spans="1:52" x14ac:dyDescent="0.25">
      <c r="A120">
        <v>167</v>
      </c>
      <c r="B120" t="s">
        <v>240</v>
      </c>
      <c r="C120" t="s">
        <v>528</v>
      </c>
      <c r="D120">
        <v>5.81</v>
      </c>
      <c r="E120">
        <v>121.72</v>
      </c>
      <c r="F120" t="s">
        <v>275</v>
      </c>
      <c r="G120">
        <v>20.95</v>
      </c>
      <c r="H120">
        <v>146.06</v>
      </c>
      <c r="I120" t="s">
        <v>348</v>
      </c>
      <c r="J120" t="s">
        <v>529</v>
      </c>
      <c r="K120" t="s">
        <v>645</v>
      </c>
      <c r="L120" t="s">
        <v>170</v>
      </c>
      <c r="M120" t="s">
        <v>240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240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146.06</v>
      </c>
      <c r="AT120">
        <f>$H$120*$Z$120</f>
        <v>146.06</v>
      </c>
      <c r="AU120">
        <f>$H$120*$AA$120</f>
        <v>146.06</v>
      </c>
      <c r="AV120">
        <f>$H$120*$AB$120</f>
        <v>146.06</v>
      </c>
      <c r="AW120">
        <f>$H$120*$AC$120</f>
        <v>146.06</v>
      </c>
      <c r="AX120">
        <f>$H$120*$AD$120</f>
        <v>146.06</v>
      </c>
      <c r="AY120">
        <f>$H$120*$AE$120</f>
        <v>146.06</v>
      </c>
      <c r="AZ120">
        <f>$H$120*$AF$120</f>
        <v>146.06</v>
      </c>
    </row>
    <row r="121" spans="1:52" x14ac:dyDescent="0.25">
      <c r="A121">
        <v>168</v>
      </c>
      <c r="B121" t="s">
        <v>240</v>
      </c>
      <c r="C121" t="s">
        <v>349</v>
      </c>
      <c r="D121">
        <v>11.62</v>
      </c>
      <c r="E121">
        <v>49.5</v>
      </c>
      <c r="F121" t="s">
        <v>275</v>
      </c>
      <c r="G121">
        <v>4.26</v>
      </c>
      <c r="H121">
        <v>59.4</v>
      </c>
      <c r="I121" t="s">
        <v>350</v>
      </c>
      <c r="J121" t="s">
        <v>351</v>
      </c>
      <c r="K121" t="s">
        <v>415</v>
      </c>
      <c r="L121" t="s">
        <v>170</v>
      </c>
      <c r="M121" t="s">
        <v>240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240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59.4</v>
      </c>
      <c r="AN121">
        <f>$H$121*$T$121</f>
        <v>59.4</v>
      </c>
      <c r="AO121">
        <f>$H$121*$U$121</f>
        <v>59.4</v>
      </c>
      <c r="AP121">
        <f>$H$121*$V$121</f>
        <v>59.4</v>
      </c>
      <c r="AQ121">
        <f>$H$121*$W$121</f>
        <v>59.4</v>
      </c>
      <c r="AR121">
        <f>$H$121*$X$121</f>
        <v>59.4</v>
      </c>
      <c r="AS121">
        <f>$H$121*$Y$121</f>
        <v>59.4</v>
      </c>
      <c r="AT121">
        <f>$H$121*$Z$121</f>
        <v>59.4</v>
      </c>
      <c r="AU121">
        <f>$H$121*$AA$121</f>
        <v>59.4</v>
      </c>
      <c r="AV121">
        <f>$H$121*$AB$121</f>
        <v>59.4</v>
      </c>
      <c r="AW121">
        <f>$H$121*$AC$121</f>
        <v>59.4</v>
      </c>
      <c r="AX121">
        <f>$H$121*$AD$121</f>
        <v>59.4</v>
      </c>
      <c r="AY121">
        <f>$H$121*$AE$121</f>
        <v>59.4</v>
      </c>
      <c r="AZ121">
        <f>$H$121*$AF$121</f>
        <v>59.4</v>
      </c>
    </row>
    <row r="122" spans="1:52" x14ac:dyDescent="0.25">
      <c r="A122">
        <v>169</v>
      </c>
      <c r="B122" t="s">
        <v>240</v>
      </c>
      <c r="C122" t="s">
        <v>352</v>
      </c>
      <c r="D122">
        <v>11.62</v>
      </c>
      <c r="E122">
        <v>124.8</v>
      </c>
      <c r="F122" t="s">
        <v>275</v>
      </c>
      <c r="G122">
        <v>10.74</v>
      </c>
      <c r="H122">
        <v>149.76</v>
      </c>
      <c r="I122" t="s">
        <v>350</v>
      </c>
      <c r="J122" t="s">
        <v>293</v>
      </c>
      <c r="K122" t="s">
        <v>416</v>
      </c>
      <c r="L122" t="s">
        <v>170</v>
      </c>
      <c r="M122" t="s">
        <v>240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240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149.76</v>
      </c>
      <c r="AN122">
        <f>$H$122*$T$122</f>
        <v>149.76</v>
      </c>
      <c r="AO122">
        <f>$H$122*$U$122</f>
        <v>149.76</v>
      </c>
      <c r="AP122">
        <f>$H$122*$V$122</f>
        <v>149.76</v>
      </c>
      <c r="AQ122">
        <f>$H$122*$W$122</f>
        <v>149.76</v>
      </c>
      <c r="AR122">
        <f>$H$122*$X$122</f>
        <v>149.76</v>
      </c>
      <c r="AS122">
        <f>$H$122*$Y$122</f>
        <v>149.76</v>
      </c>
      <c r="AT122">
        <f>$H$122*$Z$122</f>
        <v>149.76</v>
      </c>
      <c r="AU122">
        <f>$H$122*$AA$122</f>
        <v>149.76</v>
      </c>
      <c r="AV122">
        <f>$H$122*$AB$122</f>
        <v>149.76</v>
      </c>
      <c r="AW122">
        <f>$H$122*$AC$122</f>
        <v>149.76</v>
      </c>
      <c r="AX122">
        <f>$H$122*$AD$122</f>
        <v>149.76</v>
      </c>
      <c r="AY122">
        <f>$H$122*$AE$122</f>
        <v>149.76</v>
      </c>
      <c r="AZ122">
        <f>$H$122*$AF$122</f>
        <v>149.76</v>
      </c>
    </row>
    <row r="123" spans="1:52" x14ac:dyDescent="0.25">
      <c r="A123">
        <v>170</v>
      </c>
      <c r="B123" t="s">
        <v>240</v>
      </c>
      <c r="C123" t="s">
        <v>530</v>
      </c>
      <c r="D123">
        <v>13.36</v>
      </c>
      <c r="E123">
        <v>14.16</v>
      </c>
      <c r="F123" t="s">
        <v>275</v>
      </c>
      <c r="G123">
        <v>1.06</v>
      </c>
      <c r="H123">
        <v>17</v>
      </c>
      <c r="I123" t="s">
        <v>353</v>
      </c>
      <c r="J123" t="s">
        <v>531</v>
      </c>
      <c r="K123" t="s">
        <v>646</v>
      </c>
      <c r="L123" t="s">
        <v>170</v>
      </c>
      <c r="M123" t="s">
        <v>240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240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17</v>
      </c>
      <c r="AN123">
        <f>$H$123*$T$123</f>
        <v>17</v>
      </c>
      <c r="AO123">
        <f>$H$123*$U$123</f>
        <v>17</v>
      </c>
      <c r="AP123">
        <f>$H$123*$V$123</f>
        <v>17</v>
      </c>
      <c r="AQ123">
        <f>$H$123*$W$123</f>
        <v>17</v>
      </c>
      <c r="AR123">
        <f>$H$123*$X$123</f>
        <v>17</v>
      </c>
      <c r="AS123">
        <f>$H$123*$Y$123</f>
        <v>17</v>
      </c>
      <c r="AT123">
        <f>$H$123*$Z$123</f>
        <v>17</v>
      </c>
      <c r="AU123">
        <f>$H$123*$AA$123</f>
        <v>17</v>
      </c>
      <c r="AV123">
        <f>$H$123*$AB$123</f>
        <v>17</v>
      </c>
      <c r="AW123">
        <f>$H$123*$AC$123</f>
        <v>17</v>
      </c>
      <c r="AX123">
        <f>$H$123*$AD$123</f>
        <v>17</v>
      </c>
      <c r="AY123">
        <f>$H$123*$AE$123</f>
        <v>17</v>
      </c>
      <c r="AZ123">
        <f>$H$123*$AF$123</f>
        <v>17</v>
      </c>
    </row>
    <row r="124" spans="1:52" x14ac:dyDescent="0.25">
      <c r="A124">
        <v>171</v>
      </c>
      <c r="B124" t="s">
        <v>240</v>
      </c>
      <c r="C124" t="s">
        <v>532</v>
      </c>
      <c r="D124">
        <v>13.36</v>
      </c>
      <c r="E124">
        <v>115.3</v>
      </c>
      <c r="F124" t="s">
        <v>275</v>
      </c>
      <c r="G124">
        <v>8.6300000000000008</v>
      </c>
      <c r="H124">
        <v>138.36000000000001</v>
      </c>
      <c r="I124" t="s">
        <v>353</v>
      </c>
      <c r="J124" t="s">
        <v>529</v>
      </c>
      <c r="K124" t="s">
        <v>647</v>
      </c>
      <c r="L124" t="s">
        <v>170</v>
      </c>
      <c r="M124" t="s">
        <v>240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240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138.36000000000001</v>
      </c>
      <c r="AN124">
        <f>$H$124*$T$124</f>
        <v>138.36000000000001</v>
      </c>
      <c r="AO124">
        <f>$H$124*$U$124</f>
        <v>138.36000000000001</v>
      </c>
      <c r="AP124">
        <f>$H$124*$V$124</f>
        <v>138.36000000000001</v>
      </c>
      <c r="AQ124">
        <f>$H$124*$W$124</f>
        <v>138.36000000000001</v>
      </c>
      <c r="AR124">
        <f>$H$124*$X$124</f>
        <v>138.36000000000001</v>
      </c>
      <c r="AS124">
        <f>$H$124*$Y$124</f>
        <v>138.36000000000001</v>
      </c>
      <c r="AT124">
        <f>$H$124*$Z$124</f>
        <v>138.36000000000001</v>
      </c>
      <c r="AU124">
        <f>$H$124*$AA$124</f>
        <v>138.36000000000001</v>
      </c>
      <c r="AV124">
        <f>$H$124*$AB$124</f>
        <v>138.36000000000001</v>
      </c>
      <c r="AW124">
        <f>$H$124*$AC$124</f>
        <v>138.36000000000001</v>
      </c>
      <c r="AX124">
        <f>$H$124*$AD$124</f>
        <v>138.36000000000001</v>
      </c>
      <c r="AY124">
        <f>$H$124*$AE$124</f>
        <v>138.36000000000001</v>
      </c>
      <c r="AZ124">
        <f>$H$124*$AF$124</f>
        <v>138.36000000000001</v>
      </c>
    </row>
    <row r="125" spans="1:52" x14ac:dyDescent="0.25">
      <c r="A125">
        <v>172</v>
      </c>
      <c r="B125" t="s">
        <v>465</v>
      </c>
      <c r="C125" t="s">
        <v>324</v>
      </c>
      <c r="D125">
        <v>2</v>
      </c>
      <c r="E125">
        <v>32.159999999999997</v>
      </c>
      <c r="F125" t="s">
        <v>265</v>
      </c>
      <c r="G125">
        <v>16.079999999999998</v>
      </c>
      <c r="H125">
        <v>38.6</v>
      </c>
      <c r="I125" t="s">
        <v>267</v>
      </c>
      <c r="J125" t="s">
        <v>325</v>
      </c>
      <c r="K125" t="s">
        <v>404</v>
      </c>
      <c r="L125" t="s">
        <v>170</v>
      </c>
      <c r="M125" t="s">
        <v>465</v>
      </c>
      <c r="N125" t="s">
        <v>12</v>
      </c>
      <c r="O125" t="s">
        <v>466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465</v>
      </c>
      <c r="AH125" t="s">
        <v>12</v>
      </c>
      <c r="AI125" t="s">
        <v>466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38.6</v>
      </c>
      <c r="AS125">
        <f>$H$125*$Y$125</f>
        <v>38.6</v>
      </c>
      <c r="AT125">
        <f>$H$125*$Z$125</f>
        <v>38.6</v>
      </c>
      <c r="AU125">
        <f>$H$125*$AA$125</f>
        <v>38.6</v>
      </c>
      <c r="AV125">
        <f>$H$125*$AB$125</f>
        <v>38.6</v>
      </c>
      <c r="AW125">
        <f>$H$125*$AC$125</f>
        <v>38.6</v>
      </c>
      <c r="AX125">
        <f>$H$125*$AD$125</f>
        <v>38.6</v>
      </c>
      <c r="AY125">
        <f>$H$125*$AE$125</f>
        <v>38.6</v>
      </c>
      <c r="AZ125">
        <f>$H$125*$AF$125</f>
        <v>38.6</v>
      </c>
    </row>
    <row r="126" spans="1:52" x14ac:dyDescent="0.25">
      <c r="A126">
        <v>173</v>
      </c>
      <c r="B126" t="s">
        <v>465</v>
      </c>
      <c r="C126" t="s">
        <v>330</v>
      </c>
      <c r="D126">
        <v>1</v>
      </c>
      <c r="E126">
        <v>37.28</v>
      </c>
      <c r="F126" t="s">
        <v>265</v>
      </c>
      <c r="G126">
        <v>37.28</v>
      </c>
      <c r="H126">
        <v>44.74</v>
      </c>
      <c r="I126" t="s">
        <v>267</v>
      </c>
      <c r="J126" t="s">
        <v>331</v>
      </c>
      <c r="K126" t="s">
        <v>407</v>
      </c>
      <c r="L126" t="s">
        <v>170</v>
      </c>
      <c r="M126" t="s">
        <v>465</v>
      </c>
      <c r="N126" t="s">
        <v>12</v>
      </c>
      <c r="O126" t="s">
        <v>466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0.6</v>
      </c>
      <c r="Y126">
        <v>0.6</v>
      </c>
      <c r="Z126">
        <v>0.6</v>
      </c>
      <c r="AA126">
        <v>0.6</v>
      </c>
      <c r="AB126">
        <v>0.6</v>
      </c>
      <c r="AC126">
        <v>0.6</v>
      </c>
      <c r="AD126">
        <v>1</v>
      </c>
      <c r="AE126">
        <v>1</v>
      </c>
      <c r="AF126">
        <v>1</v>
      </c>
      <c r="AG126" t="s">
        <v>465</v>
      </c>
      <c r="AH126" t="s">
        <v>12</v>
      </c>
      <c r="AI126" t="s">
        <v>466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26.844000000000001</v>
      </c>
      <c r="AS126">
        <f>$H$126*$Y$126</f>
        <v>26.844000000000001</v>
      </c>
      <c r="AT126">
        <f>$H$126*$Z$126</f>
        <v>26.844000000000001</v>
      </c>
      <c r="AU126">
        <f>$H$126*$AA$126</f>
        <v>26.844000000000001</v>
      </c>
      <c r="AV126">
        <f>$H$126*$AB$126</f>
        <v>26.844000000000001</v>
      </c>
      <c r="AW126">
        <f>$H$126*$AC$126</f>
        <v>26.844000000000001</v>
      </c>
      <c r="AX126">
        <f>$H$126*$AD$126</f>
        <v>44.74</v>
      </c>
      <c r="AY126">
        <f>$H$126*$AE$126</f>
        <v>44.74</v>
      </c>
      <c r="AZ126">
        <f>$H$126*$AF$126</f>
        <v>44.74</v>
      </c>
    </row>
    <row r="127" spans="1:52" x14ac:dyDescent="0.25">
      <c r="A127">
        <v>174</v>
      </c>
      <c r="B127" t="s">
        <v>465</v>
      </c>
      <c r="C127" t="s">
        <v>537</v>
      </c>
      <c r="D127">
        <v>1</v>
      </c>
      <c r="E127">
        <v>46.63</v>
      </c>
      <c r="F127" t="s">
        <v>265</v>
      </c>
      <c r="G127">
        <v>46.63</v>
      </c>
      <c r="H127">
        <v>55.95</v>
      </c>
      <c r="I127" t="s">
        <v>289</v>
      </c>
      <c r="J127" t="s">
        <v>538</v>
      </c>
      <c r="K127" t="s">
        <v>650</v>
      </c>
      <c r="L127" t="s">
        <v>170</v>
      </c>
      <c r="M127" t="s">
        <v>465</v>
      </c>
      <c r="N127" t="s">
        <v>12</v>
      </c>
      <c r="O127" t="s">
        <v>466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465</v>
      </c>
      <c r="AH127" t="s">
        <v>12</v>
      </c>
      <c r="AI127" t="s">
        <v>466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55.95</v>
      </c>
      <c r="AV127">
        <f>$H$127*$AB$127</f>
        <v>55.95</v>
      </c>
      <c r="AW127">
        <f>$H$127*$AC$127</f>
        <v>55.95</v>
      </c>
      <c r="AX127">
        <f>$H$127*$AD$127</f>
        <v>55.95</v>
      </c>
      <c r="AY127">
        <f>$H$127*$AE$127</f>
        <v>55.95</v>
      </c>
      <c r="AZ127">
        <f>$H$127*$AF$127</f>
        <v>55.95</v>
      </c>
    </row>
    <row r="128" spans="1:52" x14ac:dyDescent="0.25">
      <c r="A128">
        <v>175</v>
      </c>
      <c r="B128" t="s">
        <v>465</v>
      </c>
      <c r="C128" t="s">
        <v>279</v>
      </c>
      <c r="D128">
        <v>15</v>
      </c>
      <c r="E128">
        <v>115.95</v>
      </c>
      <c r="F128" t="s">
        <v>262</v>
      </c>
      <c r="G128">
        <v>7.73</v>
      </c>
      <c r="H128">
        <v>139.15</v>
      </c>
      <c r="I128" t="s">
        <v>263</v>
      </c>
      <c r="J128" t="s">
        <v>280</v>
      </c>
      <c r="K128" t="s">
        <v>385</v>
      </c>
      <c r="L128" t="s">
        <v>170</v>
      </c>
      <c r="M128" t="s">
        <v>465</v>
      </c>
      <c r="N128" t="s">
        <v>12</v>
      </c>
      <c r="O128" t="s">
        <v>466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465</v>
      </c>
      <c r="AH128" t="s">
        <v>12</v>
      </c>
      <c r="AI128" t="s">
        <v>466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139.15</v>
      </c>
      <c r="AV128">
        <f>$H$128*$AB$128</f>
        <v>139.15</v>
      </c>
      <c r="AW128">
        <f>$H$128*$AC$128</f>
        <v>139.15</v>
      </c>
      <c r="AX128">
        <f>$H$128*$AD$128</f>
        <v>139.15</v>
      </c>
      <c r="AY128">
        <f>$H$128*$AE$128</f>
        <v>139.15</v>
      </c>
      <c r="AZ128">
        <f>$H$128*$AF$128</f>
        <v>139.15</v>
      </c>
    </row>
    <row r="129" spans="1:52" x14ac:dyDescent="0.25">
      <c r="A129">
        <v>176</v>
      </c>
      <c r="B129" t="s">
        <v>465</v>
      </c>
      <c r="C129" t="s">
        <v>281</v>
      </c>
      <c r="D129">
        <v>15</v>
      </c>
      <c r="E129">
        <v>192.3</v>
      </c>
      <c r="F129" t="s">
        <v>262</v>
      </c>
      <c r="G129">
        <v>12.82</v>
      </c>
      <c r="H129">
        <v>230.76</v>
      </c>
      <c r="I129" t="s">
        <v>264</v>
      </c>
      <c r="J129" t="s">
        <v>282</v>
      </c>
      <c r="K129" t="s">
        <v>386</v>
      </c>
      <c r="L129" t="s">
        <v>170</v>
      </c>
      <c r="M129" t="s">
        <v>465</v>
      </c>
      <c r="N129" t="s">
        <v>12</v>
      </c>
      <c r="O129" t="s">
        <v>466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465</v>
      </c>
      <c r="AH129" t="s">
        <v>12</v>
      </c>
      <c r="AI129" t="s">
        <v>466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230.76</v>
      </c>
      <c r="AV129">
        <f>$H$129*$AB$129</f>
        <v>230.76</v>
      </c>
      <c r="AW129">
        <f>$H$129*$AC$129</f>
        <v>230.76</v>
      </c>
      <c r="AX129">
        <f>$H$129*$AD$129</f>
        <v>230.76</v>
      </c>
      <c r="AY129">
        <f>$H$129*$AE$129</f>
        <v>230.76</v>
      </c>
      <c r="AZ129">
        <f>$H$129*$AF$129</f>
        <v>230.76</v>
      </c>
    </row>
    <row r="130" spans="1:52" x14ac:dyDescent="0.25">
      <c r="A130">
        <v>177</v>
      </c>
      <c r="B130" t="s">
        <v>465</v>
      </c>
      <c r="C130" t="s">
        <v>539</v>
      </c>
      <c r="D130">
        <v>1</v>
      </c>
      <c r="E130">
        <v>43.95</v>
      </c>
      <c r="F130" t="s">
        <v>265</v>
      </c>
      <c r="G130">
        <v>43.95</v>
      </c>
      <c r="H130">
        <v>52.75</v>
      </c>
      <c r="I130" t="s">
        <v>289</v>
      </c>
      <c r="J130" t="s">
        <v>540</v>
      </c>
      <c r="K130" t="s">
        <v>651</v>
      </c>
      <c r="L130" t="s">
        <v>170</v>
      </c>
      <c r="M130" t="s">
        <v>465</v>
      </c>
      <c r="N130" t="s">
        <v>12</v>
      </c>
      <c r="O130" t="s">
        <v>466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465</v>
      </c>
      <c r="AH130" t="s">
        <v>12</v>
      </c>
      <c r="AI130" t="s">
        <v>466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52.75</v>
      </c>
      <c r="AV130">
        <f>$H$130*$AB$130</f>
        <v>52.75</v>
      </c>
      <c r="AW130">
        <f>$H$130*$AC$130</f>
        <v>52.75</v>
      </c>
      <c r="AX130">
        <f>$H$130*$AD$130</f>
        <v>52.75</v>
      </c>
      <c r="AY130">
        <f>$H$130*$AE$130</f>
        <v>52.75</v>
      </c>
      <c r="AZ130">
        <f>$H$130*$AF$130</f>
        <v>52.75</v>
      </c>
    </row>
    <row r="131" spans="1:52" x14ac:dyDescent="0.25">
      <c r="A131">
        <v>178</v>
      </c>
      <c r="B131" t="s">
        <v>465</v>
      </c>
      <c r="C131" t="s">
        <v>326</v>
      </c>
      <c r="D131">
        <v>6</v>
      </c>
      <c r="E131">
        <v>114.06</v>
      </c>
      <c r="F131" t="s">
        <v>275</v>
      </c>
      <c r="G131">
        <v>19.010000000000002</v>
      </c>
      <c r="H131">
        <v>136.88</v>
      </c>
      <c r="I131" t="s">
        <v>327</v>
      </c>
      <c r="J131" t="s">
        <v>309</v>
      </c>
      <c r="K131" t="s">
        <v>405</v>
      </c>
      <c r="L131" t="s">
        <v>170</v>
      </c>
      <c r="M131" t="s">
        <v>465</v>
      </c>
      <c r="N131" t="s">
        <v>12</v>
      </c>
      <c r="O131" t="s">
        <v>466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465</v>
      </c>
      <c r="AH131" t="s">
        <v>12</v>
      </c>
      <c r="AI131" t="s">
        <v>466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136.88</v>
      </c>
      <c r="AV131">
        <f>$H$131*$AB$131</f>
        <v>136.88</v>
      </c>
      <c r="AW131">
        <f>$H$131*$AC$131</f>
        <v>136.88</v>
      </c>
      <c r="AX131">
        <f>$H$131*$AD$131</f>
        <v>136.88</v>
      </c>
      <c r="AY131">
        <f>$H$131*$AE$131</f>
        <v>136.88</v>
      </c>
      <c r="AZ131">
        <f>$H$131*$AF$131</f>
        <v>136.88</v>
      </c>
    </row>
    <row r="132" spans="1:52" x14ac:dyDescent="0.25">
      <c r="A132">
        <v>179</v>
      </c>
      <c r="B132" t="s">
        <v>465</v>
      </c>
      <c r="C132" t="s">
        <v>541</v>
      </c>
      <c r="D132">
        <v>1</v>
      </c>
      <c r="E132">
        <v>298.45999999999998</v>
      </c>
      <c r="F132" t="s">
        <v>265</v>
      </c>
      <c r="G132">
        <v>298.45999999999998</v>
      </c>
      <c r="H132">
        <v>358.16</v>
      </c>
      <c r="I132" t="s">
        <v>332</v>
      </c>
      <c r="J132" t="s">
        <v>542</v>
      </c>
      <c r="K132" t="s">
        <v>652</v>
      </c>
      <c r="L132" t="s">
        <v>170</v>
      </c>
      <c r="M132" t="s">
        <v>465</v>
      </c>
      <c r="N132" t="s">
        <v>12</v>
      </c>
      <c r="O132" t="s">
        <v>466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465</v>
      </c>
      <c r="AH132" t="s">
        <v>12</v>
      </c>
      <c r="AI132" t="s">
        <v>466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358.16</v>
      </c>
      <c r="AW132">
        <f>$H$132*$AC$132</f>
        <v>358.16</v>
      </c>
      <c r="AX132">
        <f>$H$132*$AD$132</f>
        <v>358.16</v>
      </c>
      <c r="AY132">
        <f>$H$132*$AE$132</f>
        <v>358.16</v>
      </c>
      <c r="AZ132">
        <f>$H$132*$AF$132</f>
        <v>358.16</v>
      </c>
    </row>
    <row r="133" spans="1:52" x14ac:dyDescent="0.25">
      <c r="A133">
        <v>180</v>
      </c>
      <c r="B133" t="s">
        <v>465</v>
      </c>
      <c r="C133" t="s">
        <v>508</v>
      </c>
      <c r="D133">
        <v>0.75</v>
      </c>
      <c r="E133">
        <v>557.66999999999996</v>
      </c>
      <c r="F133" t="s">
        <v>265</v>
      </c>
      <c r="G133">
        <v>743.56</v>
      </c>
      <c r="H133">
        <v>669.21</v>
      </c>
      <c r="I133" t="s">
        <v>276</v>
      </c>
      <c r="J133" t="s">
        <v>509</v>
      </c>
      <c r="K133" t="s">
        <v>634</v>
      </c>
      <c r="L133" t="s">
        <v>170</v>
      </c>
      <c r="M133" t="s">
        <v>465</v>
      </c>
      <c r="N133" t="s">
        <v>12</v>
      </c>
      <c r="O133" t="s">
        <v>466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465</v>
      </c>
      <c r="AH133" t="s">
        <v>12</v>
      </c>
      <c r="AI133" t="s">
        <v>466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669.21</v>
      </c>
      <c r="AT133">
        <f>$H$133*$Z$133</f>
        <v>669.21</v>
      </c>
      <c r="AU133">
        <f>$H$133*$AA$133</f>
        <v>669.21</v>
      </c>
      <c r="AV133">
        <f>$H$133*$AB$133</f>
        <v>669.21</v>
      </c>
      <c r="AW133">
        <f>$H$133*$AC$133</f>
        <v>669.21</v>
      </c>
      <c r="AX133">
        <f>$H$133*$AD$133</f>
        <v>669.21</v>
      </c>
      <c r="AY133">
        <f>$H$133*$AE$133</f>
        <v>669.21</v>
      </c>
      <c r="AZ133">
        <f>$H$133*$AF$133</f>
        <v>669.21</v>
      </c>
    </row>
    <row r="134" spans="1:52" x14ac:dyDescent="0.25">
      <c r="A134">
        <v>181</v>
      </c>
      <c r="B134" t="s">
        <v>465</v>
      </c>
      <c r="C134" t="s">
        <v>508</v>
      </c>
      <c r="D134">
        <v>0.25</v>
      </c>
      <c r="E134">
        <v>185.89</v>
      </c>
      <c r="F134" t="s">
        <v>265</v>
      </c>
      <c r="G134">
        <v>743.56</v>
      </c>
      <c r="H134">
        <v>223.07</v>
      </c>
      <c r="I134" t="s">
        <v>276</v>
      </c>
      <c r="J134" t="s">
        <v>509</v>
      </c>
      <c r="K134" t="s">
        <v>634</v>
      </c>
      <c r="L134" t="s">
        <v>170</v>
      </c>
      <c r="M134" t="s">
        <v>465</v>
      </c>
      <c r="N134" t="s">
        <v>12</v>
      </c>
      <c r="O134" t="s">
        <v>466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465</v>
      </c>
      <c r="AH134" t="s">
        <v>12</v>
      </c>
      <c r="AI134" t="s">
        <v>466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223.07</v>
      </c>
      <c r="AT134">
        <f>$H$134*$Z$134</f>
        <v>223.07</v>
      </c>
      <c r="AU134">
        <f>$H$134*$AA$134</f>
        <v>223.07</v>
      </c>
      <c r="AV134">
        <f>$H$134*$AB$134</f>
        <v>223.07</v>
      </c>
      <c r="AW134">
        <f>$H$134*$AC$134</f>
        <v>223.07</v>
      </c>
      <c r="AX134">
        <f>$H$134*$AD$134</f>
        <v>223.07</v>
      </c>
      <c r="AY134">
        <f>$H$134*$AE$134</f>
        <v>223.07</v>
      </c>
      <c r="AZ134">
        <f>$H$134*$AF$134</f>
        <v>223.07</v>
      </c>
    </row>
    <row r="135" spans="1:52" x14ac:dyDescent="0.25">
      <c r="A135">
        <v>182</v>
      </c>
      <c r="B135" t="s">
        <v>465</v>
      </c>
      <c r="C135" t="s">
        <v>543</v>
      </c>
      <c r="D135">
        <v>1</v>
      </c>
      <c r="E135">
        <v>82.72</v>
      </c>
      <c r="F135" t="s">
        <v>265</v>
      </c>
      <c r="G135">
        <v>82.72</v>
      </c>
      <c r="H135">
        <v>99.26</v>
      </c>
      <c r="I135" t="s">
        <v>276</v>
      </c>
      <c r="J135" t="s">
        <v>544</v>
      </c>
      <c r="K135" t="s">
        <v>653</v>
      </c>
      <c r="L135" t="s">
        <v>170</v>
      </c>
      <c r="M135" t="s">
        <v>465</v>
      </c>
      <c r="N135" t="s">
        <v>12</v>
      </c>
      <c r="O135" t="s">
        <v>466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465</v>
      </c>
      <c r="AH135" t="s">
        <v>12</v>
      </c>
      <c r="AI135" t="s">
        <v>466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99.26</v>
      </c>
      <c r="AT135">
        <f>$H$135*$Z$135</f>
        <v>99.26</v>
      </c>
      <c r="AU135">
        <f>$H$135*$AA$135</f>
        <v>99.26</v>
      </c>
      <c r="AV135">
        <f>$H$135*$AB$135</f>
        <v>99.26</v>
      </c>
      <c r="AW135">
        <f>$H$135*$AC$135</f>
        <v>99.26</v>
      </c>
      <c r="AX135">
        <f>$H$135*$AD$135</f>
        <v>99.26</v>
      </c>
      <c r="AY135">
        <f>$H$135*$AE$135</f>
        <v>99.26</v>
      </c>
      <c r="AZ135">
        <f>$H$135*$AF$135</f>
        <v>99.26</v>
      </c>
    </row>
    <row r="136" spans="1:52" x14ac:dyDescent="0.25">
      <c r="A136">
        <v>183</v>
      </c>
      <c r="B136" t="s">
        <v>465</v>
      </c>
      <c r="C136" t="s">
        <v>545</v>
      </c>
      <c r="D136">
        <v>1</v>
      </c>
      <c r="E136">
        <v>745.6</v>
      </c>
      <c r="F136" t="s">
        <v>265</v>
      </c>
      <c r="G136">
        <v>745.6</v>
      </c>
      <c r="H136">
        <v>894.72</v>
      </c>
      <c r="I136" t="s">
        <v>276</v>
      </c>
      <c r="J136" t="s">
        <v>546</v>
      </c>
      <c r="K136" t="s">
        <v>654</v>
      </c>
      <c r="L136" t="s">
        <v>170</v>
      </c>
      <c r="M136" t="s">
        <v>465</v>
      </c>
      <c r="N136" t="s">
        <v>12</v>
      </c>
      <c r="O136" t="s">
        <v>466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465</v>
      </c>
      <c r="AH136" t="s">
        <v>12</v>
      </c>
      <c r="AI136" t="s">
        <v>466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894.72</v>
      </c>
      <c r="AT136">
        <f>$H$136*$Z$136</f>
        <v>894.72</v>
      </c>
      <c r="AU136">
        <f>$H$136*$AA$136</f>
        <v>894.72</v>
      </c>
      <c r="AV136">
        <f>$H$136*$AB$136</f>
        <v>894.72</v>
      </c>
      <c r="AW136">
        <f>$H$136*$AC$136</f>
        <v>894.72</v>
      </c>
      <c r="AX136">
        <f>$H$136*$AD$136</f>
        <v>894.72</v>
      </c>
      <c r="AY136">
        <f>$H$136*$AE$136</f>
        <v>894.72</v>
      </c>
      <c r="AZ136">
        <f>$H$136*$AF$136</f>
        <v>894.72</v>
      </c>
    </row>
    <row r="137" spans="1:52" x14ac:dyDescent="0.25">
      <c r="A137">
        <v>184</v>
      </c>
      <c r="B137" t="s">
        <v>465</v>
      </c>
      <c r="C137" t="s">
        <v>328</v>
      </c>
      <c r="D137">
        <v>10</v>
      </c>
      <c r="E137">
        <v>79.7</v>
      </c>
      <c r="F137" t="s">
        <v>262</v>
      </c>
      <c r="G137">
        <v>7.97</v>
      </c>
      <c r="H137">
        <v>95.64</v>
      </c>
      <c r="I137" t="s">
        <v>273</v>
      </c>
      <c r="J137" t="s">
        <v>329</v>
      </c>
      <c r="K137" t="s">
        <v>406</v>
      </c>
      <c r="L137" t="s">
        <v>170</v>
      </c>
      <c r="M137" t="s">
        <v>465</v>
      </c>
      <c r="N137" t="s">
        <v>12</v>
      </c>
      <c r="O137" t="s">
        <v>466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465</v>
      </c>
      <c r="AH137" t="s">
        <v>12</v>
      </c>
      <c r="AI137" t="s">
        <v>466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95.64</v>
      </c>
      <c r="AY137">
        <f>$H$137*$AE$137</f>
        <v>95.64</v>
      </c>
      <c r="AZ137">
        <f>$H$137*$AF$137</f>
        <v>95.64</v>
      </c>
    </row>
    <row r="138" spans="1:52" x14ac:dyDescent="0.25">
      <c r="A138">
        <v>185</v>
      </c>
      <c r="B138" t="s">
        <v>465</v>
      </c>
      <c r="C138" t="s">
        <v>551</v>
      </c>
      <c r="D138">
        <v>1</v>
      </c>
      <c r="E138">
        <v>201.77</v>
      </c>
      <c r="F138" t="s">
        <v>265</v>
      </c>
      <c r="G138">
        <v>201.77</v>
      </c>
      <c r="H138">
        <v>242.13</v>
      </c>
      <c r="I138" t="s">
        <v>273</v>
      </c>
      <c r="J138" t="s">
        <v>552</v>
      </c>
      <c r="K138" t="s">
        <v>657</v>
      </c>
      <c r="L138" t="s">
        <v>170</v>
      </c>
      <c r="M138" t="s">
        <v>465</v>
      </c>
      <c r="N138" t="s">
        <v>12</v>
      </c>
      <c r="O138" t="s">
        <v>466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465</v>
      </c>
      <c r="AH138" t="s">
        <v>12</v>
      </c>
      <c r="AI138" t="s">
        <v>466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242.13</v>
      </c>
      <c r="AY138">
        <f>$H$138*$AE$138</f>
        <v>242.13</v>
      </c>
      <c r="AZ138">
        <f>$H$138*$AF$138</f>
        <v>242.13</v>
      </c>
    </row>
    <row r="139" spans="1:52" x14ac:dyDescent="0.25">
      <c r="A139">
        <v>186</v>
      </c>
      <c r="B139" t="s">
        <v>465</v>
      </c>
      <c r="C139" t="s">
        <v>565</v>
      </c>
      <c r="D139">
        <v>1</v>
      </c>
      <c r="E139">
        <v>147.11000000000001</v>
      </c>
      <c r="F139" t="s">
        <v>265</v>
      </c>
      <c r="G139">
        <v>147.11000000000001</v>
      </c>
      <c r="H139">
        <v>176.53</v>
      </c>
      <c r="I139" t="s">
        <v>270</v>
      </c>
      <c r="J139" t="s">
        <v>566</v>
      </c>
      <c r="K139" t="s">
        <v>664</v>
      </c>
      <c r="L139" t="s">
        <v>170</v>
      </c>
      <c r="M139" t="s">
        <v>465</v>
      </c>
      <c r="N139" t="s">
        <v>12</v>
      </c>
      <c r="O139" t="s">
        <v>466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1</v>
      </c>
      <c r="AE139">
        <v>1</v>
      </c>
      <c r="AF139">
        <v>1</v>
      </c>
      <c r="AG139" t="s">
        <v>465</v>
      </c>
      <c r="AH139" t="s">
        <v>12</v>
      </c>
      <c r="AI139" t="s">
        <v>466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0</v>
      </c>
      <c r="AV139">
        <f>$H$139*$AB$139</f>
        <v>0</v>
      </c>
      <c r="AW139">
        <f>$H$139*$AC$139</f>
        <v>0</v>
      </c>
      <c r="AX139">
        <f>$H$139*$AD$139</f>
        <v>176.53</v>
      </c>
      <c r="AY139">
        <f>$H$139*$AE$139</f>
        <v>176.53</v>
      </c>
      <c r="AZ139">
        <f>$H$139*$AF$139</f>
        <v>176.53</v>
      </c>
    </row>
    <row r="140" spans="1:52" x14ac:dyDescent="0.25">
      <c r="A140">
        <v>187</v>
      </c>
      <c r="B140" t="s">
        <v>465</v>
      </c>
      <c r="C140" t="s">
        <v>288</v>
      </c>
      <c r="D140">
        <v>1</v>
      </c>
      <c r="E140">
        <v>63.54</v>
      </c>
      <c r="F140" t="s">
        <v>265</v>
      </c>
      <c r="G140">
        <v>63.54</v>
      </c>
      <c r="H140">
        <v>76.239999999999995</v>
      </c>
      <c r="I140" t="s">
        <v>289</v>
      </c>
      <c r="J140" t="s">
        <v>290</v>
      </c>
      <c r="K140" t="s">
        <v>389</v>
      </c>
      <c r="L140" t="s">
        <v>170</v>
      </c>
      <c r="M140" t="s">
        <v>465</v>
      </c>
      <c r="N140" t="s">
        <v>12</v>
      </c>
      <c r="O140" t="s">
        <v>466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465</v>
      </c>
      <c r="AH140" t="s">
        <v>12</v>
      </c>
      <c r="AI140" t="s">
        <v>466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76.239999999999995</v>
      </c>
      <c r="AV140">
        <f>$H$140*$AB$140</f>
        <v>76.239999999999995</v>
      </c>
      <c r="AW140">
        <f>$H$140*$AC$140</f>
        <v>76.239999999999995</v>
      </c>
      <c r="AX140">
        <f>$H$140*$AD$140</f>
        <v>76.239999999999995</v>
      </c>
      <c r="AY140">
        <f>$H$140*$AE$140</f>
        <v>76.239999999999995</v>
      </c>
      <c r="AZ140">
        <f>$H$140*$AF$140</f>
        <v>76.239999999999995</v>
      </c>
    </row>
    <row r="141" spans="1:52" x14ac:dyDescent="0.25">
      <c r="A141">
        <v>188</v>
      </c>
      <c r="B141" t="s">
        <v>465</v>
      </c>
      <c r="C141" t="s">
        <v>296</v>
      </c>
      <c r="D141">
        <v>2</v>
      </c>
      <c r="E141">
        <v>126.18</v>
      </c>
      <c r="F141" t="s">
        <v>265</v>
      </c>
      <c r="G141">
        <v>63.09</v>
      </c>
      <c r="H141">
        <v>151.41999999999999</v>
      </c>
      <c r="I141" t="s">
        <v>263</v>
      </c>
      <c r="J141" t="s">
        <v>292</v>
      </c>
      <c r="K141" t="s">
        <v>392</v>
      </c>
      <c r="L141" t="s">
        <v>170</v>
      </c>
      <c r="M141" t="s">
        <v>465</v>
      </c>
      <c r="N141" t="s">
        <v>12</v>
      </c>
      <c r="O141" t="s">
        <v>466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465</v>
      </c>
      <c r="AH141" t="s">
        <v>12</v>
      </c>
      <c r="AI141" t="s">
        <v>466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151.41999999999999</v>
      </c>
      <c r="AN141">
        <f>$H$141*$T$141</f>
        <v>151.41999999999999</v>
      </c>
      <c r="AO141">
        <f>$H$141*$U$141</f>
        <v>151.41999999999999</v>
      </c>
      <c r="AP141">
        <f>$H$141*$V$141</f>
        <v>151.41999999999999</v>
      </c>
      <c r="AQ141">
        <f>$H$141*$W$141</f>
        <v>151.41999999999999</v>
      </c>
      <c r="AR141">
        <f>$H$141*$X$141</f>
        <v>151.41999999999999</v>
      </c>
      <c r="AS141">
        <f>$H$141*$Y$141</f>
        <v>151.41999999999999</v>
      </c>
      <c r="AT141">
        <f>$H$141*$Z$141</f>
        <v>151.41999999999999</v>
      </c>
      <c r="AU141">
        <f>$H$141*$AA$141</f>
        <v>151.41999999999999</v>
      </c>
      <c r="AV141">
        <f>$H$141*$AB$141</f>
        <v>151.41999999999999</v>
      </c>
      <c r="AW141">
        <f>$H$141*$AC$141</f>
        <v>151.41999999999999</v>
      </c>
      <c r="AX141">
        <f>$H$141*$AD$141</f>
        <v>151.41999999999999</v>
      </c>
      <c r="AY141">
        <f>$H$141*$AE$141</f>
        <v>151.41999999999999</v>
      </c>
      <c r="AZ141">
        <f>$H$141*$AF$141</f>
        <v>151.41999999999999</v>
      </c>
    </row>
    <row r="142" spans="1:52" x14ac:dyDescent="0.25">
      <c r="A142">
        <v>189</v>
      </c>
      <c r="B142" t="s">
        <v>465</v>
      </c>
      <c r="C142" t="s">
        <v>294</v>
      </c>
      <c r="D142">
        <v>2</v>
      </c>
      <c r="E142">
        <v>106.22</v>
      </c>
      <c r="F142" t="s">
        <v>265</v>
      </c>
      <c r="G142">
        <v>53.11</v>
      </c>
      <c r="H142">
        <v>127.46</v>
      </c>
      <c r="I142" t="s">
        <v>263</v>
      </c>
      <c r="J142" t="s">
        <v>295</v>
      </c>
      <c r="K142" t="s">
        <v>391</v>
      </c>
      <c r="L142" t="s">
        <v>170</v>
      </c>
      <c r="M142" t="s">
        <v>465</v>
      </c>
      <c r="N142" t="s">
        <v>12</v>
      </c>
      <c r="O142" t="s">
        <v>466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465</v>
      </c>
      <c r="AH142" t="s">
        <v>12</v>
      </c>
      <c r="AI142" t="s">
        <v>466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127.46</v>
      </c>
      <c r="AN142">
        <f>$H$142*$T$142</f>
        <v>127.46</v>
      </c>
      <c r="AO142">
        <f>$H$142*$U$142</f>
        <v>127.46</v>
      </c>
      <c r="AP142">
        <f>$H$142*$V$142</f>
        <v>127.46</v>
      </c>
      <c r="AQ142">
        <f>$H$142*$W$142</f>
        <v>127.46</v>
      </c>
      <c r="AR142">
        <f>$H$142*$X$142</f>
        <v>127.46</v>
      </c>
      <c r="AS142">
        <f>$H$142*$Y$142</f>
        <v>127.46</v>
      </c>
      <c r="AT142">
        <f>$H$142*$Z$142</f>
        <v>127.46</v>
      </c>
      <c r="AU142">
        <f>$H$142*$AA$142</f>
        <v>127.46</v>
      </c>
      <c r="AV142">
        <f>$H$142*$AB$142</f>
        <v>127.46</v>
      </c>
      <c r="AW142">
        <f>$H$142*$AC$142</f>
        <v>127.46</v>
      </c>
      <c r="AX142">
        <f>$H$142*$AD$142</f>
        <v>127.46</v>
      </c>
      <c r="AY142">
        <f>$H$142*$AE$142</f>
        <v>127.46</v>
      </c>
      <c r="AZ142">
        <f>$H$142*$AF$142</f>
        <v>127.46</v>
      </c>
    </row>
    <row r="143" spans="1:52" x14ac:dyDescent="0.25">
      <c r="A143">
        <v>190</v>
      </c>
      <c r="B143" t="s">
        <v>465</v>
      </c>
      <c r="C143" t="s">
        <v>291</v>
      </c>
      <c r="D143">
        <v>1</v>
      </c>
      <c r="E143">
        <v>410.31</v>
      </c>
      <c r="F143" t="s">
        <v>265</v>
      </c>
      <c r="G143">
        <v>410.31</v>
      </c>
      <c r="H143">
        <v>492.37</v>
      </c>
      <c r="I143" t="s">
        <v>292</v>
      </c>
      <c r="J143" t="s">
        <v>293</v>
      </c>
      <c r="K143" t="s">
        <v>390</v>
      </c>
      <c r="L143" t="s">
        <v>170</v>
      </c>
      <c r="M143" t="s">
        <v>465</v>
      </c>
      <c r="N143" t="s">
        <v>12</v>
      </c>
      <c r="O143" t="s">
        <v>466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465</v>
      </c>
      <c r="AH143" t="s">
        <v>12</v>
      </c>
      <c r="AI143" t="s">
        <v>466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492.37</v>
      </c>
      <c r="AO143">
        <f>$H$143*$U$143</f>
        <v>492.37</v>
      </c>
      <c r="AP143">
        <f>$H$143*$V$143</f>
        <v>492.37</v>
      </c>
      <c r="AQ143">
        <f>$H$143*$W$143</f>
        <v>492.37</v>
      </c>
      <c r="AR143">
        <f>$H$143*$X$143</f>
        <v>492.37</v>
      </c>
      <c r="AS143">
        <f>$H$143*$Y$143</f>
        <v>492.37</v>
      </c>
      <c r="AT143">
        <f>$H$143*$Z$143</f>
        <v>492.37</v>
      </c>
      <c r="AU143">
        <f>$H$143*$AA$143</f>
        <v>492.37</v>
      </c>
      <c r="AV143">
        <f>$H$143*$AB$143</f>
        <v>492.37</v>
      </c>
      <c r="AW143">
        <f>$H$143*$AC$143</f>
        <v>492.37</v>
      </c>
      <c r="AX143">
        <f>$H$143*$AD$143</f>
        <v>492.37</v>
      </c>
      <c r="AY143">
        <f>$H$143*$AE$143</f>
        <v>492.37</v>
      </c>
      <c r="AZ143">
        <f>$H$143*$AF$143</f>
        <v>492.37</v>
      </c>
    </row>
    <row r="144" spans="1:52" x14ac:dyDescent="0.25">
      <c r="A144">
        <v>191</v>
      </c>
      <c r="B144" t="s">
        <v>465</v>
      </c>
      <c r="C144" t="s">
        <v>559</v>
      </c>
      <c r="D144">
        <v>3</v>
      </c>
      <c r="E144">
        <v>987.87</v>
      </c>
      <c r="F144" t="s">
        <v>262</v>
      </c>
      <c r="G144">
        <v>329.29</v>
      </c>
      <c r="H144">
        <v>1185.45</v>
      </c>
      <c r="I144" t="s">
        <v>332</v>
      </c>
      <c r="J144" t="s">
        <v>560</v>
      </c>
      <c r="K144" t="s">
        <v>661</v>
      </c>
      <c r="L144" t="s">
        <v>170</v>
      </c>
      <c r="M144" t="s">
        <v>465</v>
      </c>
      <c r="N144" t="s">
        <v>12</v>
      </c>
      <c r="O144" t="s">
        <v>466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465</v>
      </c>
      <c r="AH144" t="s">
        <v>12</v>
      </c>
      <c r="AI144" t="s">
        <v>466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1185.45</v>
      </c>
      <c r="AO144">
        <f>$H$144*$U$144</f>
        <v>1185.45</v>
      </c>
      <c r="AP144">
        <f>$H$144*$V$144</f>
        <v>1185.45</v>
      </c>
      <c r="AQ144">
        <f>$H$144*$W$144</f>
        <v>1185.45</v>
      </c>
      <c r="AR144">
        <f>$H$144*$X$144</f>
        <v>1185.45</v>
      </c>
      <c r="AS144">
        <f>$H$144*$Y$144</f>
        <v>1185.45</v>
      </c>
      <c r="AT144">
        <f>$H$144*$Z$144</f>
        <v>1185.45</v>
      </c>
      <c r="AU144">
        <f>$H$144*$AA$144</f>
        <v>1185.45</v>
      </c>
      <c r="AV144">
        <f>$H$144*$AB$144</f>
        <v>1185.45</v>
      </c>
      <c r="AW144">
        <f>$H$144*$AC$144</f>
        <v>1185.45</v>
      </c>
      <c r="AX144">
        <f>$H$144*$AD$144</f>
        <v>1185.45</v>
      </c>
      <c r="AY144">
        <f>$H$144*$AE$144</f>
        <v>1185.45</v>
      </c>
      <c r="AZ144">
        <f>$H$144*$AF$144</f>
        <v>1185.45</v>
      </c>
    </row>
    <row r="145" spans="1:52" x14ac:dyDescent="0.25">
      <c r="A145">
        <v>192</v>
      </c>
      <c r="B145" t="s">
        <v>465</v>
      </c>
      <c r="C145" t="s">
        <v>333</v>
      </c>
      <c r="D145">
        <v>6</v>
      </c>
      <c r="E145">
        <v>610.67999999999995</v>
      </c>
      <c r="F145" t="s">
        <v>275</v>
      </c>
      <c r="G145">
        <v>101.78</v>
      </c>
      <c r="H145">
        <v>732.82</v>
      </c>
      <c r="I145" t="s">
        <v>332</v>
      </c>
      <c r="J145" t="s">
        <v>334</v>
      </c>
      <c r="K145" t="s">
        <v>408</v>
      </c>
      <c r="L145" t="s">
        <v>170</v>
      </c>
      <c r="M145" t="s">
        <v>465</v>
      </c>
      <c r="N145" t="s">
        <v>12</v>
      </c>
      <c r="O145" t="s">
        <v>466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465</v>
      </c>
      <c r="AH145" t="s">
        <v>12</v>
      </c>
      <c r="AI145" t="s">
        <v>466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732.82</v>
      </c>
      <c r="AU145">
        <f>$H$145*$AA$145</f>
        <v>732.82</v>
      </c>
      <c r="AV145">
        <f>$H$145*$AB$145</f>
        <v>732.82</v>
      </c>
      <c r="AW145">
        <f>$H$145*$AC$145</f>
        <v>732.82</v>
      </c>
      <c r="AX145">
        <f>$H$145*$AD$145</f>
        <v>732.82</v>
      </c>
      <c r="AY145">
        <f>$H$145*$AE$145</f>
        <v>732.82</v>
      </c>
      <c r="AZ145">
        <f>$H$145*$AF$145</f>
        <v>732.82</v>
      </c>
    </row>
    <row r="146" spans="1:52" x14ac:dyDescent="0.25">
      <c r="A146">
        <v>193</v>
      </c>
      <c r="B146" t="s">
        <v>465</v>
      </c>
      <c r="C146" t="s">
        <v>561</v>
      </c>
      <c r="D146">
        <v>1</v>
      </c>
      <c r="E146">
        <v>302.97000000000003</v>
      </c>
      <c r="F146" t="s">
        <v>265</v>
      </c>
      <c r="G146">
        <v>302.97000000000003</v>
      </c>
      <c r="H146">
        <v>363.57</v>
      </c>
      <c r="I146" t="s">
        <v>276</v>
      </c>
      <c r="J146" t="s">
        <v>562</v>
      </c>
      <c r="K146" t="s">
        <v>662</v>
      </c>
      <c r="L146" t="s">
        <v>170</v>
      </c>
      <c r="M146" t="s">
        <v>465</v>
      </c>
      <c r="N146" t="s">
        <v>12</v>
      </c>
      <c r="O146" t="s">
        <v>466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465</v>
      </c>
      <c r="AH146" t="s">
        <v>12</v>
      </c>
      <c r="AI146" t="s">
        <v>466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363.57</v>
      </c>
      <c r="AV146">
        <f>$H$146*$AB$146</f>
        <v>363.57</v>
      </c>
      <c r="AW146">
        <f>$H$146*$AC$146</f>
        <v>363.57</v>
      </c>
      <c r="AX146">
        <f>$H$146*$AD$146</f>
        <v>363.57</v>
      </c>
      <c r="AY146">
        <f>$H$146*$AE$146</f>
        <v>363.57</v>
      </c>
      <c r="AZ146">
        <f>$H$146*$AF$146</f>
        <v>363.57</v>
      </c>
    </row>
    <row r="147" spans="1:52" x14ac:dyDescent="0.25">
      <c r="A147">
        <v>194</v>
      </c>
      <c r="B147" t="s">
        <v>465</v>
      </c>
      <c r="C147" t="s">
        <v>508</v>
      </c>
      <c r="D147">
        <v>0.75</v>
      </c>
      <c r="E147">
        <v>557.66999999999996</v>
      </c>
      <c r="F147" t="s">
        <v>265</v>
      </c>
      <c r="G147">
        <v>743.56</v>
      </c>
      <c r="H147">
        <v>669.21</v>
      </c>
      <c r="I147" t="s">
        <v>276</v>
      </c>
      <c r="J147" t="s">
        <v>509</v>
      </c>
      <c r="K147" t="s">
        <v>634</v>
      </c>
      <c r="L147" t="s">
        <v>170</v>
      </c>
      <c r="M147" t="s">
        <v>465</v>
      </c>
      <c r="N147" t="s">
        <v>12</v>
      </c>
      <c r="O147" t="s">
        <v>466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465</v>
      </c>
      <c r="AH147" t="s">
        <v>12</v>
      </c>
      <c r="AI147" t="s">
        <v>466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669.21</v>
      </c>
      <c r="AT147">
        <f>$H$147*$Z$147</f>
        <v>669.21</v>
      </c>
      <c r="AU147">
        <f>$H$147*$AA$147</f>
        <v>669.21</v>
      </c>
      <c r="AV147">
        <f>$H$147*$AB$147</f>
        <v>669.21</v>
      </c>
      <c r="AW147">
        <f>$H$147*$AC$147</f>
        <v>669.21</v>
      </c>
      <c r="AX147">
        <f>$H$147*$AD$147</f>
        <v>669.21</v>
      </c>
      <c r="AY147">
        <f>$H$147*$AE$147</f>
        <v>669.21</v>
      </c>
      <c r="AZ147">
        <f>$H$147*$AF$147</f>
        <v>669.21</v>
      </c>
    </row>
    <row r="148" spans="1:52" x14ac:dyDescent="0.25">
      <c r="A148">
        <v>195</v>
      </c>
      <c r="B148" t="s">
        <v>465</v>
      </c>
      <c r="C148" t="s">
        <v>508</v>
      </c>
      <c r="D148">
        <v>0.25</v>
      </c>
      <c r="E148">
        <v>185.89</v>
      </c>
      <c r="F148" t="s">
        <v>265</v>
      </c>
      <c r="G148">
        <v>743.56</v>
      </c>
      <c r="H148">
        <v>223.07</v>
      </c>
      <c r="I148" t="s">
        <v>276</v>
      </c>
      <c r="J148" t="s">
        <v>509</v>
      </c>
      <c r="K148" t="s">
        <v>634</v>
      </c>
      <c r="L148" t="s">
        <v>170</v>
      </c>
      <c r="M148" t="s">
        <v>465</v>
      </c>
      <c r="N148" t="s">
        <v>12</v>
      </c>
      <c r="O148" t="s">
        <v>466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465</v>
      </c>
      <c r="AH148" t="s">
        <v>12</v>
      </c>
      <c r="AI148" t="s">
        <v>466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223.07</v>
      </c>
      <c r="AT148">
        <f>$H$148*$Z$148</f>
        <v>223.07</v>
      </c>
      <c r="AU148">
        <f>$H$148*$AA$148</f>
        <v>223.07</v>
      </c>
      <c r="AV148">
        <f>$H$148*$AB$148</f>
        <v>223.07</v>
      </c>
      <c r="AW148">
        <f>$H$148*$AC$148</f>
        <v>223.07</v>
      </c>
      <c r="AX148">
        <f>$H$148*$AD$148</f>
        <v>223.07</v>
      </c>
      <c r="AY148">
        <f>$H$148*$AE$148</f>
        <v>223.07</v>
      </c>
      <c r="AZ148">
        <f>$H$148*$AF$148</f>
        <v>223.07</v>
      </c>
    </row>
    <row r="149" spans="1:52" x14ac:dyDescent="0.25">
      <c r="A149">
        <v>196</v>
      </c>
      <c r="B149" t="s">
        <v>465</v>
      </c>
      <c r="C149" t="s">
        <v>563</v>
      </c>
      <c r="D149">
        <v>1</v>
      </c>
      <c r="E149">
        <v>444.71</v>
      </c>
      <c r="F149" t="s">
        <v>265</v>
      </c>
      <c r="G149">
        <v>444.71</v>
      </c>
      <c r="H149">
        <v>533.65</v>
      </c>
      <c r="I149" t="s">
        <v>276</v>
      </c>
      <c r="J149" t="s">
        <v>564</v>
      </c>
      <c r="K149" t="s">
        <v>663</v>
      </c>
      <c r="L149" t="s">
        <v>170</v>
      </c>
      <c r="M149" t="s">
        <v>465</v>
      </c>
      <c r="N149" t="s">
        <v>12</v>
      </c>
      <c r="O149" t="s">
        <v>466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465</v>
      </c>
      <c r="AH149" t="s">
        <v>12</v>
      </c>
      <c r="AI149" t="s">
        <v>466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533.65</v>
      </c>
      <c r="AV149">
        <f>$H$149*$AB$149</f>
        <v>533.65</v>
      </c>
      <c r="AW149">
        <f>$H$149*$AC$149</f>
        <v>533.65</v>
      </c>
      <c r="AX149">
        <f>$H$149*$AD$149</f>
        <v>533.65</v>
      </c>
      <c r="AY149">
        <f>$H$149*$AE$149</f>
        <v>533.65</v>
      </c>
      <c r="AZ149">
        <f>$H$149*$AF$149</f>
        <v>533.65</v>
      </c>
    </row>
    <row r="150" spans="1:52" x14ac:dyDescent="0.25">
      <c r="A150">
        <v>197</v>
      </c>
      <c r="B150" t="s">
        <v>465</v>
      </c>
      <c r="C150" t="s">
        <v>335</v>
      </c>
      <c r="D150">
        <v>6.8</v>
      </c>
      <c r="E150">
        <v>26.04</v>
      </c>
      <c r="F150" t="s">
        <v>262</v>
      </c>
      <c r="G150">
        <v>3.83</v>
      </c>
      <c r="H150">
        <v>31.24</v>
      </c>
      <c r="I150" t="s">
        <v>336</v>
      </c>
      <c r="J150" t="s">
        <v>337</v>
      </c>
      <c r="K150" t="s">
        <v>409</v>
      </c>
      <c r="L150" t="s">
        <v>170</v>
      </c>
      <c r="M150" t="s">
        <v>465</v>
      </c>
      <c r="N150" t="s">
        <v>12</v>
      </c>
      <c r="O150" t="s">
        <v>466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465</v>
      </c>
      <c r="AH150" t="s">
        <v>12</v>
      </c>
      <c r="AI150" t="s">
        <v>466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31.24</v>
      </c>
      <c r="AV150">
        <f>$H$150*$AB$150</f>
        <v>31.24</v>
      </c>
      <c r="AW150">
        <f>$H$150*$AC$150</f>
        <v>31.24</v>
      </c>
      <c r="AX150">
        <f>$H$150*$AD$150</f>
        <v>31.24</v>
      </c>
      <c r="AY150">
        <f>$H$150*$AE$150</f>
        <v>31.24</v>
      </c>
      <c r="AZ150">
        <f>$H$150*$AF$150</f>
        <v>31.24</v>
      </c>
    </row>
    <row r="151" spans="1:52" x14ac:dyDescent="0.25">
      <c r="A151">
        <v>198</v>
      </c>
      <c r="B151" t="s">
        <v>465</v>
      </c>
      <c r="C151" t="s">
        <v>338</v>
      </c>
      <c r="D151">
        <v>61.2</v>
      </c>
      <c r="E151">
        <v>202.57</v>
      </c>
      <c r="F151" t="s">
        <v>275</v>
      </c>
      <c r="G151">
        <v>3.31</v>
      </c>
      <c r="H151">
        <v>243.09</v>
      </c>
      <c r="I151" t="s">
        <v>336</v>
      </c>
      <c r="J151" t="s">
        <v>339</v>
      </c>
      <c r="K151" t="s">
        <v>410</v>
      </c>
      <c r="L151" t="s">
        <v>170</v>
      </c>
      <c r="M151" t="s">
        <v>465</v>
      </c>
      <c r="N151" t="s">
        <v>12</v>
      </c>
      <c r="O151" t="s">
        <v>466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465</v>
      </c>
      <c r="AH151" t="s">
        <v>12</v>
      </c>
      <c r="AI151" t="s">
        <v>466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243.09</v>
      </c>
      <c r="AN151">
        <f>$H$151*$T$151</f>
        <v>243.09</v>
      </c>
      <c r="AO151">
        <f>$H$151*$U$151</f>
        <v>243.09</v>
      </c>
      <c r="AP151">
        <f>$H$151*$V$151</f>
        <v>243.09</v>
      </c>
      <c r="AQ151">
        <f>$H$151*$W$151</f>
        <v>243.09</v>
      </c>
      <c r="AR151">
        <f>$H$151*$X$151</f>
        <v>243.09</v>
      </c>
      <c r="AS151">
        <f>$H$151*$Y$151</f>
        <v>243.09</v>
      </c>
      <c r="AT151">
        <f>$H$151*$Z$151</f>
        <v>243.09</v>
      </c>
      <c r="AU151">
        <f>$H$151*$AA$151</f>
        <v>243.09</v>
      </c>
      <c r="AV151">
        <f>$H$151*$AB$151</f>
        <v>243.09</v>
      </c>
      <c r="AW151">
        <f>$H$151*$AC$151</f>
        <v>243.09</v>
      </c>
      <c r="AX151">
        <f>$H$151*$AD$151</f>
        <v>243.09</v>
      </c>
      <c r="AY151">
        <f>$H$151*$AE$151</f>
        <v>243.09</v>
      </c>
      <c r="AZ151">
        <f>$H$151*$AF$151</f>
        <v>243.09</v>
      </c>
    </row>
    <row r="152" spans="1:52" x14ac:dyDescent="0.25">
      <c r="A152">
        <v>199</v>
      </c>
      <c r="B152" t="s">
        <v>465</v>
      </c>
      <c r="C152" t="s">
        <v>340</v>
      </c>
      <c r="D152">
        <v>61.2</v>
      </c>
      <c r="E152">
        <v>64.87</v>
      </c>
      <c r="F152" t="s">
        <v>275</v>
      </c>
      <c r="G152">
        <v>1.06</v>
      </c>
      <c r="H152">
        <v>77.849999999999994</v>
      </c>
      <c r="I152" t="s">
        <v>263</v>
      </c>
      <c r="J152" t="s">
        <v>341</v>
      </c>
      <c r="K152" t="s">
        <v>411</v>
      </c>
      <c r="L152" t="s">
        <v>170</v>
      </c>
      <c r="M152" t="s">
        <v>465</v>
      </c>
      <c r="N152" t="s">
        <v>12</v>
      </c>
      <c r="O152" t="s">
        <v>466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465</v>
      </c>
      <c r="AH152" t="s">
        <v>12</v>
      </c>
      <c r="AI152" t="s">
        <v>466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77.849999999999994</v>
      </c>
      <c r="AY152">
        <f>$H$152*$AE$152</f>
        <v>77.849999999999994</v>
      </c>
      <c r="AZ152">
        <f>$H$152*$AF$152</f>
        <v>77.849999999999994</v>
      </c>
    </row>
    <row r="153" spans="1:52" x14ac:dyDescent="0.25">
      <c r="A153">
        <v>200</v>
      </c>
      <c r="B153" t="s">
        <v>465</v>
      </c>
      <c r="C153" t="s">
        <v>283</v>
      </c>
      <c r="D153">
        <v>76.5</v>
      </c>
      <c r="E153">
        <v>123.93</v>
      </c>
      <c r="F153" t="s">
        <v>275</v>
      </c>
      <c r="G153">
        <v>1.62</v>
      </c>
      <c r="H153">
        <v>148.71</v>
      </c>
      <c r="I153" t="s">
        <v>263</v>
      </c>
      <c r="J153" t="s">
        <v>284</v>
      </c>
      <c r="K153" t="s">
        <v>387</v>
      </c>
      <c r="L153" t="s">
        <v>170</v>
      </c>
      <c r="M153" t="s">
        <v>465</v>
      </c>
      <c r="N153" t="s">
        <v>12</v>
      </c>
      <c r="O153" t="s">
        <v>466</v>
      </c>
      <c r="P153">
        <v>0</v>
      </c>
      <c r="Q153">
        <v>0</v>
      </c>
      <c r="R153">
        <v>0</v>
      </c>
      <c r="S153">
        <v>0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465</v>
      </c>
      <c r="AH153" t="s">
        <v>12</v>
      </c>
      <c r="AI153" t="s">
        <v>466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148.71</v>
      </c>
      <c r="AO153">
        <f>$H$153*$U$153</f>
        <v>148.71</v>
      </c>
      <c r="AP153">
        <f>$H$153*$V$153</f>
        <v>148.71</v>
      </c>
      <c r="AQ153">
        <f>$H$153*$W$153</f>
        <v>148.71</v>
      </c>
      <c r="AR153">
        <f>$H$153*$X$153</f>
        <v>148.71</v>
      </c>
      <c r="AS153">
        <f>$H$153*$Y$153</f>
        <v>148.71</v>
      </c>
      <c r="AT153">
        <f>$H$153*$Z$153</f>
        <v>148.71</v>
      </c>
      <c r="AU153">
        <f>$H$153*$AA$153</f>
        <v>148.71</v>
      </c>
      <c r="AV153">
        <f>$H$153*$AB$153</f>
        <v>148.71</v>
      </c>
      <c r="AW153">
        <f>$H$153*$AC$153</f>
        <v>148.71</v>
      </c>
      <c r="AX153">
        <f>$H$153*$AD$153</f>
        <v>148.71</v>
      </c>
      <c r="AY153">
        <f>$H$153*$AE$153</f>
        <v>148.71</v>
      </c>
      <c r="AZ153">
        <f>$H$153*$AF$153</f>
        <v>148.71</v>
      </c>
    </row>
    <row r="154" spans="1:52" x14ac:dyDescent="0.25">
      <c r="A154">
        <v>201</v>
      </c>
      <c r="B154" t="s">
        <v>465</v>
      </c>
      <c r="C154" t="s">
        <v>526</v>
      </c>
      <c r="D154">
        <v>15.3</v>
      </c>
      <c r="E154">
        <v>64.72</v>
      </c>
      <c r="F154" t="s">
        <v>275</v>
      </c>
      <c r="G154">
        <v>4.2300000000000004</v>
      </c>
      <c r="H154">
        <v>77.66</v>
      </c>
      <c r="I154" t="s">
        <v>527</v>
      </c>
      <c r="J154" t="s">
        <v>309</v>
      </c>
      <c r="K154" t="s">
        <v>644</v>
      </c>
      <c r="L154" t="s">
        <v>170</v>
      </c>
      <c r="M154" t="s">
        <v>465</v>
      </c>
      <c r="N154" t="s">
        <v>12</v>
      </c>
      <c r="O154" t="s">
        <v>466</v>
      </c>
      <c r="P154">
        <v>0</v>
      </c>
      <c r="Q154">
        <v>0</v>
      </c>
      <c r="R154">
        <v>0</v>
      </c>
      <c r="S154">
        <v>0.25</v>
      </c>
      <c r="T154">
        <v>0.25</v>
      </c>
      <c r="U154">
        <v>0.25</v>
      </c>
      <c r="V154">
        <v>0.25</v>
      </c>
      <c r="W154">
        <v>0.25</v>
      </c>
      <c r="X154">
        <v>0.5</v>
      </c>
      <c r="Y154">
        <v>0.5</v>
      </c>
      <c r="Z154">
        <v>0.5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465</v>
      </c>
      <c r="AH154" t="s">
        <v>12</v>
      </c>
      <c r="AI154" t="s">
        <v>466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19.414999999999999</v>
      </c>
      <c r="AN154">
        <f>$H$154*$T$154</f>
        <v>19.414999999999999</v>
      </c>
      <c r="AO154">
        <f>$H$154*$U$154</f>
        <v>19.414999999999999</v>
      </c>
      <c r="AP154">
        <f>$H$154*$V$154</f>
        <v>19.414999999999999</v>
      </c>
      <c r="AQ154">
        <f>$H$154*$W$154</f>
        <v>19.414999999999999</v>
      </c>
      <c r="AR154">
        <f>$H$154*$X$154</f>
        <v>38.83</v>
      </c>
      <c r="AS154">
        <f>$H$154*$Y$154</f>
        <v>38.83</v>
      </c>
      <c r="AT154">
        <f>$H$154*$Z$154</f>
        <v>38.83</v>
      </c>
      <c r="AU154">
        <f>$H$154*$AA$154</f>
        <v>77.66</v>
      </c>
      <c r="AV154">
        <f>$H$154*$AB$154</f>
        <v>77.66</v>
      </c>
      <c r="AW154">
        <f>$H$154*$AC$154</f>
        <v>77.66</v>
      </c>
      <c r="AX154">
        <f>$H$154*$AD$154</f>
        <v>77.66</v>
      </c>
      <c r="AY154">
        <f>$H$154*$AE$154</f>
        <v>77.66</v>
      </c>
      <c r="AZ154">
        <f>$H$154*$AF$154</f>
        <v>77.66</v>
      </c>
    </row>
    <row r="155" spans="1:52" x14ac:dyDescent="0.25">
      <c r="A155">
        <v>202</v>
      </c>
      <c r="B155" t="s">
        <v>465</v>
      </c>
      <c r="C155" t="s">
        <v>285</v>
      </c>
      <c r="D155">
        <v>153</v>
      </c>
      <c r="E155">
        <v>631.89</v>
      </c>
      <c r="F155" t="s">
        <v>275</v>
      </c>
      <c r="G155">
        <v>4.13</v>
      </c>
      <c r="H155">
        <v>758.27</v>
      </c>
      <c r="I155" t="s">
        <v>286</v>
      </c>
      <c r="J155" t="s">
        <v>287</v>
      </c>
      <c r="K155" t="s">
        <v>388</v>
      </c>
      <c r="L155" t="s">
        <v>170</v>
      </c>
      <c r="M155" t="s">
        <v>465</v>
      </c>
      <c r="N155" t="s">
        <v>12</v>
      </c>
      <c r="O155" t="s">
        <v>466</v>
      </c>
      <c r="P155">
        <v>0</v>
      </c>
      <c r="Q155">
        <v>0</v>
      </c>
      <c r="R155">
        <v>0</v>
      </c>
      <c r="S155">
        <v>0.25</v>
      </c>
      <c r="T155">
        <v>0.25</v>
      </c>
      <c r="U155">
        <v>0.25</v>
      </c>
      <c r="V155">
        <v>0.25</v>
      </c>
      <c r="W155">
        <v>0.5</v>
      </c>
      <c r="X155">
        <v>0.5</v>
      </c>
      <c r="Y155">
        <v>0.5</v>
      </c>
      <c r="Z155">
        <v>0.5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465</v>
      </c>
      <c r="AH155" t="s">
        <v>12</v>
      </c>
      <c r="AI155" t="s">
        <v>466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189.5675</v>
      </c>
      <c r="AN155">
        <f>$H$155*$T$155</f>
        <v>189.5675</v>
      </c>
      <c r="AO155">
        <f>$H$155*$U$155</f>
        <v>189.5675</v>
      </c>
      <c r="AP155">
        <f>$H$155*$V$155</f>
        <v>189.5675</v>
      </c>
      <c r="AQ155">
        <f>$H$155*$W$155</f>
        <v>379.13499999999999</v>
      </c>
      <c r="AR155">
        <f>$H$155*$X$155</f>
        <v>379.13499999999999</v>
      </c>
      <c r="AS155">
        <f>$H$155*$Y$155</f>
        <v>379.13499999999999</v>
      </c>
      <c r="AT155">
        <f>$H$155*$Z$155</f>
        <v>379.13499999999999</v>
      </c>
      <c r="AU155">
        <f>$H$155*$AA$155</f>
        <v>758.27</v>
      </c>
      <c r="AV155">
        <f>$H$155*$AB$155</f>
        <v>758.27</v>
      </c>
      <c r="AW155">
        <f>$H$155*$AC$155</f>
        <v>758.27</v>
      </c>
      <c r="AX155">
        <f>$H$155*$AD$155</f>
        <v>758.27</v>
      </c>
      <c r="AY155">
        <f>$H$155*$AE$155</f>
        <v>758.27</v>
      </c>
      <c r="AZ155">
        <f>$H$155*$AF$155</f>
        <v>758.27</v>
      </c>
    </row>
    <row r="156" spans="1:52" x14ac:dyDescent="0.25">
      <c r="A156">
        <v>203</v>
      </c>
      <c r="B156" t="s">
        <v>465</v>
      </c>
      <c r="C156" t="s">
        <v>342</v>
      </c>
      <c r="D156">
        <v>17</v>
      </c>
      <c r="E156">
        <v>44.88</v>
      </c>
      <c r="F156" t="s">
        <v>262</v>
      </c>
      <c r="G156">
        <v>2.64</v>
      </c>
      <c r="H156">
        <v>53.86</v>
      </c>
      <c r="I156" t="s">
        <v>263</v>
      </c>
      <c r="J156" t="s">
        <v>343</v>
      </c>
      <c r="K156" t="s">
        <v>412</v>
      </c>
      <c r="L156" t="s">
        <v>170</v>
      </c>
      <c r="M156" t="s">
        <v>465</v>
      </c>
      <c r="N156" t="s">
        <v>12</v>
      </c>
      <c r="O156" t="s">
        <v>466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465</v>
      </c>
      <c r="AH156" t="s">
        <v>12</v>
      </c>
      <c r="AI156" t="s">
        <v>466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53.86</v>
      </c>
      <c r="AN156">
        <f>$H$156*$T$156</f>
        <v>53.86</v>
      </c>
      <c r="AO156">
        <f>$H$156*$U$156</f>
        <v>53.86</v>
      </c>
      <c r="AP156">
        <f>$H$156*$V$156</f>
        <v>53.86</v>
      </c>
      <c r="AQ156">
        <f>$H$156*$W$156</f>
        <v>53.86</v>
      </c>
      <c r="AR156">
        <f>$H$156*$X$156</f>
        <v>53.86</v>
      </c>
      <c r="AS156">
        <f>$H$156*$Y$156</f>
        <v>53.86</v>
      </c>
      <c r="AT156">
        <f>$H$156*$Z$156</f>
        <v>53.86</v>
      </c>
      <c r="AU156">
        <f>$H$156*$AA$156</f>
        <v>53.86</v>
      </c>
      <c r="AV156">
        <f>$H$156*$AB$156</f>
        <v>53.86</v>
      </c>
      <c r="AW156">
        <f>$H$156*$AC$156</f>
        <v>53.86</v>
      </c>
      <c r="AX156">
        <f>$H$156*$AD$156</f>
        <v>53.86</v>
      </c>
      <c r="AY156">
        <f>$H$156*$AE$156</f>
        <v>53.86</v>
      </c>
      <c r="AZ156">
        <f>$H$156*$AF$156</f>
        <v>53.86</v>
      </c>
    </row>
    <row r="157" spans="1:52" x14ac:dyDescent="0.25">
      <c r="A157">
        <v>204</v>
      </c>
      <c r="B157" t="s">
        <v>465</v>
      </c>
      <c r="C157" t="s">
        <v>344</v>
      </c>
      <c r="D157">
        <v>17</v>
      </c>
      <c r="E157">
        <v>105.23</v>
      </c>
      <c r="F157" t="s">
        <v>262</v>
      </c>
      <c r="G157">
        <v>6.19</v>
      </c>
      <c r="H157">
        <v>126.27</v>
      </c>
      <c r="I157" t="s">
        <v>264</v>
      </c>
      <c r="J157" t="s">
        <v>345</v>
      </c>
      <c r="K157" t="s">
        <v>413</v>
      </c>
      <c r="L157" t="s">
        <v>170</v>
      </c>
      <c r="M157" t="s">
        <v>465</v>
      </c>
      <c r="N157" t="s">
        <v>12</v>
      </c>
      <c r="O157" t="s">
        <v>466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465</v>
      </c>
      <c r="AH157" t="s">
        <v>12</v>
      </c>
      <c r="AI157" t="s">
        <v>466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126.27</v>
      </c>
      <c r="AN157">
        <f>$H$157*$T$157</f>
        <v>126.27</v>
      </c>
      <c r="AO157">
        <f>$H$157*$U$157</f>
        <v>126.27</v>
      </c>
      <c r="AP157">
        <f>$H$157*$V$157</f>
        <v>126.27</v>
      </c>
      <c r="AQ157">
        <f>$H$157*$W$157</f>
        <v>126.27</v>
      </c>
      <c r="AR157">
        <f>$H$157*$X$157</f>
        <v>126.27</v>
      </c>
      <c r="AS157">
        <f>$H$157*$Y$157</f>
        <v>126.27</v>
      </c>
      <c r="AT157">
        <f>$H$157*$Z$157</f>
        <v>126.27</v>
      </c>
      <c r="AU157">
        <f>$H$157*$AA$157</f>
        <v>126.27</v>
      </c>
      <c r="AV157">
        <f>$H$157*$AB$157</f>
        <v>126.27</v>
      </c>
      <c r="AW157">
        <f>$H$157*$AC$157</f>
        <v>126.27</v>
      </c>
      <c r="AX157">
        <f>$H$157*$AD$157</f>
        <v>126.27</v>
      </c>
      <c r="AY157">
        <f>$H$157*$AE$157</f>
        <v>126.27</v>
      </c>
      <c r="AZ157">
        <f>$H$157*$AF$157</f>
        <v>126.27</v>
      </c>
    </row>
    <row r="158" spans="1:52" x14ac:dyDescent="0.25">
      <c r="A158">
        <v>205</v>
      </c>
      <c r="B158" t="s">
        <v>465</v>
      </c>
      <c r="C158" t="s">
        <v>285</v>
      </c>
      <c r="D158">
        <v>18.059999999999999</v>
      </c>
      <c r="E158">
        <v>74.59</v>
      </c>
      <c r="F158" t="s">
        <v>275</v>
      </c>
      <c r="G158">
        <v>4.13</v>
      </c>
      <c r="H158">
        <v>89.51</v>
      </c>
      <c r="I158" t="s">
        <v>286</v>
      </c>
      <c r="J158" t="s">
        <v>287</v>
      </c>
      <c r="K158" t="s">
        <v>388</v>
      </c>
      <c r="L158" t="s">
        <v>170</v>
      </c>
      <c r="M158" t="s">
        <v>465</v>
      </c>
      <c r="N158" t="s">
        <v>12</v>
      </c>
      <c r="O158" t="s">
        <v>466</v>
      </c>
      <c r="P158">
        <v>0</v>
      </c>
      <c r="Q158">
        <v>0</v>
      </c>
      <c r="R158">
        <v>0</v>
      </c>
      <c r="S158">
        <v>0.25</v>
      </c>
      <c r="T158">
        <v>0.25</v>
      </c>
      <c r="U158">
        <v>0.25</v>
      </c>
      <c r="V158">
        <v>0.25</v>
      </c>
      <c r="W158">
        <v>0.5</v>
      </c>
      <c r="X158">
        <v>0.5</v>
      </c>
      <c r="Y158">
        <v>0.5</v>
      </c>
      <c r="Z158">
        <v>0.5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465</v>
      </c>
      <c r="AH158" t="s">
        <v>12</v>
      </c>
      <c r="AI158" t="s">
        <v>466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22.377500000000001</v>
      </c>
      <c r="AN158">
        <f>$H$158*$T$158</f>
        <v>22.377500000000001</v>
      </c>
      <c r="AO158">
        <f>$H$158*$U$158</f>
        <v>22.377500000000001</v>
      </c>
      <c r="AP158">
        <f>$H$158*$V$158</f>
        <v>22.377500000000001</v>
      </c>
      <c r="AQ158">
        <f>$H$158*$W$158</f>
        <v>44.755000000000003</v>
      </c>
      <c r="AR158">
        <f>$H$158*$X$158</f>
        <v>44.755000000000003</v>
      </c>
      <c r="AS158">
        <f>$H$158*$Y$158</f>
        <v>44.755000000000003</v>
      </c>
      <c r="AT158">
        <f>$H$158*$Z$158</f>
        <v>44.755000000000003</v>
      </c>
      <c r="AU158">
        <f>$H$158*$AA$158</f>
        <v>89.51</v>
      </c>
      <c r="AV158">
        <f>$H$158*$AB$158</f>
        <v>89.51</v>
      </c>
      <c r="AW158">
        <f>$H$158*$AC$158</f>
        <v>89.51</v>
      </c>
      <c r="AX158">
        <f>$H$158*$AD$158</f>
        <v>89.51</v>
      </c>
      <c r="AY158">
        <f>$H$158*$AE$158</f>
        <v>89.51</v>
      </c>
      <c r="AZ158">
        <f>$H$158*$AF$158</f>
        <v>89.51</v>
      </c>
    </row>
    <row r="159" spans="1:52" x14ac:dyDescent="0.25">
      <c r="A159">
        <v>206</v>
      </c>
      <c r="B159" t="s">
        <v>465</v>
      </c>
      <c r="C159" t="s">
        <v>340</v>
      </c>
      <c r="D159">
        <v>18.059999999999999</v>
      </c>
      <c r="E159">
        <v>19.14</v>
      </c>
      <c r="F159" t="s">
        <v>275</v>
      </c>
      <c r="G159">
        <v>1.06</v>
      </c>
      <c r="H159">
        <v>22.96</v>
      </c>
      <c r="I159" t="s">
        <v>263</v>
      </c>
      <c r="J159" t="s">
        <v>341</v>
      </c>
      <c r="K159" t="s">
        <v>411</v>
      </c>
      <c r="L159" t="s">
        <v>170</v>
      </c>
      <c r="M159" t="s">
        <v>465</v>
      </c>
      <c r="N159" t="s">
        <v>12</v>
      </c>
      <c r="O159" t="s">
        <v>466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1</v>
      </c>
      <c r="AE159">
        <v>1</v>
      </c>
      <c r="AF159">
        <v>1</v>
      </c>
      <c r="AG159" t="s">
        <v>465</v>
      </c>
      <c r="AH159" t="s">
        <v>12</v>
      </c>
      <c r="AI159" t="s">
        <v>466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0</v>
      </c>
      <c r="AV159">
        <f>$H$159*$AB$159</f>
        <v>0</v>
      </c>
      <c r="AW159">
        <f>$H$159*$AC$159</f>
        <v>0</v>
      </c>
      <c r="AX159">
        <f>$H$159*$AD$159</f>
        <v>22.96</v>
      </c>
      <c r="AY159">
        <f>$H$159*$AE$159</f>
        <v>22.96</v>
      </c>
      <c r="AZ159">
        <f>$H$159*$AF$159</f>
        <v>22.96</v>
      </c>
    </row>
    <row r="160" spans="1:52" x14ac:dyDescent="0.25">
      <c r="A160">
        <v>207</v>
      </c>
      <c r="B160" t="s">
        <v>465</v>
      </c>
      <c r="C160" t="s">
        <v>346</v>
      </c>
      <c r="D160">
        <v>18.059999999999999</v>
      </c>
      <c r="E160">
        <v>20.23</v>
      </c>
      <c r="F160" t="s">
        <v>275</v>
      </c>
      <c r="G160">
        <v>1.1200000000000001</v>
      </c>
      <c r="H160">
        <v>24.27</v>
      </c>
      <c r="I160" t="s">
        <v>263</v>
      </c>
      <c r="J160" t="s">
        <v>347</v>
      </c>
      <c r="K160" t="s">
        <v>414</v>
      </c>
      <c r="L160" t="s">
        <v>170</v>
      </c>
      <c r="M160" t="s">
        <v>465</v>
      </c>
      <c r="N160" t="s">
        <v>12</v>
      </c>
      <c r="O160" t="s">
        <v>466</v>
      </c>
      <c r="P160">
        <v>0</v>
      </c>
      <c r="Q160">
        <v>0</v>
      </c>
      <c r="R160">
        <v>0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465</v>
      </c>
      <c r="AH160" t="s">
        <v>12</v>
      </c>
      <c r="AI160" t="s">
        <v>466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24.27</v>
      </c>
      <c r="AN160">
        <f>$H$160*$T$160</f>
        <v>24.27</v>
      </c>
      <c r="AO160">
        <f>$H$160*$U$160</f>
        <v>24.27</v>
      </c>
      <c r="AP160">
        <f>$H$160*$V$160</f>
        <v>24.27</v>
      </c>
      <c r="AQ160">
        <f>$H$160*$W$160</f>
        <v>24.27</v>
      </c>
      <c r="AR160">
        <f>$H$160*$X$160</f>
        <v>24.27</v>
      </c>
      <c r="AS160">
        <f>$H$160*$Y$160</f>
        <v>24.27</v>
      </c>
      <c r="AT160">
        <f>$H$160*$Z$160</f>
        <v>24.27</v>
      </c>
      <c r="AU160">
        <f>$H$160*$AA$160</f>
        <v>24.27</v>
      </c>
      <c r="AV160">
        <f>$H$160*$AB$160</f>
        <v>24.27</v>
      </c>
      <c r="AW160">
        <f>$H$160*$AC$160</f>
        <v>24.27</v>
      </c>
      <c r="AX160">
        <f>$H$160*$AD$160</f>
        <v>24.27</v>
      </c>
      <c r="AY160">
        <f>$H$160*$AE$160</f>
        <v>24.27</v>
      </c>
      <c r="AZ160">
        <f>$H$160*$AF$160</f>
        <v>24.27</v>
      </c>
    </row>
    <row r="161" spans="1:52" x14ac:dyDescent="0.25">
      <c r="A161">
        <v>208</v>
      </c>
      <c r="B161" t="s">
        <v>465</v>
      </c>
      <c r="C161" t="s">
        <v>528</v>
      </c>
      <c r="D161">
        <v>3.61</v>
      </c>
      <c r="E161">
        <v>75.63</v>
      </c>
      <c r="F161" t="s">
        <v>275</v>
      </c>
      <c r="G161">
        <v>20.95</v>
      </c>
      <c r="H161">
        <v>90.75</v>
      </c>
      <c r="I161" t="s">
        <v>348</v>
      </c>
      <c r="J161" t="s">
        <v>529</v>
      </c>
      <c r="K161" t="s">
        <v>645</v>
      </c>
      <c r="L161" t="s">
        <v>170</v>
      </c>
      <c r="M161" t="s">
        <v>465</v>
      </c>
      <c r="N161" t="s">
        <v>12</v>
      </c>
      <c r="O161" t="s">
        <v>466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465</v>
      </c>
      <c r="AH161" t="s">
        <v>12</v>
      </c>
      <c r="AI161" t="s">
        <v>466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90.75</v>
      </c>
      <c r="AT161">
        <f>$H$161*$Z$161</f>
        <v>90.75</v>
      </c>
      <c r="AU161">
        <f>$H$161*$AA$161</f>
        <v>90.75</v>
      </c>
      <c r="AV161">
        <f>$H$161*$AB$161</f>
        <v>90.75</v>
      </c>
      <c r="AW161">
        <f>$H$161*$AC$161</f>
        <v>90.75</v>
      </c>
      <c r="AX161">
        <f>$H$161*$AD$161</f>
        <v>90.75</v>
      </c>
      <c r="AY161">
        <f>$H$161*$AE$161</f>
        <v>90.75</v>
      </c>
      <c r="AZ161">
        <f>$H$161*$AF$161</f>
        <v>90.75</v>
      </c>
    </row>
    <row r="162" spans="1:52" x14ac:dyDescent="0.25">
      <c r="A162">
        <v>209</v>
      </c>
      <c r="B162" t="s">
        <v>465</v>
      </c>
      <c r="C162" t="s">
        <v>349</v>
      </c>
      <c r="D162">
        <v>7.23</v>
      </c>
      <c r="E162">
        <v>30.8</v>
      </c>
      <c r="F162" t="s">
        <v>275</v>
      </c>
      <c r="G162">
        <v>4.26</v>
      </c>
      <c r="H162">
        <v>36.96</v>
      </c>
      <c r="I162" t="s">
        <v>350</v>
      </c>
      <c r="J162" t="s">
        <v>351</v>
      </c>
      <c r="K162" t="s">
        <v>415</v>
      </c>
      <c r="L162" t="s">
        <v>170</v>
      </c>
      <c r="M162" t="s">
        <v>465</v>
      </c>
      <c r="N162" t="s">
        <v>12</v>
      </c>
      <c r="O162" t="s">
        <v>466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465</v>
      </c>
      <c r="AH162" t="s">
        <v>12</v>
      </c>
      <c r="AI162" t="s">
        <v>466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36.96</v>
      </c>
      <c r="AN162">
        <f>$H$162*$T$162</f>
        <v>36.96</v>
      </c>
      <c r="AO162">
        <f>$H$162*$U$162</f>
        <v>36.96</v>
      </c>
      <c r="AP162">
        <f>$H$162*$V$162</f>
        <v>36.96</v>
      </c>
      <c r="AQ162">
        <f>$H$162*$W$162</f>
        <v>36.96</v>
      </c>
      <c r="AR162">
        <f>$H$162*$X$162</f>
        <v>36.96</v>
      </c>
      <c r="AS162">
        <f>$H$162*$Y$162</f>
        <v>36.96</v>
      </c>
      <c r="AT162">
        <f>$H$162*$Z$162</f>
        <v>36.96</v>
      </c>
      <c r="AU162">
        <f>$H$162*$AA$162</f>
        <v>36.96</v>
      </c>
      <c r="AV162">
        <f>$H$162*$AB$162</f>
        <v>36.96</v>
      </c>
      <c r="AW162">
        <f>$H$162*$AC$162</f>
        <v>36.96</v>
      </c>
      <c r="AX162">
        <f>$H$162*$AD$162</f>
        <v>36.96</v>
      </c>
      <c r="AY162">
        <f>$H$162*$AE$162</f>
        <v>36.96</v>
      </c>
      <c r="AZ162">
        <f>$H$162*$AF$162</f>
        <v>36.96</v>
      </c>
    </row>
    <row r="163" spans="1:52" x14ac:dyDescent="0.25">
      <c r="A163">
        <v>210</v>
      </c>
      <c r="B163" t="s">
        <v>465</v>
      </c>
      <c r="C163" t="s">
        <v>352</v>
      </c>
      <c r="D163">
        <v>7.23</v>
      </c>
      <c r="E163">
        <v>77.650000000000006</v>
      </c>
      <c r="F163" t="s">
        <v>275</v>
      </c>
      <c r="G163">
        <v>10.74</v>
      </c>
      <c r="H163">
        <v>93.19</v>
      </c>
      <c r="I163" t="s">
        <v>350</v>
      </c>
      <c r="J163" t="s">
        <v>293</v>
      </c>
      <c r="K163" t="s">
        <v>416</v>
      </c>
      <c r="L163" t="s">
        <v>170</v>
      </c>
      <c r="M163" t="s">
        <v>465</v>
      </c>
      <c r="N163" t="s">
        <v>12</v>
      </c>
      <c r="O163" t="s">
        <v>466</v>
      </c>
      <c r="P163">
        <v>0</v>
      </c>
      <c r="Q163">
        <v>0</v>
      </c>
      <c r="R163">
        <v>0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465</v>
      </c>
      <c r="AH163" t="s">
        <v>12</v>
      </c>
      <c r="AI163" t="s">
        <v>466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93.19</v>
      </c>
      <c r="AN163">
        <f>$H$163*$T$163</f>
        <v>93.19</v>
      </c>
      <c r="AO163">
        <f>$H$163*$U$163</f>
        <v>93.19</v>
      </c>
      <c r="AP163">
        <f>$H$163*$V$163</f>
        <v>93.19</v>
      </c>
      <c r="AQ163">
        <f>$H$163*$W$163</f>
        <v>93.19</v>
      </c>
      <c r="AR163">
        <f>$H$163*$X$163</f>
        <v>93.19</v>
      </c>
      <c r="AS163">
        <f>$H$163*$Y$163</f>
        <v>93.19</v>
      </c>
      <c r="AT163">
        <f>$H$163*$Z$163</f>
        <v>93.19</v>
      </c>
      <c r="AU163">
        <f>$H$163*$AA$163</f>
        <v>93.19</v>
      </c>
      <c r="AV163">
        <f>$H$163*$AB$163</f>
        <v>93.19</v>
      </c>
      <c r="AW163">
        <f>$H$163*$AC$163</f>
        <v>93.19</v>
      </c>
      <c r="AX163">
        <f>$H$163*$AD$163</f>
        <v>93.19</v>
      </c>
      <c r="AY163">
        <f>$H$163*$AE$163</f>
        <v>93.19</v>
      </c>
      <c r="AZ163">
        <f>$H$163*$AF$163</f>
        <v>93.19</v>
      </c>
    </row>
    <row r="164" spans="1:52" x14ac:dyDescent="0.25">
      <c r="A164">
        <v>211</v>
      </c>
      <c r="B164" t="s">
        <v>465</v>
      </c>
      <c r="C164" t="s">
        <v>530</v>
      </c>
      <c r="D164">
        <v>8.31</v>
      </c>
      <c r="E164">
        <v>8.81</v>
      </c>
      <c r="F164" t="s">
        <v>275</v>
      </c>
      <c r="G164">
        <v>1.06</v>
      </c>
      <c r="H164">
        <v>10.57</v>
      </c>
      <c r="I164" t="s">
        <v>353</v>
      </c>
      <c r="J164" t="s">
        <v>531</v>
      </c>
      <c r="K164" t="s">
        <v>646</v>
      </c>
      <c r="L164" t="s">
        <v>170</v>
      </c>
      <c r="M164" t="s">
        <v>465</v>
      </c>
      <c r="N164" t="s">
        <v>12</v>
      </c>
      <c r="O164" t="s">
        <v>466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465</v>
      </c>
      <c r="AH164" t="s">
        <v>12</v>
      </c>
      <c r="AI164" t="s">
        <v>466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10.57</v>
      </c>
      <c r="AN164">
        <f>$H$164*$T$164</f>
        <v>10.57</v>
      </c>
      <c r="AO164">
        <f>$H$164*$U$164</f>
        <v>10.57</v>
      </c>
      <c r="AP164">
        <f>$H$164*$V$164</f>
        <v>10.57</v>
      </c>
      <c r="AQ164">
        <f>$H$164*$W$164</f>
        <v>10.57</v>
      </c>
      <c r="AR164">
        <f>$H$164*$X$164</f>
        <v>10.57</v>
      </c>
      <c r="AS164">
        <f>$H$164*$Y$164</f>
        <v>10.57</v>
      </c>
      <c r="AT164">
        <f>$H$164*$Z$164</f>
        <v>10.57</v>
      </c>
      <c r="AU164">
        <f>$H$164*$AA$164</f>
        <v>10.57</v>
      </c>
      <c r="AV164">
        <f>$H$164*$AB$164</f>
        <v>10.57</v>
      </c>
      <c r="AW164">
        <f>$H$164*$AC$164</f>
        <v>10.57</v>
      </c>
      <c r="AX164">
        <f>$H$164*$AD$164</f>
        <v>10.57</v>
      </c>
      <c r="AY164">
        <f>$H$164*$AE$164</f>
        <v>10.57</v>
      </c>
      <c r="AZ164">
        <f>$H$164*$AF$164</f>
        <v>10.57</v>
      </c>
    </row>
    <row r="165" spans="1:52" x14ac:dyDescent="0.25">
      <c r="A165">
        <v>212</v>
      </c>
      <c r="B165" t="s">
        <v>465</v>
      </c>
      <c r="C165" t="s">
        <v>532</v>
      </c>
      <c r="D165">
        <v>8.31</v>
      </c>
      <c r="E165">
        <v>71.72</v>
      </c>
      <c r="F165" t="s">
        <v>275</v>
      </c>
      <c r="G165">
        <v>8.6300000000000008</v>
      </c>
      <c r="H165">
        <v>86.06</v>
      </c>
      <c r="I165" t="s">
        <v>353</v>
      </c>
      <c r="J165" t="s">
        <v>529</v>
      </c>
      <c r="K165" t="s">
        <v>647</v>
      </c>
      <c r="L165" t="s">
        <v>170</v>
      </c>
      <c r="M165" t="s">
        <v>465</v>
      </c>
      <c r="N165" t="s">
        <v>12</v>
      </c>
      <c r="O165" t="s">
        <v>466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465</v>
      </c>
      <c r="AH165" t="s">
        <v>12</v>
      </c>
      <c r="AI165" t="s">
        <v>466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86.06</v>
      </c>
      <c r="AN165">
        <f>$H$165*$T$165</f>
        <v>86.06</v>
      </c>
      <c r="AO165">
        <f>$H$165*$U$165</f>
        <v>86.06</v>
      </c>
      <c r="AP165">
        <f>$H$165*$V$165</f>
        <v>86.06</v>
      </c>
      <c r="AQ165">
        <f>$H$165*$W$165</f>
        <v>86.06</v>
      </c>
      <c r="AR165">
        <f>$H$165*$X$165</f>
        <v>86.06</v>
      </c>
      <c r="AS165">
        <f>$H$165*$Y$165</f>
        <v>86.06</v>
      </c>
      <c r="AT165">
        <f>$H$165*$Z$165</f>
        <v>86.06</v>
      </c>
      <c r="AU165">
        <f>$H$165*$AA$165</f>
        <v>86.06</v>
      </c>
      <c r="AV165">
        <f>$H$165*$AB$165</f>
        <v>86.06</v>
      </c>
      <c r="AW165">
        <f>$H$165*$AC$165</f>
        <v>86.06</v>
      </c>
      <c r="AX165">
        <f>$H$165*$AD$165</f>
        <v>86.06</v>
      </c>
      <c r="AY165">
        <f>$H$165*$AE$165</f>
        <v>86.06</v>
      </c>
      <c r="AZ165">
        <f>$H$165*$AF$165</f>
        <v>86.06</v>
      </c>
    </row>
    <row r="166" spans="1:52" x14ac:dyDescent="0.25">
      <c r="A166">
        <v>213</v>
      </c>
      <c r="B166" t="s">
        <v>241</v>
      </c>
      <c r="C166" t="s">
        <v>533</v>
      </c>
      <c r="D166">
        <v>60</v>
      </c>
      <c r="E166">
        <v>6542.4</v>
      </c>
      <c r="F166" t="s">
        <v>275</v>
      </c>
      <c r="G166">
        <v>109.04</v>
      </c>
      <c r="H166">
        <v>7850.88</v>
      </c>
      <c r="I166" t="s">
        <v>320</v>
      </c>
      <c r="J166" t="s">
        <v>534</v>
      </c>
      <c r="K166" t="s">
        <v>648</v>
      </c>
      <c r="L166" t="s">
        <v>170</v>
      </c>
      <c r="M166" t="s">
        <v>241</v>
      </c>
      <c r="N166" t="s">
        <v>12</v>
      </c>
      <c r="O166" t="s">
        <v>13</v>
      </c>
      <c r="P166">
        <v>0</v>
      </c>
      <c r="Q166">
        <v>0</v>
      </c>
      <c r="R166">
        <v>0</v>
      </c>
      <c r="S166">
        <v>0.25</v>
      </c>
      <c r="T166">
        <v>0.25</v>
      </c>
      <c r="U166">
        <v>0.25</v>
      </c>
      <c r="V166">
        <v>0.25</v>
      </c>
      <c r="W166">
        <v>0.25</v>
      </c>
      <c r="X166">
        <v>0.5</v>
      </c>
      <c r="Y166">
        <v>0.5</v>
      </c>
      <c r="Z166">
        <v>0.5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241</v>
      </c>
      <c r="AH166" t="s">
        <v>12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1962.72</v>
      </c>
      <c r="AN166">
        <f>$H$166*$T$166</f>
        <v>1962.72</v>
      </c>
      <c r="AO166">
        <f>$H$166*$U$166</f>
        <v>1962.72</v>
      </c>
      <c r="AP166">
        <f>$H$166*$V$166</f>
        <v>1962.72</v>
      </c>
      <c r="AQ166">
        <f>$H$166*$W$166</f>
        <v>1962.72</v>
      </c>
      <c r="AR166">
        <f>$H$166*$X$166</f>
        <v>3925.44</v>
      </c>
      <c r="AS166">
        <f>$H$166*$Y$166</f>
        <v>3925.44</v>
      </c>
      <c r="AT166">
        <f>$H$166*$Z$166</f>
        <v>3925.44</v>
      </c>
      <c r="AU166">
        <f>$H$166*$AA$166</f>
        <v>7850.88</v>
      </c>
      <c r="AV166">
        <f>$H$166*$AB$166</f>
        <v>7850.88</v>
      </c>
      <c r="AW166">
        <f>$H$166*$AC$166</f>
        <v>7850.88</v>
      </c>
      <c r="AX166">
        <f>$H$166*$AD$166</f>
        <v>7850.88</v>
      </c>
      <c r="AY166">
        <f>$H$166*$AE$166</f>
        <v>7850.88</v>
      </c>
      <c r="AZ166">
        <f>$H$166*$AF$166</f>
        <v>7850.88</v>
      </c>
    </row>
    <row r="167" spans="1:52" x14ac:dyDescent="0.25">
      <c r="A167">
        <v>214</v>
      </c>
      <c r="B167" t="s">
        <v>241</v>
      </c>
      <c r="C167" t="s">
        <v>321</v>
      </c>
      <c r="D167">
        <v>60</v>
      </c>
      <c r="E167">
        <v>739.8</v>
      </c>
      <c r="F167" t="s">
        <v>275</v>
      </c>
      <c r="G167">
        <v>12.33</v>
      </c>
      <c r="H167">
        <v>887.76</v>
      </c>
      <c r="I167" t="s">
        <v>322</v>
      </c>
      <c r="J167" t="s">
        <v>323</v>
      </c>
      <c r="K167" t="s">
        <v>403</v>
      </c>
      <c r="L167" t="s">
        <v>170</v>
      </c>
      <c r="M167" t="s">
        <v>241</v>
      </c>
      <c r="N167" t="s">
        <v>12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241</v>
      </c>
      <c r="AH167" t="s">
        <v>12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887.76</v>
      </c>
      <c r="AN167">
        <f>$H$167*$T$167</f>
        <v>887.76</v>
      </c>
      <c r="AO167">
        <f>$H$167*$U$167</f>
        <v>887.76</v>
      </c>
      <c r="AP167">
        <f>$H$167*$V$167</f>
        <v>887.76</v>
      </c>
      <c r="AQ167">
        <f>$H$167*$W$167</f>
        <v>887.76</v>
      </c>
      <c r="AR167">
        <f>$H$167*$X$167</f>
        <v>887.76</v>
      </c>
      <c r="AS167">
        <f>$H$167*$Y$167</f>
        <v>887.76</v>
      </c>
      <c r="AT167">
        <f>$H$167*$Z$167</f>
        <v>887.76</v>
      </c>
      <c r="AU167">
        <f>$H$167*$AA$167</f>
        <v>887.76</v>
      </c>
      <c r="AV167">
        <f>$H$167*$AB$167</f>
        <v>887.76</v>
      </c>
      <c r="AW167">
        <f>$H$167*$AC$167</f>
        <v>887.76</v>
      </c>
      <c r="AX167">
        <f>$H$167*$AD$167</f>
        <v>887.76</v>
      </c>
      <c r="AY167">
        <f>$H$167*$AE$167</f>
        <v>887.76</v>
      </c>
      <c r="AZ167">
        <f>$H$167*$AF$167</f>
        <v>887.76</v>
      </c>
    </row>
    <row r="168" spans="1:52" x14ac:dyDescent="0.25">
      <c r="A168">
        <v>215</v>
      </c>
      <c r="B168" t="s">
        <v>241</v>
      </c>
      <c r="C168" t="s">
        <v>535</v>
      </c>
      <c r="D168">
        <v>1</v>
      </c>
      <c r="E168">
        <v>43.36</v>
      </c>
      <c r="F168" t="s">
        <v>265</v>
      </c>
      <c r="G168">
        <v>43.36</v>
      </c>
      <c r="H168">
        <v>52.04</v>
      </c>
      <c r="I168" t="s">
        <v>289</v>
      </c>
      <c r="J168" t="s">
        <v>536</v>
      </c>
      <c r="K168" t="s">
        <v>649</v>
      </c>
      <c r="L168" t="s">
        <v>170</v>
      </c>
      <c r="M168" t="s">
        <v>241</v>
      </c>
      <c r="N168" t="s">
        <v>12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241</v>
      </c>
      <c r="AH168" t="s">
        <v>12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52.04</v>
      </c>
      <c r="AT168">
        <f>$H$168*$Z$168</f>
        <v>52.04</v>
      </c>
      <c r="AU168">
        <f>$H$168*$AA$168</f>
        <v>52.04</v>
      </c>
      <c r="AV168">
        <f>$H$168*$AB$168</f>
        <v>52.04</v>
      </c>
      <c r="AW168">
        <f>$H$168*$AC$168</f>
        <v>52.04</v>
      </c>
      <c r="AX168">
        <f>$H$168*$AD$168</f>
        <v>52.04</v>
      </c>
      <c r="AY168">
        <f>$H$168*$AE$168</f>
        <v>52.04</v>
      </c>
      <c r="AZ168">
        <f>$H$168*$AF$168</f>
        <v>52.04</v>
      </c>
    </row>
    <row r="169" spans="1:52" x14ac:dyDescent="0.25">
      <c r="A169">
        <v>216</v>
      </c>
      <c r="B169" t="s">
        <v>241</v>
      </c>
      <c r="C169" t="s">
        <v>537</v>
      </c>
      <c r="D169">
        <v>1</v>
      </c>
      <c r="E169">
        <v>46.63</v>
      </c>
      <c r="F169" t="s">
        <v>265</v>
      </c>
      <c r="G169">
        <v>46.63</v>
      </c>
      <c r="H169">
        <v>55.95</v>
      </c>
      <c r="I169" t="s">
        <v>289</v>
      </c>
      <c r="J169" t="s">
        <v>538</v>
      </c>
      <c r="K169" t="s">
        <v>650</v>
      </c>
      <c r="L169" t="s">
        <v>170</v>
      </c>
      <c r="M169" t="s">
        <v>241</v>
      </c>
      <c r="N169" t="s">
        <v>12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241</v>
      </c>
      <c r="AH169" t="s">
        <v>12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55.95</v>
      </c>
      <c r="AV169">
        <f>$H$169*$AB$169</f>
        <v>55.95</v>
      </c>
      <c r="AW169">
        <f>$H$169*$AC$169</f>
        <v>55.95</v>
      </c>
      <c r="AX169">
        <f>$H$169*$AD$169</f>
        <v>55.95</v>
      </c>
      <c r="AY169">
        <f>$H$169*$AE$169</f>
        <v>55.95</v>
      </c>
      <c r="AZ169">
        <f>$H$169*$AF$169</f>
        <v>55.95</v>
      </c>
    </row>
    <row r="170" spans="1:52" x14ac:dyDescent="0.25">
      <c r="A170">
        <v>217</v>
      </c>
      <c r="B170" t="s">
        <v>241</v>
      </c>
      <c r="C170" t="s">
        <v>279</v>
      </c>
      <c r="D170">
        <v>15</v>
      </c>
      <c r="E170">
        <v>115.95</v>
      </c>
      <c r="F170" t="s">
        <v>262</v>
      </c>
      <c r="G170">
        <v>7.73</v>
      </c>
      <c r="H170">
        <v>139.15</v>
      </c>
      <c r="I170" t="s">
        <v>263</v>
      </c>
      <c r="J170" t="s">
        <v>280</v>
      </c>
      <c r="K170" t="s">
        <v>385</v>
      </c>
      <c r="L170" t="s">
        <v>170</v>
      </c>
      <c r="M170" t="s">
        <v>241</v>
      </c>
      <c r="N170" t="s">
        <v>12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241</v>
      </c>
      <c r="AH170" t="s">
        <v>12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139.15</v>
      </c>
      <c r="AV170">
        <f>$H$170*$AB$170</f>
        <v>139.15</v>
      </c>
      <c r="AW170">
        <f>$H$170*$AC$170</f>
        <v>139.15</v>
      </c>
      <c r="AX170">
        <f>$H$170*$AD$170</f>
        <v>139.15</v>
      </c>
      <c r="AY170">
        <f>$H$170*$AE$170</f>
        <v>139.15</v>
      </c>
      <c r="AZ170">
        <f>$H$170*$AF$170</f>
        <v>139.15</v>
      </c>
    </row>
    <row r="171" spans="1:52" x14ac:dyDescent="0.25">
      <c r="A171">
        <v>218</v>
      </c>
      <c r="B171" t="s">
        <v>241</v>
      </c>
      <c r="C171" t="s">
        <v>281</v>
      </c>
      <c r="D171">
        <v>15</v>
      </c>
      <c r="E171">
        <v>192.3</v>
      </c>
      <c r="F171" t="s">
        <v>262</v>
      </c>
      <c r="G171">
        <v>12.82</v>
      </c>
      <c r="H171">
        <v>230.76</v>
      </c>
      <c r="I171" t="s">
        <v>264</v>
      </c>
      <c r="J171" t="s">
        <v>282</v>
      </c>
      <c r="K171" t="s">
        <v>386</v>
      </c>
      <c r="L171" t="s">
        <v>170</v>
      </c>
      <c r="M171" t="s">
        <v>241</v>
      </c>
      <c r="N171" t="s">
        <v>12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241</v>
      </c>
      <c r="AH171" t="s">
        <v>12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230.76</v>
      </c>
      <c r="AV171">
        <f>$H$171*$AB$171</f>
        <v>230.76</v>
      </c>
      <c r="AW171">
        <f>$H$171*$AC$171</f>
        <v>230.76</v>
      </c>
      <c r="AX171">
        <f>$H$171*$AD$171</f>
        <v>230.76</v>
      </c>
      <c r="AY171">
        <f>$H$171*$AE$171</f>
        <v>230.76</v>
      </c>
      <c r="AZ171">
        <f>$H$171*$AF$171</f>
        <v>230.76</v>
      </c>
    </row>
    <row r="172" spans="1:52" x14ac:dyDescent="0.25">
      <c r="A172">
        <v>219</v>
      </c>
      <c r="B172" t="s">
        <v>241</v>
      </c>
      <c r="C172" t="s">
        <v>539</v>
      </c>
      <c r="D172">
        <v>1</v>
      </c>
      <c r="E172">
        <v>43.95</v>
      </c>
      <c r="F172" t="s">
        <v>265</v>
      </c>
      <c r="G172">
        <v>43.95</v>
      </c>
      <c r="H172">
        <v>52.75</v>
      </c>
      <c r="I172" t="s">
        <v>289</v>
      </c>
      <c r="J172" t="s">
        <v>540</v>
      </c>
      <c r="K172" t="s">
        <v>651</v>
      </c>
      <c r="L172" t="s">
        <v>170</v>
      </c>
      <c r="M172" t="s">
        <v>241</v>
      </c>
      <c r="N172" t="s">
        <v>12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241</v>
      </c>
      <c r="AH172" t="s">
        <v>12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52.75</v>
      </c>
      <c r="AV172">
        <f>$H$172*$AB$172</f>
        <v>52.75</v>
      </c>
      <c r="AW172">
        <f>$H$172*$AC$172</f>
        <v>52.75</v>
      </c>
      <c r="AX172">
        <f>$H$172*$AD$172</f>
        <v>52.75</v>
      </c>
      <c r="AY172">
        <f>$H$172*$AE$172</f>
        <v>52.75</v>
      </c>
      <c r="AZ172">
        <f>$H$172*$AF$172</f>
        <v>52.75</v>
      </c>
    </row>
    <row r="173" spans="1:52" x14ac:dyDescent="0.25">
      <c r="A173">
        <v>220</v>
      </c>
      <c r="B173" t="s">
        <v>241</v>
      </c>
      <c r="C173" t="s">
        <v>324</v>
      </c>
      <c r="D173">
        <v>2</v>
      </c>
      <c r="E173">
        <v>32.159999999999997</v>
      </c>
      <c r="F173" t="s">
        <v>265</v>
      </c>
      <c r="G173">
        <v>16.079999999999998</v>
      </c>
      <c r="H173">
        <v>38.6</v>
      </c>
      <c r="I173" t="s">
        <v>267</v>
      </c>
      <c r="J173" t="s">
        <v>325</v>
      </c>
      <c r="K173" t="s">
        <v>404</v>
      </c>
      <c r="L173" t="s">
        <v>170</v>
      </c>
      <c r="M173" t="s">
        <v>241</v>
      </c>
      <c r="N173" t="s">
        <v>12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241</v>
      </c>
      <c r="AH173" t="s">
        <v>12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38.6</v>
      </c>
      <c r="AS173">
        <f>$H$173*$Y$173</f>
        <v>38.6</v>
      </c>
      <c r="AT173">
        <f>$H$173*$Z$173</f>
        <v>38.6</v>
      </c>
      <c r="AU173">
        <f>$H$173*$AA$173</f>
        <v>38.6</v>
      </c>
      <c r="AV173">
        <f>$H$173*$AB$173</f>
        <v>38.6</v>
      </c>
      <c r="AW173">
        <f>$H$173*$AC$173</f>
        <v>38.6</v>
      </c>
      <c r="AX173">
        <f>$H$173*$AD$173</f>
        <v>38.6</v>
      </c>
      <c r="AY173">
        <f>$H$173*$AE$173</f>
        <v>38.6</v>
      </c>
      <c r="AZ173">
        <f>$H$173*$AF$173</f>
        <v>38.6</v>
      </c>
    </row>
    <row r="174" spans="1:52" x14ac:dyDescent="0.25">
      <c r="A174">
        <v>221</v>
      </c>
      <c r="B174" t="s">
        <v>241</v>
      </c>
      <c r="C174" t="s">
        <v>326</v>
      </c>
      <c r="D174">
        <v>6</v>
      </c>
      <c r="E174">
        <v>114.06</v>
      </c>
      <c r="F174" t="s">
        <v>275</v>
      </c>
      <c r="G174">
        <v>19.010000000000002</v>
      </c>
      <c r="H174">
        <v>136.88</v>
      </c>
      <c r="I174" t="s">
        <v>327</v>
      </c>
      <c r="J174" t="s">
        <v>309</v>
      </c>
      <c r="K174" t="s">
        <v>405</v>
      </c>
      <c r="L174" t="s">
        <v>170</v>
      </c>
      <c r="M174" t="s">
        <v>241</v>
      </c>
      <c r="N174" t="s">
        <v>12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241</v>
      </c>
      <c r="AH174" t="s">
        <v>12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136.88</v>
      </c>
      <c r="AV174">
        <f>$H$174*$AB$174</f>
        <v>136.88</v>
      </c>
      <c r="AW174">
        <f>$H$174*$AC$174</f>
        <v>136.88</v>
      </c>
      <c r="AX174">
        <f>$H$174*$AD$174</f>
        <v>136.88</v>
      </c>
      <c r="AY174">
        <f>$H$174*$AE$174</f>
        <v>136.88</v>
      </c>
      <c r="AZ174">
        <f>$H$174*$AF$174</f>
        <v>136.88</v>
      </c>
    </row>
    <row r="175" spans="1:52" x14ac:dyDescent="0.25">
      <c r="A175">
        <v>222</v>
      </c>
      <c r="B175" t="s">
        <v>241</v>
      </c>
      <c r="C175" t="s">
        <v>541</v>
      </c>
      <c r="D175">
        <v>1</v>
      </c>
      <c r="E175">
        <v>298.45999999999998</v>
      </c>
      <c r="F175" t="s">
        <v>265</v>
      </c>
      <c r="G175">
        <v>298.45999999999998</v>
      </c>
      <c r="H175">
        <v>358.16</v>
      </c>
      <c r="I175" t="s">
        <v>332</v>
      </c>
      <c r="J175" t="s">
        <v>542</v>
      </c>
      <c r="K175" t="s">
        <v>652</v>
      </c>
      <c r="L175" t="s">
        <v>170</v>
      </c>
      <c r="M175" t="s">
        <v>241</v>
      </c>
      <c r="N175" t="s">
        <v>12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241</v>
      </c>
      <c r="AH175" t="s">
        <v>12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0</v>
      </c>
      <c r="AV175">
        <f>$H$175*$AB$175</f>
        <v>358.16</v>
      </c>
      <c r="AW175">
        <f>$H$175*$AC$175</f>
        <v>358.16</v>
      </c>
      <c r="AX175">
        <f>$H$175*$AD$175</f>
        <v>358.16</v>
      </c>
      <c r="AY175">
        <f>$H$175*$AE$175</f>
        <v>358.16</v>
      </c>
      <c r="AZ175">
        <f>$H$175*$AF$175</f>
        <v>358.16</v>
      </c>
    </row>
    <row r="176" spans="1:52" x14ac:dyDescent="0.25">
      <c r="A176">
        <v>223</v>
      </c>
      <c r="B176" t="s">
        <v>241</v>
      </c>
      <c r="C176" t="s">
        <v>508</v>
      </c>
      <c r="D176">
        <v>0.75</v>
      </c>
      <c r="E176">
        <v>557.66999999999996</v>
      </c>
      <c r="F176" t="s">
        <v>265</v>
      </c>
      <c r="G176">
        <v>743.56</v>
      </c>
      <c r="H176">
        <v>669.21</v>
      </c>
      <c r="I176" t="s">
        <v>276</v>
      </c>
      <c r="J176" t="s">
        <v>509</v>
      </c>
      <c r="K176" t="s">
        <v>634</v>
      </c>
      <c r="L176" t="s">
        <v>170</v>
      </c>
      <c r="M176" t="s">
        <v>241</v>
      </c>
      <c r="N176" t="s">
        <v>12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241</v>
      </c>
      <c r="AH176" t="s">
        <v>12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669.21</v>
      </c>
      <c r="AT176">
        <f>$H$176*$Z$176</f>
        <v>669.21</v>
      </c>
      <c r="AU176">
        <f>$H$176*$AA$176</f>
        <v>669.21</v>
      </c>
      <c r="AV176">
        <f>$H$176*$AB$176</f>
        <v>669.21</v>
      </c>
      <c r="AW176">
        <f>$H$176*$AC$176</f>
        <v>669.21</v>
      </c>
      <c r="AX176">
        <f>$H$176*$AD$176</f>
        <v>669.21</v>
      </c>
      <c r="AY176">
        <f>$H$176*$AE$176</f>
        <v>669.21</v>
      </c>
      <c r="AZ176">
        <f>$H$176*$AF$176</f>
        <v>669.21</v>
      </c>
    </row>
    <row r="177" spans="1:52" x14ac:dyDescent="0.25">
      <c r="A177">
        <v>224</v>
      </c>
      <c r="B177" t="s">
        <v>241</v>
      </c>
      <c r="C177" t="s">
        <v>508</v>
      </c>
      <c r="D177">
        <v>0.75</v>
      </c>
      <c r="E177">
        <v>557.66999999999996</v>
      </c>
      <c r="F177" t="s">
        <v>265</v>
      </c>
      <c r="G177">
        <v>743.56</v>
      </c>
      <c r="H177">
        <v>669.21</v>
      </c>
      <c r="I177" t="s">
        <v>276</v>
      </c>
      <c r="J177" t="s">
        <v>509</v>
      </c>
      <c r="K177" t="s">
        <v>634</v>
      </c>
      <c r="L177" t="s">
        <v>170</v>
      </c>
      <c r="M177" t="s">
        <v>241</v>
      </c>
      <c r="N177" t="s">
        <v>12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241</v>
      </c>
      <c r="AH177" t="s">
        <v>12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669.21</v>
      </c>
      <c r="AT177">
        <f>$H$177*$Z$177</f>
        <v>669.21</v>
      </c>
      <c r="AU177">
        <f>$H$177*$AA$177</f>
        <v>669.21</v>
      </c>
      <c r="AV177">
        <f>$H$177*$AB$177</f>
        <v>669.21</v>
      </c>
      <c r="AW177">
        <f>$H$177*$AC$177</f>
        <v>669.21</v>
      </c>
      <c r="AX177">
        <f>$H$177*$AD$177</f>
        <v>669.21</v>
      </c>
      <c r="AY177">
        <f>$H$177*$AE$177</f>
        <v>669.21</v>
      </c>
      <c r="AZ177">
        <f>$H$177*$AF$177</f>
        <v>669.21</v>
      </c>
    </row>
    <row r="178" spans="1:52" x14ac:dyDescent="0.25">
      <c r="A178">
        <v>225</v>
      </c>
      <c r="B178" t="s">
        <v>241</v>
      </c>
      <c r="C178" t="s">
        <v>508</v>
      </c>
      <c r="D178">
        <v>0.25</v>
      </c>
      <c r="E178">
        <v>185.89</v>
      </c>
      <c r="F178" t="s">
        <v>265</v>
      </c>
      <c r="G178">
        <v>743.56</v>
      </c>
      <c r="H178">
        <v>223.07</v>
      </c>
      <c r="I178" t="s">
        <v>276</v>
      </c>
      <c r="J178" t="s">
        <v>509</v>
      </c>
      <c r="K178" t="s">
        <v>634</v>
      </c>
      <c r="L178" t="s">
        <v>170</v>
      </c>
      <c r="M178" t="s">
        <v>241</v>
      </c>
      <c r="N178" t="s">
        <v>12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241</v>
      </c>
      <c r="AH178" t="s">
        <v>12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223.07</v>
      </c>
      <c r="AT178">
        <f>$H$178*$Z$178</f>
        <v>223.07</v>
      </c>
      <c r="AU178">
        <f>$H$178*$AA$178</f>
        <v>223.07</v>
      </c>
      <c r="AV178">
        <f>$H$178*$AB$178</f>
        <v>223.07</v>
      </c>
      <c r="AW178">
        <f>$H$178*$AC$178</f>
        <v>223.07</v>
      </c>
      <c r="AX178">
        <f>$H$178*$AD$178</f>
        <v>223.07</v>
      </c>
      <c r="AY178">
        <f>$H$178*$AE$178</f>
        <v>223.07</v>
      </c>
      <c r="AZ178">
        <f>$H$178*$AF$178</f>
        <v>223.07</v>
      </c>
    </row>
    <row r="179" spans="1:52" x14ac:dyDescent="0.25">
      <c r="A179">
        <v>226</v>
      </c>
      <c r="B179" t="s">
        <v>241</v>
      </c>
      <c r="C179" t="s">
        <v>508</v>
      </c>
      <c r="D179">
        <v>0.25</v>
      </c>
      <c r="E179">
        <v>185.89</v>
      </c>
      <c r="F179" t="s">
        <v>265</v>
      </c>
      <c r="G179">
        <v>743.56</v>
      </c>
      <c r="H179">
        <v>223.07</v>
      </c>
      <c r="I179" t="s">
        <v>276</v>
      </c>
      <c r="J179" t="s">
        <v>509</v>
      </c>
      <c r="K179" t="s">
        <v>634</v>
      </c>
      <c r="L179" t="s">
        <v>170</v>
      </c>
      <c r="M179" t="s">
        <v>241</v>
      </c>
      <c r="N179" t="s">
        <v>12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241</v>
      </c>
      <c r="AH179" t="s">
        <v>12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223.07</v>
      </c>
      <c r="AT179">
        <f>$H$179*$Z$179</f>
        <v>223.07</v>
      </c>
      <c r="AU179">
        <f>$H$179*$AA$179</f>
        <v>223.07</v>
      </c>
      <c r="AV179">
        <f>$H$179*$AB$179</f>
        <v>223.07</v>
      </c>
      <c r="AW179">
        <f>$H$179*$AC$179</f>
        <v>223.07</v>
      </c>
      <c r="AX179">
        <f>$H$179*$AD$179</f>
        <v>223.07</v>
      </c>
      <c r="AY179">
        <f>$H$179*$AE$179</f>
        <v>223.07</v>
      </c>
      <c r="AZ179">
        <f>$H$179*$AF$179</f>
        <v>223.07</v>
      </c>
    </row>
    <row r="180" spans="1:52" x14ac:dyDescent="0.25">
      <c r="A180">
        <v>227</v>
      </c>
      <c r="B180" t="s">
        <v>241</v>
      </c>
      <c r="C180" t="s">
        <v>543</v>
      </c>
      <c r="D180">
        <v>1</v>
      </c>
      <c r="E180">
        <v>82.72</v>
      </c>
      <c r="F180" t="s">
        <v>265</v>
      </c>
      <c r="G180">
        <v>82.72</v>
      </c>
      <c r="H180">
        <v>99.26</v>
      </c>
      <c r="I180" t="s">
        <v>276</v>
      </c>
      <c r="J180" t="s">
        <v>544</v>
      </c>
      <c r="K180" t="s">
        <v>653</v>
      </c>
      <c r="L180" t="s">
        <v>170</v>
      </c>
      <c r="M180" t="s">
        <v>241</v>
      </c>
      <c r="N180" t="s">
        <v>12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241</v>
      </c>
      <c r="AH180" t="s">
        <v>12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99.26</v>
      </c>
      <c r="AT180">
        <f>$H$180*$Z$180</f>
        <v>99.26</v>
      </c>
      <c r="AU180">
        <f>$H$180*$AA$180</f>
        <v>99.26</v>
      </c>
      <c r="AV180">
        <f>$H$180*$AB$180</f>
        <v>99.26</v>
      </c>
      <c r="AW180">
        <f>$H$180*$AC$180</f>
        <v>99.26</v>
      </c>
      <c r="AX180">
        <f>$H$180*$AD$180</f>
        <v>99.26</v>
      </c>
      <c r="AY180">
        <f>$H$180*$AE$180</f>
        <v>99.26</v>
      </c>
      <c r="AZ180">
        <f>$H$180*$AF$180</f>
        <v>99.26</v>
      </c>
    </row>
    <row r="181" spans="1:52" x14ac:dyDescent="0.25">
      <c r="A181">
        <v>228</v>
      </c>
      <c r="B181" t="s">
        <v>241</v>
      </c>
      <c r="C181" t="s">
        <v>545</v>
      </c>
      <c r="D181">
        <v>1</v>
      </c>
      <c r="E181">
        <v>745.6</v>
      </c>
      <c r="F181" t="s">
        <v>265</v>
      </c>
      <c r="G181">
        <v>745.6</v>
      </c>
      <c r="H181">
        <v>894.72</v>
      </c>
      <c r="I181" t="s">
        <v>276</v>
      </c>
      <c r="J181" t="s">
        <v>546</v>
      </c>
      <c r="K181" t="s">
        <v>654</v>
      </c>
      <c r="L181" t="s">
        <v>170</v>
      </c>
      <c r="M181" t="s">
        <v>241</v>
      </c>
      <c r="N181" t="s">
        <v>12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241</v>
      </c>
      <c r="AH181" t="s">
        <v>12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894.72</v>
      </c>
      <c r="AT181">
        <f>$H$181*$Z$181</f>
        <v>894.72</v>
      </c>
      <c r="AU181">
        <f>$H$181*$AA$181</f>
        <v>894.72</v>
      </c>
      <c r="AV181">
        <f>$H$181*$AB$181</f>
        <v>894.72</v>
      </c>
      <c r="AW181">
        <f>$H$181*$AC$181</f>
        <v>894.72</v>
      </c>
      <c r="AX181">
        <f>$H$181*$AD$181</f>
        <v>894.72</v>
      </c>
      <c r="AY181">
        <f>$H$181*$AE$181</f>
        <v>894.72</v>
      </c>
      <c r="AZ181">
        <f>$H$181*$AF$181</f>
        <v>894.72</v>
      </c>
    </row>
    <row r="182" spans="1:52" x14ac:dyDescent="0.25">
      <c r="A182">
        <v>229</v>
      </c>
      <c r="B182" t="s">
        <v>241</v>
      </c>
      <c r="C182" t="s">
        <v>567</v>
      </c>
      <c r="D182">
        <v>1</v>
      </c>
      <c r="E182">
        <v>1208.3499999999999</v>
      </c>
      <c r="F182" t="s">
        <v>265</v>
      </c>
      <c r="G182">
        <v>1208.3499999999999</v>
      </c>
      <c r="H182">
        <v>1450.03</v>
      </c>
      <c r="I182" t="s">
        <v>276</v>
      </c>
      <c r="J182" t="s">
        <v>568</v>
      </c>
      <c r="K182" t="s">
        <v>665</v>
      </c>
      <c r="L182" t="s">
        <v>170</v>
      </c>
      <c r="M182" t="s">
        <v>241</v>
      </c>
      <c r="N182" t="s">
        <v>12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241</v>
      </c>
      <c r="AH182" t="s">
        <v>12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1450.03</v>
      </c>
      <c r="AT182">
        <f>$H$182*$Z$182</f>
        <v>1450.03</v>
      </c>
      <c r="AU182">
        <f>$H$182*$AA$182</f>
        <v>1450.03</v>
      </c>
      <c r="AV182">
        <f>$H$182*$AB$182</f>
        <v>1450.03</v>
      </c>
      <c r="AW182">
        <f>$H$182*$AC$182</f>
        <v>1450.03</v>
      </c>
      <c r="AX182">
        <f>$H$182*$AD$182</f>
        <v>1450.03</v>
      </c>
      <c r="AY182">
        <f>$H$182*$AE$182</f>
        <v>1450.03</v>
      </c>
      <c r="AZ182">
        <f>$H$182*$AF$182</f>
        <v>1450.03</v>
      </c>
    </row>
    <row r="183" spans="1:52" x14ac:dyDescent="0.25">
      <c r="A183">
        <v>230</v>
      </c>
      <c r="B183" t="s">
        <v>241</v>
      </c>
      <c r="C183" t="s">
        <v>547</v>
      </c>
      <c r="D183">
        <v>1</v>
      </c>
      <c r="E183">
        <v>665.23</v>
      </c>
      <c r="F183" t="s">
        <v>265</v>
      </c>
      <c r="G183">
        <v>665.23</v>
      </c>
      <c r="H183">
        <v>798.27</v>
      </c>
      <c r="I183" t="s">
        <v>327</v>
      </c>
      <c r="J183" t="s">
        <v>548</v>
      </c>
      <c r="K183" t="s">
        <v>655</v>
      </c>
      <c r="L183" t="s">
        <v>170</v>
      </c>
      <c r="M183" t="s">
        <v>241</v>
      </c>
      <c r="N183" t="s">
        <v>12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241</v>
      </c>
      <c r="AH183" t="s">
        <v>12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798.27</v>
      </c>
      <c r="AT183">
        <f>$H$183*$Z$183</f>
        <v>798.27</v>
      </c>
      <c r="AU183">
        <f>$H$183*$AA$183</f>
        <v>798.27</v>
      </c>
      <c r="AV183">
        <f>$H$183*$AB$183</f>
        <v>798.27</v>
      </c>
      <c r="AW183">
        <f>$H$183*$AC$183</f>
        <v>798.27</v>
      </c>
      <c r="AX183">
        <f>$H$183*$AD$183</f>
        <v>798.27</v>
      </c>
      <c r="AY183">
        <f>$H$183*$AE$183</f>
        <v>798.27</v>
      </c>
      <c r="AZ183">
        <f>$H$183*$AF$183</f>
        <v>798.27</v>
      </c>
    </row>
    <row r="184" spans="1:52" x14ac:dyDescent="0.25">
      <c r="A184">
        <v>231</v>
      </c>
      <c r="B184" t="s">
        <v>241</v>
      </c>
      <c r="C184" t="s">
        <v>549</v>
      </c>
      <c r="D184">
        <v>1</v>
      </c>
      <c r="E184">
        <v>442.82</v>
      </c>
      <c r="F184" t="s">
        <v>265</v>
      </c>
      <c r="G184">
        <v>442.82</v>
      </c>
      <c r="H184">
        <v>531.38</v>
      </c>
      <c r="I184" t="s">
        <v>276</v>
      </c>
      <c r="J184" t="s">
        <v>550</v>
      </c>
      <c r="K184" t="s">
        <v>656</v>
      </c>
      <c r="L184" t="s">
        <v>170</v>
      </c>
      <c r="M184" t="s">
        <v>241</v>
      </c>
      <c r="N184" t="s">
        <v>12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241</v>
      </c>
      <c r="AH184" t="s">
        <v>12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531.38</v>
      </c>
      <c r="AV184">
        <f>$H$184*$AB$184</f>
        <v>531.38</v>
      </c>
      <c r="AW184">
        <f>$H$184*$AC$184</f>
        <v>531.38</v>
      </c>
      <c r="AX184">
        <f>$H$184*$AD$184</f>
        <v>531.38</v>
      </c>
      <c r="AY184">
        <f>$H$184*$AE$184</f>
        <v>531.38</v>
      </c>
      <c r="AZ184">
        <f>$H$184*$AF$184</f>
        <v>531.38</v>
      </c>
    </row>
    <row r="185" spans="1:52" x14ac:dyDescent="0.25">
      <c r="A185">
        <v>232</v>
      </c>
      <c r="B185" t="s">
        <v>241</v>
      </c>
      <c r="C185" t="s">
        <v>328</v>
      </c>
      <c r="D185">
        <v>10</v>
      </c>
      <c r="E185">
        <v>79.7</v>
      </c>
      <c r="F185" t="s">
        <v>262</v>
      </c>
      <c r="G185">
        <v>7.97</v>
      </c>
      <c r="H185">
        <v>95.64</v>
      </c>
      <c r="I185" t="s">
        <v>273</v>
      </c>
      <c r="J185" t="s">
        <v>329</v>
      </c>
      <c r="K185" t="s">
        <v>406</v>
      </c>
      <c r="L185" t="s">
        <v>170</v>
      </c>
      <c r="M185" t="s">
        <v>241</v>
      </c>
      <c r="N185" t="s">
        <v>12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1</v>
      </c>
      <c r="AF185">
        <v>1</v>
      </c>
      <c r="AG185" t="s">
        <v>241</v>
      </c>
      <c r="AH185" t="s">
        <v>12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0</v>
      </c>
      <c r="AV185">
        <f>$H$185*$AB$185</f>
        <v>0</v>
      </c>
      <c r="AW185">
        <f>$H$185*$AC$185</f>
        <v>0</v>
      </c>
      <c r="AX185">
        <f>$H$185*$AD$185</f>
        <v>95.64</v>
      </c>
      <c r="AY185">
        <f>$H$185*$AE$185</f>
        <v>95.64</v>
      </c>
      <c r="AZ185">
        <f>$H$185*$AF$185</f>
        <v>95.64</v>
      </c>
    </row>
    <row r="186" spans="1:52" x14ac:dyDescent="0.25">
      <c r="A186">
        <v>233</v>
      </c>
      <c r="B186" t="s">
        <v>241</v>
      </c>
      <c r="C186" t="s">
        <v>551</v>
      </c>
      <c r="D186">
        <v>1</v>
      </c>
      <c r="E186">
        <v>201.77</v>
      </c>
      <c r="F186" t="s">
        <v>265</v>
      </c>
      <c r="G186">
        <v>201.77</v>
      </c>
      <c r="H186">
        <v>242.13</v>
      </c>
      <c r="I186" t="s">
        <v>273</v>
      </c>
      <c r="J186" t="s">
        <v>552</v>
      </c>
      <c r="K186" t="s">
        <v>657</v>
      </c>
      <c r="L186" t="s">
        <v>170</v>
      </c>
      <c r="M186" t="s">
        <v>241</v>
      </c>
      <c r="N186" t="s">
        <v>12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1</v>
      </c>
      <c r="AF186">
        <v>1</v>
      </c>
      <c r="AG186" t="s">
        <v>241</v>
      </c>
      <c r="AH186" t="s">
        <v>12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0</v>
      </c>
      <c r="AV186">
        <f>$H$186*$AB$186</f>
        <v>0</v>
      </c>
      <c r="AW186">
        <f>$H$186*$AC$186</f>
        <v>0</v>
      </c>
      <c r="AX186">
        <f>$H$186*$AD$186</f>
        <v>242.13</v>
      </c>
      <c r="AY186">
        <f>$H$186*$AE$186</f>
        <v>242.13</v>
      </c>
      <c r="AZ186">
        <f>$H$186*$AF$186</f>
        <v>242.13</v>
      </c>
    </row>
    <row r="187" spans="1:52" x14ac:dyDescent="0.25">
      <c r="A187">
        <v>234</v>
      </c>
      <c r="B187" t="s">
        <v>241</v>
      </c>
      <c r="C187" t="s">
        <v>553</v>
      </c>
      <c r="D187">
        <v>1</v>
      </c>
      <c r="E187">
        <v>165.92</v>
      </c>
      <c r="F187" t="s">
        <v>265</v>
      </c>
      <c r="G187">
        <v>165.92</v>
      </c>
      <c r="H187">
        <v>199.1</v>
      </c>
      <c r="I187" t="s">
        <v>270</v>
      </c>
      <c r="J187" t="s">
        <v>554</v>
      </c>
      <c r="K187" t="s">
        <v>658</v>
      </c>
      <c r="L187" t="s">
        <v>170</v>
      </c>
      <c r="M187" t="s">
        <v>241</v>
      </c>
      <c r="N187" t="s">
        <v>12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1</v>
      </c>
      <c r="AF187">
        <v>1</v>
      </c>
      <c r="AG187" t="s">
        <v>241</v>
      </c>
      <c r="AH187" t="s">
        <v>12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0</v>
      </c>
      <c r="AV187">
        <f>$H$187*$AB$187</f>
        <v>0</v>
      </c>
      <c r="AW187">
        <f>$H$187*$AC$187</f>
        <v>0</v>
      </c>
      <c r="AX187">
        <f>$H$187*$AD$187</f>
        <v>199.1</v>
      </c>
      <c r="AY187">
        <f>$H$187*$AE$187</f>
        <v>199.1</v>
      </c>
      <c r="AZ187">
        <f>$H$187*$AF$187</f>
        <v>199.1</v>
      </c>
    </row>
    <row r="188" spans="1:52" x14ac:dyDescent="0.25">
      <c r="A188">
        <v>235</v>
      </c>
      <c r="B188" t="s">
        <v>241</v>
      </c>
      <c r="C188" t="s">
        <v>288</v>
      </c>
      <c r="D188">
        <v>1</v>
      </c>
      <c r="E188">
        <v>63.54</v>
      </c>
      <c r="F188" t="s">
        <v>265</v>
      </c>
      <c r="G188">
        <v>63.54</v>
      </c>
      <c r="H188">
        <v>76.239999999999995</v>
      </c>
      <c r="I188" t="s">
        <v>289</v>
      </c>
      <c r="J188" t="s">
        <v>290</v>
      </c>
      <c r="K188" t="s">
        <v>389</v>
      </c>
      <c r="L188" t="s">
        <v>170</v>
      </c>
      <c r="M188" t="s">
        <v>241</v>
      </c>
      <c r="N188" t="s">
        <v>12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241</v>
      </c>
      <c r="AH188" t="s">
        <v>12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76.239999999999995</v>
      </c>
      <c r="AV188">
        <f>$H$188*$AB$188</f>
        <v>76.239999999999995</v>
      </c>
      <c r="AW188">
        <f>$H$188*$AC$188</f>
        <v>76.239999999999995</v>
      </c>
      <c r="AX188">
        <f>$H$188*$AD$188</f>
        <v>76.239999999999995</v>
      </c>
      <c r="AY188">
        <f>$H$188*$AE$188</f>
        <v>76.239999999999995</v>
      </c>
      <c r="AZ188">
        <f>$H$188*$AF$188</f>
        <v>76.239999999999995</v>
      </c>
    </row>
    <row r="189" spans="1:52" x14ac:dyDescent="0.25">
      <c r="A189">
        <v>236</v>
      </c>
      <c r="B189" t="s">
        <v>241</v>
      </c>
      <c r="C189" t="s">
        <v>296</v>
      </c>
      <c r="D189">
        <v>2</v>
      </c>
      <c r="E189">
        <v>126.18</v>
      </c>
      <c r="F189" t="s">
        <v>265</v>
      </c>
      <c r="G189">
        <v>63.09</v>
      </c>
      <c r="H189">
        <v>151.41999999999999</v>
      </c>
      <c r="I189" t="s">
        <v>263</v>
      </c>
      <c r="J189" t="s">
        <v>292</v>
      </c>
      <c r="K189" t="s">
        <v>392</v>
      </c>
      <c r="L189" t="s">
        <v>170</v>
      </c>
      <c r="M189" t="s">
        <v>241</v>
      </c>
      <c r="N189" t="s">
        <v>12</v>
      </c>
      <c r="O189" t="s">
        <v>13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241</v>
      </c>
      <c r="AH189" t="s">
        <v>12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151.41999999999999</v>
      </c>
      <c r="AN189">
        <f>$H$189*$T$189</f>
        <v>151.41999999999999</v>
      </c>
      <c r="AO189">
        <f>$H$189*$U$189</f>
        <v>151.41999999999999</v>
      </c>
      <c r="AP189">
        <f>$H$189*$V$189</f>
        <v>151.41999999999999</v>
      </c>
      <c r="AQ189">
        <f>$H$189*$W$189</f>
        <v>151.41999999999999</v>
      </c>
      <c r="AR189">
        <f>$H$189*$X$189</f>
        <v>151.41999999999999</v>
      </c>
      <c r="AS189">
        <f>$H$189*$Y$189</f>
        <v>151.41999999999999</v>
      </c>
      <c r="AT189">
        <f>$H$189*$Z$189</f>
        <v>151.41999999999999</v>
      </c>
      <c r="AU189">
        <f>$H$189*$AA$189</f>
        <v>151.41999999999999</v>
      </c>
      <c r="AV189">
        <f>$H$189*$AB$189</f>
        <v>151.41999999999999</v>
      </c>
      <c r="AW189">
        <f>$H$189*$AC$189</f>
        <v>151.41999999999999</v>
      </c>
      <c r="AX189">
        <f>$H$189*$AD$189</f>
        <v>151.41999999999999</v>
      </c>
      <c r="AY189">
        <f>$H$189*$AE$189</f>
        <v>151.41999999999999</v>
      </c>
      <c r="AZ189">
        <f>$H$189*$AF$189</f>
        <v>151.41999999999999</v>
      </c>
    </row>
    <row r="190" spans="1:52" x14ac:dyDescent="0.25">
      <c r="A190">
        <v>237</v>
      </c>
      <c r="B190" t="s">
        <v>241</v>
      </c>
      <c r="C190" t="s">
        <v>294</v>
      </c>
      <c r="D190">
        <v>2</v>
      </c>
      <c r="E190">
        <v>106.22</v>
      </c>
      <c r="F190" t="s">
        <v>265</v>
      </c>
      <c r="G190">
        <v>53.11</v>
      </c>
      <c r="H190">
        <v>127.46</v>
      </c>
      <c r="I190" t="s">
        <v>263</v>
      </c>
      <c r="J190" t="s">
        <v>295</v>
      </c>
      <c r="K190" t="s">
        <v>391</v>
      </c>
      <c r="L190" t="s">
        <v>170</v>
      </c>
      <c r="M190" t="s">
        <v>241</v>
      </c>
      <c r="N190" t="s">
        <v>12</v>
      </c>
      <c r="O190" t="s">
        <v>13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241</v>
      </c>
      <c r="AH190" t="s">
        <v>12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127.46</v>
      </c>
      <c r="AN190">
        <f>$H$190*$T$190</f>
        <v>127.46</v>
      </c>
      <c r="AO190">
        <f>$H$190*$U$190</f>
        <v>127.46</v>
      </c>
      <c r="AP190">
        <f>$H$190*$V$190</f>
        <v>127.46</v>
      </c>
      <c r="AQ190">
        <f>$H$190*$W$190</f>
        <v>127.46</v>
      </c>
      <c r="AR190">
        <f>$H$190*$X$190</f>
        <v>127.46</v>
      </c>
      <c r="AS190">
        <f>$H$190*$Y$190</f>
        <v>127.46</v>
      </c>
      <c r="AT190">
        <f>$H$190*$Z$190</f>
        <v>127.46</v>
      </c>
      <c r="AU190">
        <f>$H$190*$AA$190</f>
        <v>127.46</v>
      </c>
      <c r="AV190">
        <f>$H$190*$AB$190</f>
        <v>127.46</v>
      </c>
      <c r="AW190">
        <f>$H$190*$AC$190</f>
        <v>127.46</v>
      </c>
      <c r="AX190">
        <f>$H$190*$AD$190</f>
        <v>127.46</v>
      </c>
      <c r="AY190">
        <f>$H$190*$AE$190</f>
        <v>127.46</v>
      </c>
      <c r="AZ190">
        <f>$H$190*$AF$190</f>
        <v>127.46</v>
      </c>
    </row>
    <row r="191" spans="1:52" x14ac:dyDescent="0.25">
      <c r="A191">
        <v>238</v>
      </c>
      <c r="B191" t="s">
        <v>241</v>
      </c>
      <c r="C191" t="s">
        <v>291</v>
      </c>
      <c r="D191">
        <v>1</v>
      </c>
      <c r="E191">
        <v>410.31</v>
      </c>
      <c r="F191" t="s">
        <v>265</v>
      </c>
      <c r="G191">
        <v>410.31</v>
      </c>
      <c r="H191">
        <v>492.37</v>
      </c>
      <c r="I191" t="s">
        <v>292</v>
      </c>
      <c r="J191" t="s">
        <v>293</v>
      </c>
      <c r="K191" t="s">
        <v>390</v>
      </c>
      <c r="L191" t="s">
        <v>170</v>
      </c>
      <c r="M191" t="s">
        <v>241</v>
      </c>
      <c r="N191" t="s">
        <v>12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241</v>
      </c>
      <c r="AH191" t="s">
        <v>12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492.37</v>
      </c>
      <c r="AO191">
        <f>$H$191*$U$191</f>
        <v>492.37</v>
      </c>
      <c r="AP191">
        <f>$H$191*$V$191</f>
        <v>492.37</v>
      </c>
      <c r="AQ191">
        <f>$H$191*$W$191</f>
        <v>492.37</v>
      </c>
      <c r="AR191">
        <f>$H$191*$X$191</f>
        <v>492.37</v>
      </c>
      <c r="AS191">
        <f>$H$191*$Y$191</f>
        <v>492.37</v>
      </c>
      <c r="AT191">
        <f>$H$191*$Z$191</f>
        <v>492.37</v>
      </c>
      <c r="AU191">
        <f>$H$191*$AA$191</f>
        <v>492.37</v>
      </c>
      <c r="AV191">
        <f>$H$191*$AB$191</f>
        <v>492.37</v>
      </c>
      <c r="AW191">
        <f>$H$191*$AC$191</f>
        <v>492.37</v>
      </c>
      <c r="AX191">
        <f>$H$191*$AD$191</f>
        <v>492.37</v>
      </c>
      <c r="AY191">
        <f>$H$191*$AE$191</f>
        <v>492.37</v>
      </c>
      <c r="AZ191">
        <f>$H$191*$AF$191</f>
        <v>492.37</v>
      </c>
    </row>
    <row r="192" spans="1:52" x14ac:dyDescent="0.25">
      <c r="A192">
        <v>239</v>
      </c>
      <c r="B192" t="s">
        <v>241</v>
      </c>
      <c r="C192" t="s">
        <v>330</v>
      </c>
      <c r="D192">
        <v>1</v>
      </c>
      <c r="E192">
        <v>37.28</v>
      </c>
      <c r="F192" t="s">
        <v>265</v>
      </c>
      <c r="G192">
        <v>37.28</v>
      </c>
      <c r="H192">
        <v>44.74</v>
      </c>
      <c r="I192" t="s">
        <v>267</v>
      </c>
      <c r="J192" t="s">
        <v>331</v>
      </c>
      <c r="K192" t="s">
        <v>407</v>
      </c>
      <c r="L192" t="s">
        <v>170</v>
      </c>
      <c r="M192" t="s">
        <v>241</v>
      </c>
      <c r="N192" t="s">
        <v>12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0.6</v>
      </c>
      <c r="Y192">
        <v>0.6</v>
      </c>
      <c r="Z192">
        <v>0.6</v>
      </c>
      <c r="AA192">
        <v>0.6</v>
      </c>
      <c r="AB192">
        <v>0.6</v>
      </c>
      <c r="AC192">
        <v>0.6</v>
      </c>
      <c r="AD192">
        <v>1</v>
      </c>
      <c r="AE192">
        <v>1</v>
      </c>
      <c r="AF192">
        <v>1</v>
      </c>
      <c r="AG192" t="s">
        <v>241</v>
      </c>
      <c r="AH192" t="s">
        <v>12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26.844000000000001</v>
      </c>
      <c r="AS192">
        <f>$H$192*$Y$192</f>
        <v>26.844000000000001</v>
      </c>
      <c r="AT192">
        <f>$H$192*$Z$192</f>
        <v>26.844000000000001</v>
      </c>
      <c r="AU192">
        <f>$H$192*$AA$192</f>
        <v>26.844000000000001</v>
      </c>
      <c r="AV192">
        <f>$H$192*$AB$192</f>
        <v>26.844000000000001</v>
      </c>
      <c r="AW192">
        <f>$H$192*$AC$192</f>
        <v>26.844000000000001</v>
      </c>
      <c r="AX192">
        <f>$H$192*$AD$192</f>
        <v>44.74</v>
      </c>
      <c r="AY192">
        <f>$H$192*$AE$192</f>
        <v>44.74</v>
      </c>
      <c r="AZ192">
        <f>$H$192*$AF$192</f>
        <v>44.74</v>
      </c>
    </row>
    <row r="193" spans="1:52" x14ac:dyDescent="0.25">
      <c r="A193">
        <v>240</v>
      </c>
      <c r="B193" t="s">
        <v>241</v>
      </c>
      <c r="C193" t="s">
        <v>559</v>
      </c>
      <c r="D193">
        <v>6</v>
      </c>
      <c r="E193">
        <v>1975.74</v>
      </c>
      <c r="F193" t="s">
        <v>262</v>
      </c>
      <c r="G193">
        <v>329.29</v>
      </c>
      <c r="H193">
        <v>2370.88</v>
      </c>
      <c r="I193" t="s">
        <v>332</v>
      </c>
      <c r="J193" t="s">
        <v>560</v>
      </c>
      <c r="K193" t="s">
        <v>661</v>
      </c>
      <c r="L193" t="s">
        <v>170</v>
      </c>
      <c r="M193" t="s">
        <v>241</v>
      </c>
      <c r="N193" t="s">
        <v>12</v>
      </c>
      <c r="O193" t="s">
        <v>13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241</v>
      </c>
      <c r="AH193" t="s">
        <v>12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2370.88</v>
      </c>
      <c r="AO193">
        <f>$H$193*$U$193</f>
        <v>2370.88</v>
      </c>
      <c r="AP193">
        <f>$H$193*$V$193</f>
        <v>2370.88</v>
      </c>
      <c r="AQ193">
        <f>$H$193*$W$193</f>
        <v>2370.88</v>
      </c>
      <c r="AR193">
        <f>$H$193*$X$193</f>
        <v>2370.88</v>
      </c>
      <c r="AS193">
        <f>$H$193*$Y$193</f>
        <v>2370.88</v>
      </c>
      <c r="AT193">
        <f>$H$193*$Z$193</f>
        <v>2370.88</v>
      </c>
      <c r="AU193">
        <f>$H$193*$AA$193</f>
        <v>2370.88</v>
      </c>
      <c r="AV193">
        <f>$H$193*$AB$193</f>
        <v>2370.88</v>
      </c>
      <c r="AW193">
        <f>$H$193*$AC$193</f>
        <v>2370.88</v>
      </c>
      <c r="AX193">
        <f>$H$193*$AD$193</f>
        <v>2370.88</v>
      </c>
      <c r="AY193">
        <f>$H$193*$AE$193</f>
        <v>2370.88</v>
      </c>
      <c r="AZ193">
        <f>$H$193*$AF$193</f>
        <v>2370.88</v>
      </c>
    </row>
    <row r="194" spans="1:52" x14ac:dyDescent="0.25">
      <c r="A194">
        <v>241</v>
      </c>
      <c r="B194" t="s">
        <v>241</v>
      </c>
      <c r="C194" t="s">
        <v>333</v>
      </c>
      <c r="D194">
        <v>10</v>
      </c>
      <c r="E194">
        <v>1017.8</v>
      </c>
      <c r="F194" t="s">
        <v>275</v>
      </c>
      <c r="G194">
        <v>101.78</v>
      </c>
      <c r="H194">
        <v>1221.3599999999999</v>
      </c>
      <c r="I194" t="s">
        <v>332</v>
      </c>
      <c r="J194" t="s">
        <v>334</v>
      </c>
      <c r="K194" t="s">
        <v>408</v>
      </c>
      <c r="L194" t="s">
        <v>170</v>
      </c>
      <c r="M194" t="s">
        <v>241</v>
      </c>
      <c r="N194" t="s">
        <v>12</v>
      </c>
      <c r="O194" t="s">
        <v>13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241</v>
      </c>
      <c r="AH194" t="s">
        <v>12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1221.3599999999999</v>
      </c>
      <c r="AU194">
        <f>$H$194*$AA$194</f>
        <v>1221.3599999999999</v>
      </c>
      <c r="AV194">
        <f>$H$194*$AB$194</f>
        <v>1221.3599999999999</v>
      </c>
      <c r="AW194">
        <f>$H$194*$AC$194</f>
        <v>1221.3599999999999</v>
      </c>
      <c r="AX194">
        <f>$H$194*$AD$194</f>
        <v>1221.3599999999999</v>
      </c>
      <c r="AY194">
        <f>$H$194*$AE$194</f>
        <v>1221.3599999999999</v>
      </c>
      <c r="AZ194">
        <f>$H$194*$AF$194</f>
        <v>1221.3599999999999</v>
      </c>
    </row>
    <row r="195" spans="1:52" x14ac:dyDescent="0.25">
      <c r="A195">
        <v>242</v>
      </c>
      <c r="B195" t="s">
        <v>241</v>
      </c>
      <c r="C195" t="s">
        <v>561</v>
      </c>
      <c r="D195">
        <v>1</v>
      </c>
      <c r="E195">
        <v>302.97000000000003</v>
      </c>
      <c r="F195" t="s">
        <v>265</v>
      </c>
      <c r="G195">
        <v>302.97000000000003</v>
      </c>
      <c r="H195">
        <v>363.57</v>
      </c>
      <c r="I195" t="s">
        <v>276</v>
      </c>
      <c r="J195" t="s">
        <v>562</v>
      </c>
      <c r="K195" t="s">
        <v>662</v>
      </c>
      <c r="L195" t="s">
        <v>170</v>
      </c>
      <c r="M195" t="s">
        <v>241</v>
      </c>
      <c r="N195" t="s">
        <v>12</v>
      </c>
      <c r="O195" t="s">
        <v>13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241</v>
      </c>
      <c r="AH195" t="s">
        <v>12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363.57</v>
      </c>
      <c r="AV195">
        <f>$H$195*$AB$195</f>
        <v>363.57</v>
      </c>
      <c r="AW195">
        <f>$H$195*$AC$195</f>
        <v>363.57</v>
      </c>
      <c r="AX195">
        <f>$H$195*$AD$195</f>
        <v>363.57</v>
      </c>
      <c r="AY195">
        <f>$H$195*$AE$195</f>
        <v>363.57</v>
      </c>
      <c r="AZ195">
        <f>$H$195*$AF$195</f>
        <v>363.57</v>
      </c>
    </row>
    <row r="196" spans="1:52" x14ac:dyDescent="0.25">
      <c r="A196">
        <v>243</v>
      </c>
      <c r="B196" t="s">
        <v>241</v>
      </c>
      <c r="C196" t="s">
        <v>508</v>
      </c>
      <c r="D196">
        <v>1.5</v>
      </c>
      <c r="E196">
        <v>1115.3399999999999</v>
      </c>
      <c r="F196" t="s">
        <v>265</v>
      </c>
      <c r="G196">
        <v>743.56</v>
      </c>
      <c r="H196">
        <v>1338.4</v>
      </c>
      <c r="I196" t="s">
        <v>276</v>
      </c>
      <c r="J196" t="s">
        <v>509</v>
      </c>
      <c r="K196" t="s">
        <v>634</v>
      </c>
      <c r="L196" t="s">
        <v>170</v>
      </c>
      <c r="M196" t="s">
        <v>241</v>
      </c>
      <c r="N196" t="s">
        <v>12</v>
      </c>
      <c r="O196" t="s">
        <v>13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241</v>
      </c>
      <c r="AH196" t="s">
        <v>12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1338.4</v>
      </c>
      <c r="AT196">
        <f>$H$196*$Z$196</f>
        <v>1338.4</v>
      </c>
      <c r="AU196">
        <f>$H$196*$AA$196</f>
        <v>1338.4</v>
      </c>
      <c r="AV196">
        <f>$H$196*$AB$196</f>
        <v>1338.4</v>
      </c>
      <c r="AW196">
        <f>$H$196*$AC$196</f>
        <v>1338.4</v>
      </c>
      <c r="AX196">
        <f>$H$196*$AD$196</f>
        <v>1338.4</v>
      </c>
      <c r="AY196">
        <f>$H$196*$AE$196</f>
        <v>1338.4</v>
      </c>
      <c r="AZ196">
        <f>$H$196*$AF$196</f>
        <v>1338.4</v>
      </c>
    </row>
    <row r="197" spans="1:52" x14ac:dyDescent="0.25">
      <c r="A197">
        <v>244</v>
      </c>
      <c r="B197" t="s">
        <v>241</v>
      </c>
      <c r="C197" t="s">
        <v>508</v>
      </c>
      <c r="D197">
        <v>0.5</v>
      </c>
      <c r="E197">
        <v>371.78</v>
      </c>
      <c r="F197" t="s">
        <v>265</v>
      </c>
      <c r="G197">
        <v>743.56</v>
      </c>
      <c r="H197">
        <v>446.14</v>
      </c>
      <c r="I197" t="s">
        <v>276</v>
      </c>
      <c r="J197" t="s">
        <v>509</v>
      </c>
      <c r="K197" t="s">
        <v>634</v>
      </c>
      <c r="L197" t="s">
        <v>170</v>
      </c>
      <c r="M197" t="s">
        <v>241</v>
      </c>
      <c r="N197" t="s">
        <v>12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241</v>
      </c>
      <c r="AH197" t="s">
        <v>12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446.14</v>
      </c>
      <c r="AT197">
        <f>$H$197*$Z$197</f>
        <v>446.14</v>
      </c>
      <c r="AU197">
        <f>$H$197*$AA$197</f>
        <v>446.14</v>
      </c>
      <c r="AV197">
        <f>$H$197*$AB$197</f>
        <v>446.14</v>
      </c>
      <c r="AW197">
        <f>$H$197*$AC$197</f>
        <v>446.14</v>
      </c>
      <c r="AX197">
        <f>$H$197*$AD$197</f>
        <v>446.14</v>
      </c>
      <c r="AY197">
        <f>$H$197*$AE$197</f>
        <v>446.14</v>
      </c>
      <c r="AZ197">
        <f>$H$197*$AF$197</f>
        <v>446.14</v>
      </c>
    </row>
    <row r="198" spans="1:52" x14ac:dyDescent="0.25">
      <c r="A198">
        <v>245</v>
      </c>
      <c r="B198" t="s">
        <v>241</v>
      </c>
      <c r="C198" t="s">
        <v>563</v>
      </c>
      <c r="D198">
        <v>2</v>
      </c>
      <c r="E198">
        <v>889.42</v>
      </c>
      <c r="F198" t="s">
        <v>265</v>
      </c>
      <c r="G198">
        <v>444.71</v>
      </c>
      <c r="H198">
        <v>1067.3</v>
      </c>
      <c r="I198" t="s">
        <v>276</v>
      </c>
      <c r="J198" t="s">
        <v>564</v>
      </c>
      <c r="K198" t="s">
        <v>663</v>
      </c>
      <c r="L198" t="s">
        <v>170</v>
      </c>
      <c r="M198" t="s">
        <v>241</v>
      </c>
      <c r="N198" t="s">
        <v>12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241</v>
      </c>
      <c r="AH198" t="s">
        <v>12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1067.3</v>
      </c>
      <c r="AV198">
        <f>$H$198*$AB$198</f>
        <v>1067.3</v>
      </c>
      <c r="AW198">
        <f>$H$198*$AC$198</f>
        <v>1067.3</v>
      </c>
      <c r="AX198">
        <f>$H$198*$AD$198</f>
        <v>1067.3</v>
      </c>
      <c r="AY198">
        <f>$H$198*$AE$198</f>
        <v>1067.3</v>
      </c>
      <c r="AZ198">
        <f>$H$198*$AF$198</f>
        <v>1067.3</v>
      </c>
    </row>
    <row r="199" spans="1:52" x14ac:dyDescent="0.25">
      <c r="A199">
        <v>246</v>
      </c>
      <c r="B199" t="s">
        <v>241</v>
      </c>
      <c r="C199" t="s">
        <v>335</v>
      </c>
      <c r="D199">
        <v>8.8699999999999992</v>
      </c>
      <c r="E199">
        <v>33.97</v>
      </c>
      <c r="F199" t="s">
        <v>262</v>
      </c>
      <c r="G199">
        <v>3.83</v>
      </c>
      <c r="H199">
        <v>40.770000000000003</v>
      </c>
      <c r="I199" t="s">
        <v>336</v>
      </c>
      <c r="J199" t="s">
        <v>337</v>
      </c>
      <c r="K199" t="s">
        <v>409</v>
      </c>
      <c r="L199" t="s">
        <v>170</v>
      </c>
      <c r="M199" t="s">
        <v>241</v>
      </c>
      <c r="N199" t="s">
        <v>12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241</v>
      </c>
      <c r="AH199" t="s">
        <v>12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40.770000000000003</v>
      </c>
      <c r="AV199">
        <f>$H$199*$AB$199</f>
        <v>40.770000000000003</v>
      </c>
      <c r="AW199">
        <f>$H$199*$AC$199</f>
        <v>40.770000000000003</v>
      </c>
      <c r="AX199">
        <f>$H$199*$AD$199</f>
        <v>40.770000000000003</v>
      </c>
      <c r="AY199">
        <f>$H$199*$AE$199</f>
        <v>40.770000000000003</v>
      </c>
      <c r="AZ199">
        <f>$H$199*$AF$199</f>
        <v>40.770000000000003</v>
      </c>
    </row>
    <row r="200" spans="1:52" x14ac:dyDescent="0.25">
      <c r="A200">
        <v>247</v>
      </c>
      <c r="B200" t="s">
        <v>241</v>
      </c>
      <c r="C200" t="s">
        <v>338</v>
      </c>
      <c r="D200">
        <v>79.8</v>
      </c>
      <c r="E200">
        <v>264.14</v>
      </c>
      <c r="F200" t="s">
        <v>275</v>
      </c>
      <c r="G200">
        <v>3.31</v>
      </c>
      <c r="H200">
        <v>316.95999999999998</v>
      </c>
      <c r="I200" t="s">
        <v>336</v>
      </c>
      <c r="J200" t="s">
        <v>339</v>
      </c>
      <c r="K200" t="s">
        <v>410</v>
      </c>
      <c r="L200" t="s">
        <v>170</v>
      </c>
      <c r="M200" t="s">
        <v>241</v>
      </c>
      <c r="N200" t="s">
        <v>12</v>
      </c>
      <c r="O200" t="s">
        <v>13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241</v>
      </c>
      <c r="AH200" t="s">
        <v>12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316.95999999999998</v>
      </c>
      <c r="AN200">
        <f>$H$200*$T$200</f>
        <v>316.95999999999998</v>
      </c>
      <c r="AO200">
        <f>$H$200*$U$200</f>
        <v>316.95999999999998</v>
      </c>
      <c r="AP200">
        <f>$H$200*$V$200</f>
        <v>316.95999999999998</v>
      </c>
      <c r="AQ200">
        <f>$H$200*$W$200</f>
        <v>316.95999999999998</v>
      </c>
      <c r="AR200">
        <f>$H$200*$X$200</f>
        <v>316.95999999999998</v>
      </c>
      <c r="AS200">
        <f>$H$200*$Y$200</f>
        <v>316.95999999999998</v>
      </c>
      <c r="AT200">
        <f>$H$200*$Z$200</f>
        <v>316.95999999999998</v>
      </c>
      <c r="AU200">
        <f>$H$200*$AA$200</f>
        <v>316.95999999999998</v>
      </c>
      <c r="AV200">
        <f>$H$200*$AB$200</f>
        <v>316.95999999999998</v>
      </c>
      <c r="AW200">
        <f>$H$200*$AC$200</f>
        <v>316.95999999999998</v>
      </c>
      <c r="AX200">
        <f>$H$200*$AD$200</f>
        <v>316.95999999999998</v>
      </c>
      <c r="AY200">
        <f>$H$200*$AE$200</f>
        <v>316.95999999999998</v>
      </c>
      <c r="AZ200">
        <f>$H$200*$AF$200</f>
        <v>316.95999999999998</v>
      </c>
    </row>
    <row r="201" spans="1:52" x14ac:dyDescent="0.25">
      <c r="A201">
        <v>248</v>
      </c>
      <c r="B201" t="s">
        <v>241</v>
      </c>
      <c r="C201" t="s">
        <v>340</v>
      </c>
      <c r="D201">
        <v>79.8</v>
      </c>
      <c r="E201">
        <v>84.59</v>
      </c>
      <c r="F201" t="s">
        <v>275</v>
      </c>
      <c r="G201">
        <v>1.06</v>
      </c>
      <c r="H201">
        <v>101.51</v>
      </c>
      <c r="I201" t="s">
        <v>263</v>
      </c>
      <c r="J201" t="s">
        <v>341</v>
      </c>
      <c r="K201" t="s">
        <v>411</v>
      </c>
      <c r="L201" t="s">
        <v>170</v>
      </c>
      <c r="M201" t="s">
        <v>241</v>
      </c>
      <c r="N201" t="s">
        <v>12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241</v>
      </c>
      <c r="AH201" t="s">
        <v>12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101.51</v>
      </c>
      <c r="AY201">
        <f>$H$201*$AE$201</f>
        <v>101.51</v>
      </c>
      <c r="AZ201">
        <f>$H$201*$AF$201</f>
        <v>101.51</v>
      </c>
    </row>
    <row r="202" spans="1:52" x14ac:dyDescent="0.25">
      <c r="A202">
        <v>249</v>
      </c>
      <c r="B202" t="s">
        <v>241</v>
      </c>
      <c r="C202" t="s">
        <v>283</v>
      </c>
      <c r="D202">
        <v>99.75</v>
      </c>
      <c r="E202">
        <v>161.6</v>
      </c>
      <c r="F202" t="s">
        <v>275</v>
      </c>
      <c r="G202">
        <v>1.62</v>
      </c>
      <c r="H202">
        <v>193.92</v>
      </c>
      <c r="I202" t="s">
        <v>263</v>
      </c>
      <c r="J202" t="s">
        <v>284</v>
      </c>
      <c r="K202" t="s">
        <v>387</v>
      </c>
      <c r="L202" t="s">
        <v>170</v>
      </c>
      <c r="M202" t="s">
        <v>241</v>
      </c>
      <c r="N202" t="s">
        <v>12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241</v>
      </c>
      <c r="AH202" t="s">
        <v>12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193.92</v>
      </c>
      <c r="AO202">
        <f>$H$202*$U$202</f>
        <v>193.92</v>
      </c>
      <c r="AP202">
        <f>$H$202*$V$202</f>
        <v>193.92</v>
      </c>
      <c r="AQ202">
        <f>$H$202*$W$202</f>
        <v>193.92</v>
      </c>
      <c r="AR202">
        <f>$H$202*$X$202</f>
        <v>193.92</v>
      </c>
      <c r="AS202">
        <f>$H$202*$Y$202</f>
        <v>193.92</v>
      </c>
      <c r="AT202">
        <f>$H$202*$Z$202</f>
        <v>193.92</v>
      </c>
      <c r="AU202">
        <f>$H$202*$AA$202</f>
        <v>193.92</v>
      </c>
      <c r="AV202">
        <f>$H$202*$AB$202</f>
        <v>193.92</v>
      </c>
      <c r="AW202">
        <f>$H$202*$AC$202</f>
        <v>193.92</v>
      </c>
      <c r="AX202">
        <f>$H$202*$AD$202</f>
        <v>193.92</v>
      </c>
      <c r="AY202">
        <f>$H$202*$AE$202</f>
        <v>193.92</v>
      </c>
      <c r="AZ202">
        <f>$H$202*$AF$202</f>
        <v>193.92</v>
      </c>
    </row>
    <row r="203" spans="1:52" x14ac:dyDescent="0.25">
      <c r="A203">
        <v>250</v>
      </c>
      <c r="B203" t="s">
        <v>241</v>
      </c>
      <c r="C203" t="s">
        <v>526</v>
      </c>
      <c r="D203">
        <v>19.95</v>
      </c>
      <c r="E203">
        <v>84.39</v>
      </c>
      <c r="F203" t="s">
        <v>275</v>
      </c>
      <c r="G203">
        <v>4.2300000000000004</v>
      </c>
      <c r="H203">
        <v>101.27</v>
      </c>
      <c r="I203" t="s">
        <v>527</v>
      </c>
      <c r="J203" t="s">
        <v>309</v>
      </c>
      <c r="K203" t="s">
        <v>644</v>
      </c>
      <c r="L203" t="s">
        <v>170</v>
      </c>
      <c r="M203" t="s">
        <v>241</v>
      </c>
      <c r="N203" t="s">
        <v>12</v>
      </c>
      <c r="O203" t="s">
        <v>13</v>
      </c>
      <c r="P203">
        <v>0</v>
      </c>
      <c r="Q203">
        <v>0</v>
      </c>
      <c r="R203">
        <v>0</v>
      </c>
      <c r="S203">
        <v>0.25</v>
      </c>
      <c r="T203">
        <v>0.25</v>
      </c>
      <c r="U203">
        <v>0.25</v>
      </c>
      <c r="V203">
        <v>0.25</v>
      </c>
      <c r="W203">
        <v>0.25</v>
      </c>
      <c r="X203">
        <v>0.5</v>
      </c>
      <c r="Y203">
        <v>0.5</v>
      </c>
      <c r="Z203">
        <v>0.5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241</v>
      </c>
      <c r="AH203" t="s">
        <v>12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25.317499999999999</v>
      </c>
      <c r="AN203">
        <f>$H$203*$T$203</f>
        <v>25.317499999999999</v>
      </c>
      <c r="AO203">
        <f>$H$203*$U$203</f>
        <v>25.317499999999999</v>
      </c>
      <c r="AP203">
        <f>$H$203*$V$203</f>
        <v>25.317499999999999</v>
      </c>
      <c r="AQ203">
        <f>$H$203*$W$203</f>
        <v>25.317499999999999</v>
      </c>
      <c r="AR203">
        <f>$H$203*$X$203</f>
        <v>50.634999999999998</v>
      </c>
      <c r="AS203">
        <f>$H$203*$Y$203</f>
        <v>50.634999999999998</v>
      </c>
      <c r="AT203">
        <f>$H$203*$Z$203</f>
        <v>50.634999999999998</v>
      </c>
      <c r="AU203">
        <f>$H$203*$AA$203</f>
        <v>101.27</v>
      </c>
      <c r="AV203">
        <f>$H$203*$AB$203</f>
        <v>101.27</v>
      </c>
      <c r="AW203">
        <f>$H$203*$AC$203</f>
        <v>101.27</v>
      </c>
      <c r="AX203">
        <f>$H$203*$AD$203</f>
        <v>101.27</v>
      </c>
      <c r="AY203">
        <f>$H$203*$AE$203</f>
        <v>101.27</v>
      </c>
      <c r="AZ203">
        <f>$H$203*$AF$203</f>
        <v>101.27</v>
      </c>
    </row>
    <row r="204" spans="1:52" x14ac:dyDescent="0.25">
      <c r="A204">
        <v>251</v>
      </c>
      <c r="B204" t="s">
        <v>241</v>
      </c>
      <c r="C204" t="s">
        <v>285</v>
      </c>
      <c r="D204">
        <v>199.5</v>
      </c>
      <c r="E204">
        <v>823.94</v>
      </c>
      <c r="F204" t="s">
        <v>275</v>
      </c>
      <c r="G204">
        <v>4.13</v>
      </c>
      <c r="H204">
        <v>988.72</v>
      </c>
      <c r="I204" t="s">
        <v>286</v>
      </c>
      <c r="J204" t="s">
        <v>287</v>
      </c>
      <c r="K204" t="s">
        <v>388</v>
      </c>
      <c r="L204" t="s">
        <v>170</v>
      </c>
      <c r="M204" t="s">
        <v>241</v>
      </c>
      <c r="N204" t="s">
        <v>12</v>
      </c>
      <c r="O204" t="s">
        <v>13</v>
      </c>
      <c r="P204">
        <v>0</v>
      </c>
      <c r="Q204">
        <v>0</v>
      </c>
      <c r="R204">
        <v>0</v>
      </c>
      <c r="S204">
        <v>0.25</v>
      </c>
      <c r="T204">
        <v>0.25</v>
      </c>
      <c r="U204">
        <v>0.25</v>
      </c>
      <c r="V204">
        <v>0.25</v>
      </c>
      <c r="W204">
        <v>0.5</v>
      </c>
      <c r="X204">
        <v>0.5</v>
      </c>
      <c r="Y204">
        <v>0.5</v>
      </c>
      <c r="Z204">
        <v>0.5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241</v>
      </c>
      <c r="AH204" t="s">
        <v>12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247.18</v>
      </c>
      <c r="AN204">
        <f>$H$204*$T$204</f>
        <v>247.18</v>
      </c>
      <c r="AO204">
        <f>$H$204*$U$204</f>
        <v>247.18</v>
      </c>
      <c r="AP204">
        <f>$H$204*$V$204</f>
        <v>247.18</v>
      </c>
      <c r="AQ204">
        <f>$H$204*$W$204</f>
        <v>494.36</v>
      </c>
      <c r="AR204">
        <f>$H$204*$X$204</f>
        <v>494.36</v>
      </c>
      <c r="AS204">
        <f>$H$204*$Y$204</f>
        <v>494.36</v>
      </c>
      <c r="AT204">
        <f>$H$204*$Z$204</f>
        <v>494.36</v>
      </c>
      <c r="AU204">
        <f>$H$204*$AA$204</f>
        <v>988.72</v>
      </c>
      <c r="AV204">
        <f>$H$204*$AB$204</f>
        <v>988.72</v>
      </c>
      <c r="AW204">
        <f>$H$204*$AC$204</f>
        <v>988.72</v>
      </c>
      <c r="AX204">
        <f>$H$204*$AD$204</f>
        <v>988.72</v>
      </c>
      <c r="AY204">
        <f>$H$204*$AE$204</f>
        <v>988.72</v>
      </c>
      <c r="AZ204">
        <f>$H$204*$AF$204</f>
        <v>988.72</v>
      </c>
    </row>
    <row r="205" spans="1:52" x14ac:dyDescent="0.25">
      <c r="A205">
        <v>252</v>
      </c>
      <c r="B205" t="s">
        <v>241</v>
      </c>
      <c r="C205" t="s">
        <v>342</v>
      </c>
      <c r="D205">
        <v>22.17</v>
      </c>
      <c r="E205">
        <v>58.53</v>
      </c>
      <c r="F205" t="s">
        <v>262</v>
      </c>
      <c r="G205">
        <v>2.64</v>
      </c>
      <c r="H205">
        <v>70.23</v>
      </c>
      <c r="I205" t="s">
        <v>263</v>
      </c>
      <c r="J205" t="s">
        <v>343</v>
      </c>
      <c r="K205" t="s">
        <v>412</v>
      </c>
      <c r="L205" t="s">
        <v>170</v>
      </c>
      <c r="M205" t="s">
        <v>241</v>
      </c>
      <c r="N205" t="s">
        <v>12</v>
      </c>
      <c r="O205" t="s">
        <v>13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241</v>
      </c>
      <c r="AH205" t="s">
        <v>12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70.23</v>
      </c>
      <c r="AN205">
        <f>$H$205*$T$205</f>
        <v>70.23</v>
      </c>
      <c r="AO205">
        <f>$H$205*$U$205</f>
        <v>70.23</v>
      </c>
      <c r="AP205">
        <f>$H$205*$V$205</f>
        <v>70.23</v>
      </c>
      <c r="AQ205">
        <f>$H$205*$W$205</f>
        <v>70.23</v>
      </c>
      <c r="AR205">
        <f>$H$205*$X$205</f>
        <v>70.23</v>
      </c>
      <c r="AS205">
        <f>$H$205*$Y$205</f>
        <v>70.23</v>
      </c>
      <c r="AT205">
        <f>$H$205*$Z$205</f>
        <v>70.23</v>
      </c>
      <c r="AU205">
        <f>$H$205*$AA$205</f>
        <v>70.23</v>
      </c>
      <c r="AV205">
        <f>$H$205*$AB$205</f>
        <v>70.23</v>
      </c>
      <c r="AW205">
        <f>$H$205*$AC$205</f>
        <v>70.23</v>
      </c>
      <c r="AX205">
        <f>$H$205*$AD$205</f>
        <v>70.23</v>
      </c>
      <c r="AY205">
        <f>$H$205*$AE$205</f>
        <v>70.23</v>
      </c>
      <c r="AZ205">
        <f>$H$205*$AF$205</f>
        <v>70.23</v>
      </c>
    </row>
    <row r="206" spans="1:52" x14ac:dyDescent="0.25">
      <c r="A206">
        <v>253</v>
      </c>
      <c r="B206" t="s">
        <v>241</v>
      </c>
      <c r="C206" t="s">
        <v>344</v>
      </c>
      <c r="D206">
        <v>22.17</v>
      </c>
      <c r="E206">
        <v>137.22999999999999</v>
      </c>
      <c r="F206" t="s">
        <v>262</v>
      </c>
      <c r="G206">
        <v>6.19</v>
      </c>
      <c r="H206">
        <v>164.67</v>
      </c>
      <c r="I206" t="s">
        <v>264</v>
      </c>
      <c r="J206" t="s">
        <v>345</v>
      </c>
      <c r="K206" t="s">
        <v>413</v>
      </c>
      <c r="L206" t="s">
        <v>170</v>
      </c>
      <c r="M206" t="s">
        <v>241</v>
      </c>
      <c r="N206" t="s">
        <v>12</v>
      </c>
      <c r="O206" t="s">
        <v>13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241</v>
      </c>
      <c r="AH206" t="s">
        <v>12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164.67</v>
      </c>
      <c r="AN206">
        <f>$H$206*$T$206</f>
        <v>164.67</v>
      </c>
      <c r="AO206">
        <f>$H$206*$U$206</f>
        <v>164.67</v>
      </c>
      <c r="AP206">
        <f>$H$206*$V$206</f>
        <v>164.67</v>
      </c>
      <c r="AQ206">
        <f>$H$206*$W$206</f>
        <v>164.67</v>
      </c>
      <c r="AR206">
        <f>$H$206*$X$206</f>
        <v>164.67</v>
      </c>
      <c r="AS206">
        <f>$H$206*$Y$206</f>
        <v>164.67</v>
      </c>
      <c r="AT206">
        <f>$H$206*$Z$206</f>
        <v>164.67</v>
      </c>
      <c r="AU206">
        <f>$H$206*$AA$206</f>
        <v>164.67</v>
      </c>
      <c r="AV206">
        <f>$H$206*$AB$206</f>
        <v>164.67</v>
      </c>
      <c r="AW206">
        <f>$H$206*$AC$206</f>
        <v>164.67</v>
      </c>
      <c r="AX206">
        <f>$H$206*$AD$206</f>
        <v>164.67</v>
      </c>
      <c r="AY206">
        <f>$H$206*$AE$206</f>
        <v>164.67</v>
      </c>
      <c r="AZ206">
        <f>$H$206*$AF$206</f>
        <v>164.67</v>
      </c>
    </row>
    <row r="207" spans="1:52" x14ac:dyDescent="0.25">
      <c r="A207">
        <v>254</v>
      </c>
      <c r="B207" t="s">
        <v>241</v>
      </c>
      <c r="C207" t="s">
        <v>285</v>
      </c>
      <c r="D207">
        <v>29.04</v>
      </c>
      <c r="E207">
        <v>119.94</v>
      </c>
      <c r="F207" t="s">
        <v>275</v>
      </c>
      <c r="G207">
        <v>4.13</v>
      </c>
      <c r="H207">
        <v>143.91999999999999</v>
      </c>
      <c r="I207" t="s">
        <v>286</v>
      </c>
      <c r="J207" t="s">
        <v>287</v>
      </c>
      <c r="K207" t="s">
        <v>388</v>
      </c>
      <c r="L207" t="s">
        <v>170</v>
      </c>
      <c r="M207" t="s">
        <v>241</v>
      </c>
      <c r="N207" t="s">
        <v>12</v>
      </c>
      <c r="O207" t="s">
        <v>13</v>
      </c>
      <c r="P207">
        <v>0</v>
      </c>
      <c r="Q207">
        <v>0</v>
      </c>
      <c r="R207">
        <v>0</v>
      </c>
      <c r="S207">
        <v>0.25</v>
      </c>
      <c r="T207">
        <v>0.25</v>
      </c>
      <c r="U207">
        <v>0.25</v>
      </c>
      <c r="V207">
        <v>0.25</v>
      </c>
      <c r="W207">
        <v>0.5</v>
      </c>
      <c r="X207">
        <v>0.5</v>
      </c>
      <c r="Y207">
        <v>0.5</v>
      </c>
      <c r="Z207">
        <v>0.5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241</v>
      </c>
      <c r="AH207" t="s">
        <v>12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35.979999999999997</v>
      </c>
      <c r="AN207">
        <f>$H$207*$T$207</f>
        <v>35.979999999999997</v>
      </c>
      <c r="AO207">
        <f>$H$207*$U$207</f>
        <v>35.979999999999997</v>
      </c>
      <c r="AP207">
        <f>$H$207*$V$207</f>
        <v>35.979999999999997</v>
      </c>
      <c r="AQ207">
        <f>$H$207*$W$207</f>
        <v>71.959999999999994</v>
      </c>
      <c r="AR207">
        <f>$H$207*$X$207</f>
        <v>71.959999999999994</v>
      </c>
      <c r="AS207">
        <f>$H$207*$Y$207</f>
        <v>71.959999999999994</v>
      </c>
      <c r="AT207">
        <f>$H$207*$Z$207</f>
        <v>71.959999999999994</v>
      </c>
      <c r="AU207">
        <f>$H$207*$AA$207</f>
        <v>143.91999999999999</v>
      </c>
      <c r="AV207">
        <f>$H$207*$AB$207</f>
        <v>143.91999999999999</v>
      </c>
      <c r="AW207">
        <f>$H$207*$AC$207</f>
        <v>143.91999999999999</v>
      </c>
      <c r="AX207">
        <f>$H$207*$AD$207</f>
        <v>143.91999999999999</v>
      </c>
      <c r="AY207">
        <f>$H$207*$AE$207</f>
        <v>143.91999999999999</v>
      </c>
      <c r="AZ207">
        <f>$H$207*$AF$207</f>
        <v>143.91999999999999</v>
      </c>
    </row>
    <row r="208" spans="1:52" x14ac:dyDescent="0.25">
      <c r="A208">
        <v>255</v>
      </c>
      <c r="B208" t="s">
        <v>241</v>
      </c>
      <c r="C208" t="s">
        <v>340</v>
      </c>
      <c r="D208">
        <v>29.04</v>
      </c>
      <c r="E208">
        <v>30.78</v>
      </c>
      <c r="F208" t="s">
        <v>275</v>
      </c>
      <c r="G208">
        <v>1.06</v>
      </c>
      <c r="H208">
        <v>36.94</v>
      </c>
      <c r="I208" t="s">
        <v>263</v>
      </c>
      <c r="J208" t="s">
        <v>341</v>
      </c>
      <c r="K208" t="s">
        <v>411</v>
      </c>
      <c r="L208" t="s">
        <v>170</v>
      </c>
      <c r="M208" t="s">
        <v>241</v>
      </c>
      <c r="N208" t="s">
        <v>12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241</v>
      </c>
      <c r="AH208" t="s">
        <v>12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36.94</v>
      </c>
      <c r="AY208">
        <f>$H$208*$AE$208</f>
        <v>36.94</v>
      </c>
      <c r="AZ208">
        <f>$H$208*$AF$208</f>
        <v>36.94</v>
      </c>
    </row>
    <row r="209" spans="1:52" x14ac:dyDescent="0.25">
      <c r="A209">
        <v>256</v>
      </c>
      <c r="B209" t="s">
        <v>241</v>
      </c>
      <c r="C209" t="s">
        <v>346</v>
      </c>
      <c r="D209">
        <v>29.04</v>
      </c>
      <c r="E209">
        <v>32.520000000000003</v>
      </c>
      <c r="F209" t="s">
        <v>275</v>
      </c>
      <c r="G209">
        <v>1.1200000000000001</v>
      </c>
      <c r="H209">
        <v>39.020000000000003</v>
      </c>
      <c r="I209" t="s">
        <v>263</v>
      </c>
      <c r="J209" t="s">
        <v>347</v>
      </c>
      <c r="K209" t="s">
        <v>414</v>
      </c>
      <c r="L209" t="s">
        <v>170</v>
      </c>
      <c r="M209" t="s">
        <v>241</v>
      </c>
      <c r="N209" t="s">
        <v>12</v>
      </c>
      <c r="O209" t="s">
        <v>13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241</v>
      </c>
      <c r="AH209" t="s">
        <v>12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39.020000000000003</v>
      </c>
      <c r="AN209">
        <f>$H$209*$T$209</f>
        <v>39.020000000000003</v>
      </c>
      <c r="AO209">
        <f>$H$209*$U$209</f>
        <v>39.020000000000003</v>
      </c>
      <c r="AP209">
        <f>$H$209*$V$209</f>
        <v>39.020000000000003</v>
      </c>
      <c r="AQ209">
        <f>$H$209*$W$209</f>
        <v>39.020000000000003</v>
      </c>
      <c r="AR209">
        <f>$H$209*$X$209</f>
        <v>39.020000000000003</v>
      </c>
      <c r="AS209">
        <f>$H$209*$Y$209</f>
        <v>39.020000000000003</v>
      </c>
      <c r="AT209">
        <f>$H$209*$Z$209</f>
        <v>39.020000000000003</v>
      </c>
      <c r="AU209">
        <f>$H$209*$AA$209</f>
        <v>39.020000000000003</v>
      </c>
      <c r="AV209">
        <f>$H$209*$AB$209</f>
        <v>39.020000000000003</v>
      </c>
      <c r="AW209">
        <f>$H$209*$AC$209</f>
        <v>39.020000000000003</v>
      </c>
      <c r="AX209">
        <f>$H$209*$AD$209</f>
        <v>39.020000000000003</v>
      </c>
      <c r="AY209">
        <f>$H$209*$AE$209</f>
        <v>39.020000000000003</v>
      </c>
      <c r="AZ209">
        <f>$H$209*$AF$209</f>
        <v>39.020000000000003</v>
      </c>
    </row>
    <row r="210" spans="1:52" x14ac:dyDescent="0.25">
      <c r="A210">
        <v>257</v>
      </c>
      <c r="B210" t="s">
        <v>241</v>
      </c>
      <c r="C210" t="s">
        <v>528</v>
      </c>
      <c r="D210">
        <v>5.81</v>
      </c>
      <c r="E210">
        <v>121.72</v>
      </c>
      <c r="F210" t="s">
        <v>275</v>
      </c>
      <c r="G210">
        <v>20.95</v>
      </c>
      <c r="H210">
        <v>146.06</v>
      </c>
      <c r="I210" t="s">
        <v>348</v>
      </c>
      <c r="J210" t="s">
        <v>529</v>
      </c>
      <c r="K210" t="s">
        <v>645</v>
      </c>
      <c r="L210" t="s">
        <v>170</v>
      </c>
      <c r="M210" t="s">
        <v>241</v>
      </c>
      <c r="N210" t="s">
        <v>12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241</v>
      </c>
      <c r="AH210" t="s">
        <v>12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146.06</v>
      </c>
      <c r="AT210">
        <f>$H$210*$Z$210</f>
        <v>146.06</v>
      </c>
      <c r="AU210">
        <f>$H$210*$AA$210</f>
        <v>146.06</v>
      </c>
      <c r="AV210">
        <f>$H$210*$AB$210</f>
        <v>146.06</v>
      </c>
      <c r="AW210">
        <f>$H$210*$AC$210</f>
        <v>146.06</v>
      </c>
      <c r="AX210">
        <f>$H$210*$AD$210</f>
        <v>146.06</v>
      </c>
      <c r="AY210">
        <f>$H$210*$AE$210</f>
        <v>146.06</v>
      </c>
      <c r="AZ210">
        <f>$H$210*$AF$210</f>
        <v>146.06</v>
      </c>
    </row>
    <row r="211" spans="1:52" x14ac:dyDescent="0.25">
      <c r="A211">
        <v>258</v>
      </c>
      <c r="B211" t="s">
        <v>241</v>
      </c>
      <c r="C211" t="s">
        <v>349</v>
      </c>
      <c r="D211">
        <v>11.62</v>
      </c>
      <c r="E211">
        <v>49.5</v>
      </c>
      <c r="F211" t="s">
        <v>275</v>
      </c>
      <c r="G211">
        <v>4.26</v>
      </c>
      <c r="H211">
        <v>59.4</v>
      </c>
      <c r="I211" t="s">
        <v>350</v>
      </c>
      <c r="J211" t="s">
        <v>351</v>
      </c>
      <c r="K211" t="s">
        <v>415</v>
      </c>
      <c r="L211" t="s">
        <v>170</v>
      </c>
      <c r="M211" t="s">
        <v>241</v>
      </c>
      <c r="N211" t="s">
        <v>12</v>
      </c>
      <c r="O211" t="s">
        <v>13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241</v>
      </c>
      <c r="AH211" t="s">
        <v>12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59.4</v>
      </c>
      <c r="AN211">
        <f>$H$211*$T$211</f>
        <v>59.4</v>
      </c>
      <c r="AO211">
        <f>$H$211*$U$211</f>
        <v>59.4</v>
      </c>
      <c r="AP211">
        <f>$H$211*$V$211</f>
        <v>59.4</v>
      </c>
      <c r="AQ211">
        <f>$H$211*$W$211</f>
        <v>59.4</v>
      </c>
      <c r="AR211">
        <f>$H$211*$X$211</f>
        <v>59.4</v>
      </c>
      <c r="AS211">
        <f>$H$211*$Y$211</f>
        <v>59.4</v>
      </c>
      <c r="AT211">
        <f>$H$211*$Z$211</f>
        <v>59.4</v>
      </c>
      <c r="AU211">
        <f>$H$211*$AA$211</f>
        <v>59.4</v>
      </c>
      <c r="AV211">
        <f>$H$211*$AB$211</f>
        <v>59.4</v>
      </c>
      <c r="AW211">
        <f>$H$211*$AC$211</f>
        <v>59.4</v>
      </c>
      <c r="AX211">
        <f>$H$211*$AD$211</f>
        <v>59.4</v>
      </c>
      <c r="AY211">
        <f>$H$211*$AE$211</f>
        <v>59.4</v>
      </c>
      <c r="AZ211">
        <f>$H$211*$AF$211</f>
        <v>59.4</v>
      </c>
    </row>
    <row r="212" spans="1:52" x14ac:dyDescent="0.25">
      <c r="A212">
        <v>259</v>
      </c>
      <c r="B212" t="s">
        <v>241</v>
      </c>
      <c r="C212" t="s">
        <v>352</v>
      </c>
      <c r="D212">
        <v>11.62</v>
      </c>
      <c r="E212">
        <v>124.8</v>
      </c>
      <c r="F212" t="s">
        <v>275</v>
      </c>
      <c r="G212">
        <v>10.74</v>
      </c>
      <c r="H212">
        <v>149.76</v>
      </c>
      <c r="I212" t="s">
        <v>350</v>
      </c>
      <c r="J212" t="s">
        <v>293</v>
      </c>
      <c r="K212" t="s">
        <v>416</v>
      </c>
      <c r="L212" t="s">
        <v>170</v>
      </c>
      <c r="M212" t="s">
        <v>241</v>
      </c>
      <c r="N212" t="s">
        <v>12</v>
      </c>
      <c r="O212" t="s">
        <v>13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241</v>
      </c>
      <c r="AH212" t="s">
        <v>12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149.76</v>
      </c>
      <c r="AN212">
        <f>$H$212*$T$212</f>
        <v>149.76</v>
      </c>
      <c r="AO212">
        <f>$H$212*$U$212</f>
        <v>149.76</v>
      </c>
      <c r="AP212">
        <f>$H$212*$V$212</f>
        <v>149.76</v>
      </c>
      <c r="AQ212">
        <f>$H$212*$W$212</f>
        <v>149.76</v>
      </c>
      <c r="AR212">
        <f>$H$212*$X$212</f>
        <v>149.76</v>
      </c>
      <c r="AS212">
        <f>$H$212*$Y$212</f>
        <v>149.76</v>
      </c>
      <c r="AT212">
        <f>$H$212*$Z$212</f>
        <v>149.76</v>
      </c>
      <c r="AU212">
        <f>$H$212*$AA$212</f>
        <v>149.76</v>
      </c>
      <c r="AV212">
        <f>$H$212*$AB$212</f>
        <v>149.76</v>
      </c>
      <c r="AW212">
        <f>$H$212*$AC$212</f>
        <v>149.76</v>
      </c>
      <c r="AX212">
        <f>$H$212*$AD$212</f>
        <v>149.76</v>
      </c>
      <c r="AY212">
        <f>$H$212*$AE$212</f>
        <v>149.76</v>
      </c>
      <c r="AZ212">
        <f>$H$212*$AF$212</f>
        <v>149.76</v>
      </c>
    </row>
    <row r="213" spans="1:52" x14ac:dyDescent="0.25">
      <c r="A213">
        <v>260</v>
      </c>
      <c r="B213" t="s">
        <v>241</v>
      </c>
      <c r="C213" t="s">
        <v>530</v>
      </c>
      <c r="D213">
        <v>13.36</v>
      </c>
      <c r="E213">
        <v>14.16</v>
      </c>
      <c r="F213" t="s">
        <v>275</v>
      </c>
      <c r="G213">
        <v>1.06</v>
      </c>
      <c r="H213">
        <v>17</v>
      </c>
      <c r="I213" t="s">
        <v>353</v>
      </c>
      <c r="J213" t="s">
        <v>531</v>
      </c>
      <c r="K213" t="s">
        <v>646</v>
      </c>
      <c r="L213" t="s">
        <v>170</v>
      </c>
      <c r="M213" t="s">
        <v>241</v>
      </c>
      <c r="N213" t="s">
        <v>12</v>
      </c>
      <c r="O213" t="s">
        <v>13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241</v>
      </c>
      <c r="AH213" t="s">
        <v>12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17</v>
      </c>
      <c r="AN213">
        <f>$H$213*$T$213</f>
        <v>17</v>
      </c>
      <c r="AO213">
        <f>$H$213*$U$213</f>
        <v>17</v>
      </c>
      <c r="AP213">
        <f>$H$213*$V$213</f>
        <v>17</v>
      </c>
      <c r="AQ213">
        <f>$H$213*$W$213</f>
        <v>17</v>
      </c>
      <c r="AR213">
        <f>$H$213*$X$213</f>
        <v>17</v>
      </c>
      <c r="AS213">
        <f>$H$213*$Y$213</f>
        <v>17</v>
      </c>
      <c r="AT213">
        <f>$H$213*$Z$213</f>
        <v>17</v>
      </c>
      <c r="AU213">
        <f>$H$213*$AA$213</f>
        <v>17</v>
      </c>
      <c r="AV213">
        <f>$H$213*$AB$213</f>
        <v>17</v>
      </c>
      <c r="AW213">
        <f>$H$213*$AC$213</f>
        <v>17</v>
      </c>
      <c r="AX213">
        <f>$H$213*$AD$213</f>
        <v>17</v>
      </c>
      <c r="AY213">
        <f>$H$213*$AE$213</f>
        <v>17</v>
      </c>
      <c r="AZ213">
        <f>$H$213*$AF$213</f>
        <v>17</v>
      </c>
    </row>
    <row r="214" spans="1:52" x14ac:dyDescent="0.25">
      <c r="A214">
        <v>261</v>
      </c>
      <c r="B214" t="s">
        <v>241</v>
      </c>
      <c r="C214" t="s">
        <v>532</v>
      </c>
      <c r="D214">
        <v>13.36</v>
      </c>
      <c r="E214">
        <v>115.3</v>
      </c>
      <c r="F214" t="s">
        <v>275</v>
      </c>
      <c r="G214">
        <v>8.6300000000000008</v>
      </c>
      <c r="H214">
        <v>138.36000000000001</v>
      </c>
      <c r="I214" t="s">
        <v>353</v>
      </c>
      <c r="J214" t="s">
        <v>529</v>
      </c>
      <c r="K214" t="s">
        <v>647</v>
      </c>
      <c r="L214" t="s">
        <v>170</v>
      </c>
      <c r="M214" t="s">
        <v>241</v>
      </c>
      <c r="N214" t="s">
        <v>12</v>
      </c>
      <c r="O214" t="s">
        <v>13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241</v>
      </c>
      <c r="AH214" t="s">
        <v>12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138.36000000000001</v>
      </c>
      <c r="AN214">
        <f>$H$214*$T$214</f>
        <v>138.36000000000001</v>
      </c>
      <c r="AO214">
        <f>$H$214*$U$214</f>
        <v>138.36000000000001</v>
      </c>
      <c r="AP214">
        <f>$H$214*$V$214</f>
        <v>138.36000000000001</v>
      </c>
      <c r="AQ214">
        <f>$H$214*$W$214</f>
        <v>138.36000000000001</v>
      </c>
      <c r="AR214">
        <f>$H$214*$X$214</f>
        <v>138.36000000000001</v>
      </c>
      <c r="AS214">
        <f>$H$214*$Y$214</f>
        <v>138.36000000000001</v>
      </c>
      <c r="AT214">
        <f>$H$214*$Z$214</f>
        <v>138.36000000000001</v>
      </c>
      <c r="AU214">
        <f>$H$214*$AA$214</f>
        <v>138.36000000000001</v>
      </c>
      <c r="AV214">
        <f>$H$214*$AB$214</f>
        <v>138.36000000000001</v>
      </c>
      <c r="AW214">
        <f>$H$214*$AC$214</f>
        <v>138.36000000000001</v>
      </c>
      <c r="AX214">
        <f>$H$214*$AD$214</f>
        <v>138.36000000000001</v>
      </c>
      <c r="AY214">
        <f>$H$214*$AE$214</f>
        <v>138.36000000000001</v>
      </c>
      <c r="AZ214">
        <f>$H$214*$AF$214</f>
        <v>138.36000000000001</v>
      </c>
    </row>
    <row r="215" spans="1:52" x14ac:dyDescent="0.25">
      <c r="A215">
        <v>262</v>
      </c>
      <c r="B215" t="s">
        <v>475</v>
      </c>
      <c r="C215" t="s">
        <v>569</v>
      </c>
      <c r="D215">
        <v>1</v>
      </c>
      <c r="E215">
        <v>258.02</v>
      </c>
      <c r="F215" t="s">
        <v>265</v>
      </c>
      <c r="G215">
        <v>258.02</v>
      </c>
      <c r="H215">
        <v>309.62</v>
      </c>
      <c r="I215" t="s">
        <v>276</v>
      </c>
      <c r="J215" t="s">
        <v>570</v>
      </c>
      <c r="K215" t="s">
        <v>666</v>
      </c>
      <c r="L215" t="s">
        <v>170</v>
      </c>
      <c r="M215" t="s">
        <v>475</v>
      </c>
      <c r="N215" t="s">
        <v>12</v>
      </c>
      <c r="O215" t="s">
        <v>476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475</v>
      </c>
      <c r="AH215" t="s">
        <v>12</v>
      </c>
      <c r="AI215" t="s">
        <v>476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309.62</v>
      </c>
      <c r="AT215">
        <f>$H$215*$Z$215</f>
        <v>309.62</v>
      </c>
      <c r="AU215">
        <f>$H$215*$AA$215</f>
        <v>309.62</v>
      </c>
      <c r="AV215">
        <f>$H$215*$AB$215</f>
        <v>309.62</v>
      </c>
      <c r="AW215">
        <f>$H$215*$AC$215</f>
        <v>309.62</v>
      </c>
      <c r="AX215">
        <f>$H$215*$AD$215</f>
        <v>309.62</v>
      </c>
      <c r="AY215">
        <f>$H$215*$AE$215</f>
        <v>309.62</v>
      </c>
      <c r="AZ215">
        <f>$H$215*$AF$215</f>
        <v>309.62</v>
      </c>
    </row>
    <row r="216" spans="1:52" x14ac:dyDescent="0.25">
      <c r="A216">
        <v>263</v>
      </c>
      <c r="B216" t="s">
        <v>475</v>
      </c>
      <c r="C216" t="s">
        <v>357</v>
      </c>
      <c r="D216">
        <v>1</v>
      </c>
      <c r="E216">
        <v>37.78</v>
      </c>
      <c r="F216" t="s">
        <v>265</v>
      </c>
      <c r="G216">
        <v>37.78</v>
      </c>
      <c r="H216">
        <v>45.34</v>
      </c>
      <c r="I216" t="s">
        <v>267</v>
      </c>
      <c r="J216" t="s">
        <v>358</v>
      </c>
      <c r="K216" t="s">
        <v>419</v>
      </c>
      <c r="L216" t="s">
        <v>170</v>
      </c>
      <c r="M216" t="s">
        <v>475</v>
      </c>
      <c r="N216" t="s">
        <v>12</v>
      </c>
      <c r="O216" t="s">
        <v>476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475</v>
      </c>
      <c r="AH216" t="s">
        <v>12</v>
      </c>
      <c r="AI216" t="s">
        <v>476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45.34</v>
      </c>
      <c r="AQ216">
        <f>$H$216*$W$216</f>
        <v>45.34</v>
      </c>
      <c r="AR216">
        <f>$H$216*$X$216</f>
        <v>45.34</v>
      </c>
      <c r="AS216">
        <f>$H$216*$Y$216</f>
        <v>45.34</v>
      </c>
      <c r="AT216">
        <f>$H$216*$Z$216</f>
        <v>45.34</v>
      </c>
      <c r="AU216">
        <f>$H$216*$AA$216</f>
        <v>45.34</v>
      </c>
      <c r="AV216">
        <f>$H$216*$AB$216</f>
        <v>45.34</v>
      </c>
      <c r="AW216">
        <f>$H$216*$AC$216</f>
        <v>45.34</v>
      </c>
      <c r="AX216">
        <f>$H$216*$AD$216</f>
        <v>45.34</v>
      </c>
      <c r="AY216">
        <f>$H$216*$AE$216</f>
        <v>45.34</v>
      </c>
      <c r="AZ216">
        <f>$H$216*$AF$216</f>
        <v>45.34</v>
      </c>
    </row>
    <row r="217" spans="1:52" x14ac:dyDescent="0.25">
      <c r="A217">
        <v>264</v>
      </c>
      <c r="B217" t="s">
        <v>475</v>
      </c>
      <c r="C217" t="s">
        <v>330</v>
      </c>
      <c r="D217">
        <v>1</v>
      </c>
      <c r="E217">
        <v>37.28</v>
      </c>
      <c r="F217" t="s">
        <v>265</v>
      </c>
      <c r="G217">
        <v>37.28</v>
      </c>
      <c r="H217">
        <v>44.74</v>
      </c>
      <c r="I217" t="s">
        <v>267</v>
      </c>
      <c r="J217" t="s">
        <v>331</v>
      </c>
      <c r="K217" t="s">
        <v>407</v>
      </c>
      <c r="L217" t="s">
        <v>170</v>
      </c>
      <c r="M217" t="s">
        <v>475</v>
      </c>
      <c r="N217" t="s">
        <v>12</v>
      </c>
      <c r="O217" t="s">
        <v>476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0.6</v>
      </c>
      <c r="Y217">
        <v>0.6</v>
      </c>
      <c r="Z217">
        <v>0.6</v>
      </c>
      <c r="AA217">
        <v>0.6</v>
      </c>
      <c r="AB217">
        <v>0.6</v>
      </c>
      <c r="AC217">
        <v>0.6</v>
      </c>
      <c r="AD217">
        <v>1</v>
      </c>
      <c r="AE217">
        <v>1</v>
      </c>
      <c r="AF217">
        <v>1</v>
      </c>
      <c r="AG217" t="s">
        <v>475</v>
      </c>
      <c r="AH217" t="s">
        <v>12</v>
      </c>
      <c r="AI217" t="s">
        <v>476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26.844000000000001</v>
      </c>
      <c r="AS217">
        <f>$H$217*$Y$217</f>
        <v>26.844000000000001</v>
      </c>
      <c r="AT217">
        <f>$H$217*$Z$217</f>
        <v>26.844000000000001</v>
      </c>
      <c r="AU217">
        <f>$H$217*$AA$217</f>
        <v>26.844000000000001</v>
      </c>
      <c r="AV217">
        <f>$H$217*$AB$217</f>
        <v>26.844000000000001</v>
      </c>
      <c r="AW217">
        <f>$H$217*$AC$217</f>
        <v>26.844000000000001</v>
      </c>
      <c r="AX217">
        <f>$H$217*$AD$217</f>
        <v>44.74</v>
      </c>
      <c r="AY217">
        <f>$H$217*$AE$217</f>
        <v>44.74</v>
      </c>
      <c r="AZ217">
        <f>$H$217*$AF$217</f>
        <v>44.74</v>
      </c>
    </row>
    <row r="218" spans="1:52" x14ac:dyDescent="0.25">
      <c r="A218">
        <v>265</v>
      </c>
      <c r="B218" t="s">
        <v>475</v>
      </c>
      <c r="C218" t="s">
        <v>324</v>
      </c>
      <c r="D218">
        <v>1</v>
      </c>
      <c r="E218">
        <v>16.079999999999998</v>
      </c>
      <c r="F218" t="s">
        <v>265</v>
      </c>
      <c r="G218">
        <v>16.079999999999998</v>
      </c>
      <c r="H218">
        <v>19.3</v>
      </c>
      <c r="I218" t="s">
        <v>267</v>
      </c>
      <c r="J218" t="s">
        <v>325</v>
      </c>
      <c r="K218" t="s">
        <v>404</v>
      </c>
      <c r="L218" t="s">
        <v>170</v>
      </c>
      <c r="M218" t="s">
        <v>475</v>
      </c>
      <c r="N218" t="s">
        <v>12</v>
      </c>
      <c r="O218" t="s">
        <v>476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475</v>
      </c>
      <c r="AH218" t="s">
        <v>12</v>
      </c>
      <c r="AI218" t="s">
        <v>476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19.3</v>
      </c>
      <c r="AS218">
        <f>$H$218*$Y$218</f>
        <v>19.3</v>
      </c>
      <c r="AT218">
        <f>$H$218*$Z$218</f>
        <v>19.3</v>
      </c>
      <c r="AU218">
        <f>$H$218*$AA$218</f>
        <v>19.3</v>
      </c>
      <c r="AV218">
        <f>$H$218*$AB$218</f>
        <v>19.3</v>
      </c>
      <c r="AW218">
        <f>$H$218*$AC$218</f>
        <v>19.3</v>
      </c>
      <c r="AX218">
        <f>$H$218*$AD$218</f>
        <v>19.3</v>
      </c>
      <c r="AY218">
        <f>$H$218*$AE$218</f>
        <v>19.3</v>
      </c>
      <c r="AZ218">
        <f>$H$218*$AF$218</f>
        <v>19.3</v>
      </c>
    </row>
    <row r="219" spans="1:52" x14ac:dyDescent="0.25">
      <c r="A219">
        <v>266</v>
      </c>
      <c r="B219" t="s">
        <v>475</v>
      </c>
      <c r="C219" t="s">
        <v>508</v>
      </c>
      <c r="D219">
        <v>1</v>
      </c>
      <c r="E219">
        <v>743.56</v>
      </c>
      <c r="F219" t="s">
        <v>265</v>
      </c>
      <c r="G219">
        <v>743.56</v>
      </c>
      <c r="H219">
        <v>892.28</v>
      </c>
      <c r="I219" t="s">
        <v>276</v>
      </c>
      <c r="J219" t="s">
        <v>509</v>
      </c>
      <c r="K219" t="s">
        <v>634</v>
      </c>
      <c r="L219" t="s">
        <v>170</v>
      </c>
      <c r="M219" t="s">
        <v>475</v>
      </c>
      <c r="N219" t="s">
        <v>12</v>
      </c>
      <c r="O219" t="s">
        <v>476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475</v>
      </c>
      <c r="AH219" t="s">
        <v>12</v>
      </c>
      <c r="AI219" t="s">
        <v>476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892.28</v>
      </c>
      <c r="AT219">
        <f>$H$219*$Z$219</f>
        <v>892.28</v>
      </c>
      <c r="AU219">
        <f>$H$219*$AA$219</f>
        <v>892.28</v>
      </c>
      <c r="AV219">
        <f>$H$219*$AB$219</f>
        <v>892.28</v>
      </c>
      <c r="AW219">
        <f>$H$219*$AC$219</f>
        <v>892.28</v>
      </c>
      <c r="AX219">
        <f>$H$219*$AD$219</f>
        <v>892.28</v>
      </c>
      <c r="AY219">
        <f>$H$219*$AE$219</f>
        <v>892.28</v>
      </c>
      <c r="AZ219">
        <f>$H$219*$AF$219</f>
        <v>892.28</v>
      </c>
    </row>
    <row r="220" spans="1:52" x14ac:dyDescent="0.25">
      <c r="A220">
        <v>267</v>
      </c>
      <c r="B220" t="s">
        <v>475</v>
      </c>
      <c r="C220" t="s">
        <v>525</v>
      </c>
      <c r="D220">
        <v>1</v>
      </c>
      <c r="E220">
        <v>109.28</v>
      </c>
      <c r="F220" t="s">
        <v>265</v>
      </c>
      <c r="G220">
        <v>109.28</v>
      </c>
      <c r="H220">
        <v>131.13999999999999</v>
      </c>
      <c r="I220" t="s">
        <v>270</v>
      </c>
      <c r="J220" t="s">
        <v>293</v>
      </c>
      <c r="K220" t="s">
        <v>643</v>
      </c>
      <c r="L220" t="s">
        <v>170</v>
      </c>
      <c r="M220" t="s">
        <v>475</v>
      </c>
      <c r="N220" t="s">
        <v>12</v>
      </c>
      <c r="O220" t="s">
        <v>476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1</v>
      </c>
      <c r="AF220">
        <v>1</v>
      </c>
      <c r="AG220" t="s">
        <v>475</v>
      </c>
      <c r="AH220" t="s">
        <v>12</v>
      </c>
      <c r="AI220" t="s">
        <v>476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0</v>
      </c>
      <c r="AV220">
        <f>$H$220*$AB$220</f>
        <v>0</v>
      </c>
      <c r="AW220">
        <f>$H$220*$AC$220</f>
        <v>0</v>
      </c>
      <c r="AX220">
        <f>$H$220*$AD$220</f>
        <v>131.13999999999999</v>
      </c>
      <c r="AY220">
        <f>$H$220*$AE$220</f>
        <v>131.13999999999999</v>
      </c>
      <c r="AZ220">
        <f>$H$220*$AF$220</f>
        <v>131.13999999999999</v>
      </c>
    </row>
    <row r="221" spans="1:52" x14ac:dyDescent="0.25">
      <c r="A221">
        <v>268</v>
      </c>
      <c r="B221" t="s">
        <v>475</v>
      </c>
      <c r="C221" t="s">
        <v>288</v>
      </c>
      <c r="D221">
        <v>1</v>
      </c>
      <c r="E221">
        <v>63.54</v>
      </c>
      <c r="F221" t="s">
        <v>265</v>
      </c>
      <c r="G221">
        <v>63.54</v>
      </c>
      <c r="H221">
        <v>76.239999999999995</v>
      </c>
      <c r="I221" t="s">
        <v>289</v>
      </c>
      <c r="J221" t="s">
        <v>290</v>
      </c>
      <c r="K221" t="s">
        <v>389</v>
      </c>
      <c r="L221" t="s">
        <v>170</v>
      </c>
      <c r="M221" t="s">
        <v>475</v>
      </c>
      <c r="N221" t="s">
        <v>12</v>
      </c>
      <c r="O221" t="s">
        <v>476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475</v>
      </c>
      <c r="AH221" t="s">
        <v>12</v>
      </c>
      <c r="AI221" t="s">
        <v>476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0</v>
      </c>
      <c r="AT221">
        <f>$H$221*$Z$221</f>
        <v>0</v>
      </c>
      <c r="AU221">
        <f>$H$221*$AA$221</f>
        <v>76.239999999999995</v>
      </c>
      <c r="AV221">
        <f>$H$221*$AB$221</f>
        <v>76.239999999999995</v>
      </c>
      <c r="AW221">
        <f>$H$221*$AC$221</f>
        <v>76.239999999999995</v>
      </c>
      <c r="AX221">
        <f>$H$221*$AD$221</f>
        <v>76.239999999999995</v>
      </c>
      <c r="AY221">
        <f>$H$221*$AE$221</f>
        <v>76.239999999999995</v>
      </c>
      <c r="AZ221">
        <f>$H$221*$AF$221</f>
        <v>76.239999999999995</v>
      </c>
    </row>
    <row r="222" spans="1:52" x14ac:dyDescent="0.25">
      <c r="A222">
        <v>269</v>
      </c>
      <c r="B222" t="s">
        <v>475</v>
      </c>
      <c r="C222" t="s">
        <v>296</v>
      </c>
      <c r="D222">
        <v>2</v>
      </c>
      <c r="E222">
        <v>126.18</v>
      </c>
      <c r="F222" t="s">
        <v>265</v>
      </c>
      <c r="G222">
        <v>63.09</v>
      </c>
      <c r="H222">
        <v>151.41999999999999</v>
      </c>
      <c r="I222" t="s">
        <v>263</v>
      </c>
      <c r="J222" t="s">
        <v>292</v>
      </c>
      <c r="K222" t="s">
        <v>392</v>
      </c>
      <c r="L222" t="s">
        <v>170</v>
      </c>
      <c r="M222" t="s">
        <v>475</v>
      </c>
      <c r="N222" t="s">
        <v>12</v>
      </c>
      <c r="O222" t="s">
        <v>476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475</v>
      </c>
      <c r="AH222" t="s">
        <v>12</v>
      </c>
      <c r="AI222" t="s">
        <v>476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151.41999999999999</v>
      </c>
      <c r="AN222">
        <f>$H$222*$T$222</f>
        <v>151.41999999999999</v>
      </c>
      <c r="AO222">
        <f>$H$222*$U$222</f>
        <v>151.41999999999999</v>
      </c>
      <c r="AP222">
        <f>$H$222*$V$222</f>
        <v>151.41999999999999</v>
      </c>
      <c r="AQ222">
        <f>$H$222*$W$222</f>
        <v>151.41999999999999</v>
      </c>
      <c r="AR222">
        <f>$H$222*$X$222</f>
        <v>151.41999999999999</v>
      </c>
      <c r="AS222">
        <f>$H$222*$Y$222</f>
        <v>151.41999999999999</v>
      </c>
      <c r="AT222">
        <f>$H$222*$Z$222</f>
        <v>151.41999999999999</v>
      </c>
      <c r="AU222">
        <f>$H$222*$AA$222</f>
        <v>151.41999999999999</v>
      </c>
      <c r="AV222">
        <f>$H$222*$AB$222</f>
        <v>151.41999999999999</v>
      </c>
      <c r="AW222">
        <f>$H$222*$AC$222</f>
        <v>151.41999999999999</v>
      </c>
      <c r="AX222">
        <f>$H$222*$AD$222</f>
        <v>151.41999999999999</v>
      </c>
      <c r="AY222">
        <f>$H$222*$AE$222</f>
        <v>151.41999999999999</v>
      </c>
      <c r="AZ222">
        <f>$H$222*$AF$222</f>
        <v>151.41999999999999</v>
      </c>
    </row>
    <row r="223" spans="1:52" x14ac:dyDescent="0.25">
      <c r="A223">
        <v>270</v>
      </c>
      <c r="B223" t="s">
        <v>475</v>
      </c>
      <c r="C223" t="s">
        <v>294</v>
      </c>
      <c r="D223">
        <v>2</v>
      </c>
      <c r="E223">
        <v>106.22</v>
      </c>
      <c r="F223" t="s">
        <v>265</v>
      </c>
      <c r="G223">
        <v>53.11</v>
      </c>
      <c r="H223">
        <v>127.46</v>
      </c>
      <c r="I223" t="s">
        <v>263</v>
      </c>
      <c r="J223" t="s">
        <v>295</v>
      </c>
      <c r="K223" t="s">
        <v>391</v>
      </c>
      <c r="L223" t="s">
        <v>170</v>
      </c>
      <c r="M223" t="s">
        <v>475</v>
      </c>
      <c r="N223" t="s">
        <v>12</v>
      </c>
      <c r="O223" t="s">
        <v>476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475</v>
      </c>
      <c r="AH223" t="s">
        <v>12</v>
      </c>
      <c r="AI223" t="s">
        <v>476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127.46</v>
      </c>
      <c r="AN223">
        <f>$H$223*$T$223</f>
        <v>127.46</v>
      </c>
      <c r="AO223">
        <f>$H$223*$U$223</f>
        <v>127.46</v>
      </c>
      <c r="AP223">
        <f>$H$223*$V$223</f>
        <v>127.46</v>
      </c>
      <c r="AQ223">
        <f>$H$223*$W$223</f>
        <v>127.46</v>
      </c>
      <c r="AR223">
        <f>$H$223*$X$223</f>
        <v>127.46</v>
      </c>
      <c r="AS223">
        <f>$H$223*$Y$223</f>
        <v>127.46</v>
      </c>
      <c r="AT223">
        <f>$H$223*$Z$223</f>
        <v>127.46</v>
      </c>
      <c r="AU223">
        <f>$H$223*$AA$223</f>
        <v>127.46</v>
      </c>
      <c r="AV223">
        <f>$H$223*$AB$223</f>
        <v>127.46</v>
      </c>
      <c r="AW223">
        <f>$H$223*$AC$223</f>
        <v>127.46</v>
      </c>
      <c r="AX223">
        <f>$H$223*$AD$223</f>
        <v>127.46</v>
      </c>
      <c r="AY223">
        <f>$H$223*$AE$223</f>
        <v>127.46</v>
      </c>
      <c r="AZ223">
        <f>$H$223*$AF$223</f>
        <v>127.46</v>
      </c>
    </row>
    <row r="224" spans="1:52" x14ac:dyDescent="0.25">
      <c r="A224">
        <v>271</v>
      </c>
      <c r="B224" t="s">
        <v>475</v>
      </c>
      <c r="C224" t="s">
        <v>291</v>
      </c>
      <c r="D224">
        <v>1</v>
      </c>
      <c r="E224">
        <v>410.31</v>
      </c>
      <c r="F224" t="s">
        <v>265</v>
      </c>
      <c r="G224">
        <v>410.31</v>
      </c>
      <c r="H224">
        <v>492.37</v>
      </c>
      <c r="I224" t="s">
        <v>292</v>
      </c>
      <c r="J224" t="s">
        <v>293</v>
      </c>
      <c r="K224" t="s">
        <v>390</v>
      </c>
      <c r="L224" t="s">
        <v>170</v>
      </c>
      <c r="M224" t="s">
        <v>475</v>
      </c>
      <c r="N224" t="s">
        <v>12</v>
      </c>
      <c r="O224" t="s">
        <v>476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475</v>
      </c>
      <c r="AH224" t="s">
        <v>12</v>
      </c>
      <c r="AI224" t="s">
        <v>476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492.37</v>
      </c>
      <c r="AO224">
        <f>$H$224*$U$224</f>
        <v>492.37</v>
      </c>
      <c r="AP224">
        <f>$H$224*$V$224</f>
        <v>492.37</v>
      </c>
      <c r="AQ224">
        <f>$H$224*$W$224</f>
        <v>492.37</v>
      </c>
      <c r="AR224">
        <f>$H$224*$X$224</f>
        <v>492.37</v>
      </c>
      <c r="AS224">
        <f>$H$224*$Y$224</f>
        <v>492.37</v>
      </c>
      <c r="AT224">
        <f>$H$224*$Z$224</f>
        <v>492.37</v>
      </c>
      <c r="AU224">
        <f>$H$224*$AA$224</f>
        <v>492.37</v>
      </c>
      <c r="AV224">
        <f>$H$224*$AB$224</f>
        <v>492.37</v>
      </c>
      <c r="AW224">
        <f>$H$224*$AC$224</f>
        <v>492.37</v>
      </c>
      <c r="AX224">
        <f>$H$224*$AD$224</f>
        <v>492.37</v>
      </c>
      <c r="AY224">
        <f>$H$224*$AE$224</f>
        <v>492.37</v>
      </c>
      <c r="AZ224">
        <f>$H$224*$AF$224</f>
        <v>492.37</v>
      </c>
    </row>
    <row r="225" spans="1:52" x14ac:dyDescent="0.25">
      <c r="A225">
        <v>272</v>
      </c>
      <c r="B225" t="s">
        <v>475</v>
      </c>
      <c r="C225" t="s">
        <v>571</v>
      </c>
      <c r="D225">
        <v>3</v>
      </c>
      <c r="E225">
        <v>714.78</v>
      </c>
      <c r="F225" t="s">
        <v>262</v>
      </c>
      <c r="G225">
        <v>238.26</v>
      </c>
      <c r="H225">
        <v>857.74</v>
      </c>
      <c r="I225" t="s">
        <v>332</v>
      </c>
      <c r="J225" t="s">
        <v>572</v>
      </c>
      <c r="K225" t="s">
        <v>667</v>
      </c>
      <c r="L225" t="s">
        <v>170</v>
      </c>
      <c r="M225" t="s">
        <v>475</v>
      </c>
      <c r="N225" t="s">
        <v>12</v>
      </c>
      <c r="O225" t="s">
        <v>476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475</v>
      </c>
      <c r="AH225" t="s">
        <v>12</v>
      </c>
      <c r="AI225" t="s">
        <v>476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0</v>
      </c>
      <c r="AV225">
        <f>$H$225*$AB$225</f>
        <v>857.74</v>
      </c>
      <c r="AW225">
        <f>$H$225*$AC$225</f>
        <v>857.74</v>
      </c>
      <c r="AX225">
        <f>$H$225*$AD$225</f>
        <v>857.74</v>
      </c>
      <c r="AY225">
        <f>$H$225*$AE$225</f>
        <v>857.74</v>
      </c>
      <c r="AZ225">
        <f>$H$225*$AF$225</f>
        <v>857.74</v>
      </c>
    </row>
    <row r="226" spans="1:52" x14ac:dyDescent="0.25">
      <c r="A226">
        <v>273</v>
      </c>
      <c r="B226" t="s">
        <v>475</v>
      </c>
      <c r="C226" t="s">
        <v>335</v>
      </c>
      <c r="D226">
        <v>8.1999999999999993</v>
      </c>
      <c r="E226">
        <v>31.41</v>
      </c>
      <c r="F226" t="s">
        <v>262</v>
      </c>
      <c r="G226">
        <v>3.83</v>
      </c>
      <c r="H226">
        <v>37.69</v>
      </c>
      <c r="I226" t="s">
        <v>336</v>
      </c>
      <c r="J226" t="s">
        <v>337</v>
      </c>
      <c r="K226" t="s">
        <v>409</v>
      </c>
      <c r="L226" t="s">
        <v>170</v>
      </c>
      <c r="M226" t="s">
        <v>475</v>
      </c>
      <c r="N226" t="s">
        <v>12</v>
      </c>
      <c r="O226" t="s">
        <v>476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475</v>
      </c>
      <c r="AH226" t="s">
        <v>12</v>
      </c>
      <c r="AI226" t="s">
        <v>476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37.69</v>
      </c>
      <c r="AV226">
        <f>$H$226*$AB$226</f>
        <v>37.69</v>
      </c>
      <c r="AW226">
        <f>$H$226*$AC$226</f>
        <v>37.69</v>
      </c>
      <c r="AX226">
        <f>$H$226*$AD$226</f>
        <v>37.69</v>
      </c>
      <c r="AY226">
        <f>$H$226*$AE$226</f>
        <v>37.69</v>
      </c>
      <c r="AZ226">
        <f>$H$226*$AF$226</f>
        <v>37.69</v>
      </c>
    </row>
    <row r="227" spans="1:52" x14ac:dyDescent="0.25">
      <c r="A227">
        <v>274</v>
      </c>
      <c r="B227" t="s">
        <v>475</v>
      </c>
      <c r="C227" t="s">
        <v>338</v>
      </c>
      <c r="D227">
        <v>73.8</v>
      </c>
      <c r="E227">
        <v>244.28</v>
      </c>
      <c r="F227" t="s">
        <v>275</v>
      </c>
      <c r="G227">
        <v>3.31</v>
      </c>
      <c r="H227">
        <v>293.14</v>
      </c>
      <c r="I227" t="s">
        <v>336</v>
      </c>
      <c r="J227" t="s">
        <v>339</v>
      </c>
      <c r="K227" t="s">
        <v>410</v>
      </c>
      <c r="L227" t="s">
        <v>170</v>
      </c>
      <c r="M227" t="s">
        <v>475</v>
      </c>
      <c r="N227" t="s">
        <v>12</v>
      </c>
      <c r="O227" t="s">
        <v>476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475</v>
      </c>
      <c r="AH227" t="s">
        <v>12</v>
      </c>
      <c r="AI227" t="s">
        <v>476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293.14</v>
      </c>
      <c r="AN227">
        <f>$H$227*$T$227</f>
        <v>293.14</v>
      </c>
      <c r="AO227">
        <f>$H$227*$U$227</f>
        <v>293.14</v>
      </c>
      <c r="AP227">
        <f>$H$227*$V$227</f>
        <v>293.14</v>
      </c>
      <c r="AQ227">
        <f>$H$227*$W$227</f>
        <v>293.14</v>
      </c>
      <c r="AR227">
        <f>$H$227*$X$227</f>
        <v>293.14</v>
      </c>
      <c r="AS227">
        <f>$H$227*$Y$227</f>
        <v>293.14</v>
      </c>
      <c r="AT227">
        <f>$H$227*$Z$227</f>
        <v>293.14</v>
      </c>
      <c r="AU227">
        <f>$H$227*$AA$227</f>
        <v>293.14</v>
      </c>
      <c r="AV227">
        <f>$H$227*$AB$227</f>
        <v>293.14</v>
      </c>
      <c r="AW227">
        <f>$H$227*$AC$227</f>
        <v>293.14</v>
      </c>
      <c r="AX227">
        <f>$H$227*$AD$227</f>
        <v>293.14</v>
      </c>
      <c r="AY227">
        <f>$H$227*$AE$227</f>
        <v>293.14</v>
      </c>
      <c r="AZ227">
        <f>$H$227*$AF$227</f>
        <v>293.14</v>
      </c>
    </row>
    <row r="228" spans="1:52" x14ac:dyDescent="0.25">
      <c r="A228">
        <v>275</v>
      </c>
      <c r="B228" t="s">
        <v>475</v>
      </c>
      <c r="C228" t="s">
        <v>340</v>
      </c>
      <c r="D228">
        <v>73.8</v>
      </c>
      <c r="E228">
        <v>78.23</v>
      </c>
      <c r="F228" t="s">
        <v>275</v>
      </c>
      <c r="G228">
        <v>1.06</v>
      </c>
      <c r="H228">
        <v>93.87</v>
      </c>
      <c r="I228" t="s">
        <v>263</v>
      </c>
      <c r="J228" t="s">
        <v>341</v>
      </c>
      <c r="K228" t="s">
        <v>411</v>
      </c>
      <c r="L228" t="s">
        <v>170</v>
      </c>
      <c r="M228" t="s">
        <v>475</v>
      </c>
      <c r="N228" t="s">
        <v>12</v>
      </c>
      <c r="O228" t="s">
        <v>476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1</v>
      </c>
      <c r="AF228">
        <v>1</v>
      </c>
      <c r="AG228" t="s">
        <v>475</v>
      </c>
      <c r="AH228" t="s">
        <v>12</v>
      </c>
      <c r="AI228" t="s">
        <v>476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0</v>
      </c>
      <c r="AV228">
        <f>$H$228*$AB$228</f>
        <v>0</v>
      </c>
      <c r="AW228">
        <f>$H$228*$AC$228</f>
        <v>0</v>
      </c>
      <c r="AX228">
        <f>$H$228*$AD$228</f>
        <v>93.87</v>
      </c>
      <c r="AY228">
        <f>$H$228*$AE$228</f>
        <v>93.87</v>
      </c>
      <c r="AZ228">
        <f>$H$228*$AF$228</f>
        <v>93.87</v>
      </c>
    </row>
    <row r="229" spans="1:52" x14ac:dyDescent="0.25">
      <c r="A229">
        <v>276</v>
      </c>
      <c r="B229" t="s">
        <v>475</v>
      </c>
      <c r="C229" t="s">
        <v>283</v>
      </c>
      <c r="D229">
        <v>92.25</v>
      </c>
      <c r="E229">
        <v>149.44999999999999</v>
      </c>
      <c r="F229" t="s">
        <v>275</v>
      </c>
      <c r="G229">
        <v>1.62</v>
      </c>
      <c r="H229">
        <v>179.35</v>
      </c>
      <c r="I229" t="s">
        <v>263</v>
      </c>
      <c r="J229" t="s">
        <v>284</v>
      </c>
      <c r="K229" t="s">
        <v>387</v>
      </c>
      <c r="L229" t="s">
        <v>170</v>
      </c>
      <c r="M229" t="s">
        <v>475</v>
      </c>
      <c r="N229" t="s">
        <v>12</v>
      </c>
      <c r="O229" t="s">
        <v>476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475</v>
      </c>
      <c r="AH229" t="s">
        <v>12</v>
      </c>
      <c r="AI229" t="s">
        <v>476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179.35</v>
      </c>
      <c r="AO229">
        <f>$H$229*$U$229</f>
        <v>179.35</v>
      </c>
      <c r="AP229">
        <f>$H$229*$V$229</f>
        <v>179.35</v>
      </c>
      <c r="AQ229">
        <f>$H$229*$W$229</f>
        <v>179.35</v>
      </c>
      <c r="AR229">
        <f>$H$229*$X$229</f>
        <v>179.35</v>
      </c>
      <c r="AS229">
        <f>$H$229*$Y$229</f>
        <v>179.35</v>
      </c>
      <c r="AT229">
        <f>$H$229*$Z$229</f>
        <v>179.35</v>
      </c>
      <c r="AU229">
        <f>$H$229*$AA$229</f>
        <v>179.35</v>
      </c>
      <c r="AV229">
        <f>$H$229*$AB$229</f>
        <v>179.35</v>
      </c>
      <c r="AW229">
        <f>$H$229*$AC$229</f>
        <v>179.35</v>
      </c>
      <c r="AX229">
        <f>$H$229*$AD$229</f>
        <v>179.35</v>
      </c>
      <c r="AY229">
        <f>$H$229*$AE$229</f>
        <v>179.35</v>
      </c>
      <c r="AZ229">
        <f>$H$229*$AF$229</f>
        <v>179.35</v>
      </c>
    </row>
    <row r="230" spans="1:52" x14ac:dyDescent="0.25">
      <c r="A230">
        <v>277</v>
      </c>
      <c r="B230" t="s">
        <v>475</v>
      </c>
      <c r="C230" t="s">
        <v>526</v>
      </c>
      <c r="D230">
        <v>18.45</v>
      </c>
      <c r="E230">
        <v>78.040000000000006</v>
      </c>
      <c r="F230" t="s">
        <v>275</v>
      </c>
      <c r="G230">
        <v>4.2300000000000004</v>
      </c>
      <c r="H230">
        <v>93.64</v>
      </c>
      <c r="I230" t="s">
        <v>527</v>
      </c>
      <c r="J230" t="s">
        <v>309</v>
      </c>
      <c r="K230" t="s">
        <v>644</v>
      </c>
      <c r="L230" t="s">
        <v>170</v>
      </c>
      <c r="M230" t="s">
        <v>475</v>
      </c>
      <c r="N230" t="s">
        <v>12</v>
      </c>
      <c r="O230" t="s">
        <v>476</v>
      </c>
      <c r="P230">
        <v>0</v>
      </c>
      <c r="Q230">
        <v>0</v>
      </c>
      <c r="R230">
        <v>0</v>
      </c>
      <c r="S230">
        <v>0.25</v>
      </c>
      <c r="T230">
        <v>0.25</v>
      </c>
      <c r="U230">
        <v>0.25</v>
      </c>
      <c r="V230">
        <v>0.25</v>
      </c>
      <c r="W230">
        <v>0.25</v>
      </c>
      <c r="X230">
        <v>0.5</v>
      </c>
      <c r="Y230">
        <v>0.5</v>
      </c>
      <c r="Z230">
        <v>0.5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475</v>
      </c>
      <c r="AH230" t="s">
        <v>12</v>
      </c>
      <c r="AI230" t="s">
        <v>476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23.41</v>
      </c>
      <c r="AN230">
        <f>$H$230*$T$230</f>
        <v>23.41</v>
      </c>
      <c r="AO230">
        <f>$H$230*$U$230</f>
        <v>23.41</v>
      </c>
      <c r="AP230">
        <f>$H$230*$V$230</f>
        <v>23.41</v>
      </c>
      <c r="AQ230">
        <f>$H$230*$W$230</f>
        <v>23.41</v>
      </c>
      <c r="AR230">
        <f>$H$230*$X$230</f>
        <v>46.82</v>
      </c>
      <c r="AS230">
        <f>$H$230*$Y$230</f>
        <v>46.82</v>
      </c>
      <c r="AT230">
        <f>$H$230*$Z$230</f>
        <v>46.82</v>
      </c>
      <c r="AU230">
        <f>$H$230*$AA$230</f>
        <v>93.64</v>
      </c>
      <c r="AV230">
        <f>$H$230*$AB$230</f>
        <v>93.64</v>
      </c>
      <c r="AW230">
        <f>$H$230*$AC$230</f>
        <v>93.64</v>
      </c>
      <c r="AX230">
        <f>$H$230*$AD$230</f>
        <v>93.64</v>
      </c>
      <c r="AY230">
        <f>$H$230*$AE$230</f>
        <v>93.64</v>
      </c>
      <c r="AZ230">
        <f>$H$230*$AF$230</f>
        <v>93.64</v>
      </c>
    </row>
    <row r="231" spans="1:52" x14ac:dyDescent="0.25">
      <c r="A231">
        <v>278</v>
      </c>
      <c r="B231" t="s">
        <v>475</v>
      </c>
      <c r="C231" t="s">
        <v>285</v>
      </c>
      <c r="D231">
        <v>184.5</v>
      </c>
      <c r="E231">
        <v>761.99</v>
      </c>
      <c r="F231" t="s">
        <v>275</v>
      </c>
      <c r="G231">
        <v>4.13</v>
      </c>
      <c r="H231">
        <v>914.39</v>
      </c>
      <c r="I231" t="s">
        <v>286</v>
      </c>
      <c r="J231" t="s">
        <v>287</v>
      </c>
      <c r="K231" t="s">
        <v>388</v>
      </c>
      <c r="L231" t="s">
        <v>170</v>
      </c>
      <c r="M231" t="s">
        <v>475</v>
      </c>
      <c r="N231" t="s">
        <v>12</v>
      </c>
      <c r="O231" t="s">
        <v>476</v>
      </c>
      <c r="P231">
        <v>0</v>
      </c>
      <c r="Q231">
        <v>0</v>
      </c>
      <c r="R231">
        <v>0</v>
      </c>
      <c r="S231">
        <v>0.25</v>
      </c>
      <c r="T231">
        <v>0.25</v>
      </c>
      <c r="U231">
        <v>0.25</v>
      </c>
      <c r="V231">
        <v>0.25</v>
      </c>
      <c r="W231">
        <v>0.5</v>
      </c>
      <c r="X231">
        <v>0.5</v>
      </c>
      <c r="Y231">
        <v>0.5</v>
      </c>
      <c r="Z231">
        <v>0.5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475</v>
      </c>
      <c r="AH231" t="s">
        <v>12</v>
      </c>
      <c r="AI231" t="s">
        <v>476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228.5975</v>
      </c>
      <c r="AN231">
        <f>$H$231*$T$231</f>
        <v>228.5975</v>
      </c>
      <c r="AO231">
        <f>$H$231*$U$231</f>
        <v>228.5975</v>
      </c>
      <c r="AP231">
        <f>$H$231*$V$231</f>
        <v>228.5975</v>
      </c>
      <c r="AQ231">
        <f>$H$231*$W$231</f>
        <v>457.19499999999999</v>
      </c>
      <c r="AR231">
        <f>$H$231*$X$231</f>
        <v>457.19499999999999</v>
      </c>
      <c r="AS231">
        <f>$H$231*$Y$231</f>
        <v>457.19499999999999</v>
      </c>
      <c r="AT231">
        <f>$H$231*$Z$231</f>
        <v>457.19499999999999</v>
      </c>
      <c r="AU231">
        <f>$H$231*$AA$231</f>
        <v>914.39</v>
      </c>
      <c r="AV231">
        <f>$H$231*$AB$231</f>
        <v>914.39</v>
      </c>
      <c r="AW231">
        <f>$H$231*$AC$231</f>
        <v>914.39</v>
      </c>
      <c r="AX231">
        <f>$H$231*$AD$231</f>
        <v>914.39</v>
      </c>
      <c r="AY231">
        <f>$H$231*$AE$231</f>
        <v>914.39</v>
      </c>
      <c r="AZ231">
        <f>$H$231*$AF$231</f>
        <v>914.39</v>
      </c>
    </row>
    <row r="232" spans="1:52" x14ac:dyDescent="0.25">
      <c r="A232">
        <v>279</v>
      </c>
      <c r="B232" t="s">
        <v>475</v>
      </c>
      <c r="C232" t="s">
        <v>342</v>
      </c>
      <c r="D232">
        <v>20.5</v>
      </c>
      <c r="E232">
        <v>54.12</v>
      </c>
      <c r="F232" t="s">
        <v>262</v>
      </c>
      <c r="G232">
        <v>2.64</v>
      </c>
      <c r="H232">
        <v>64.94</v>
      </c>
      <c r="I232" t="s">
        <v>263</v>
      </c>
      <c r="J232" t="s">
        <v>343</v>
      </c>
      <c r="K232" t="s">
        <v>412</v>
      </c>
      <c r="L232" t="s">
        <v>170</v>
      </c>
      <c r="M232" t="s">
        <v>475</v>
      </c>
      <c r="N232" t="s">
        <v>12</v>
      </c>
      <c r="O232" t="s">
        <v>476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475</v>
      </c>
      <c r="AH232" t="s">
        <v>12</v>
      </c>
      <c r="AI232" t="s">
        <v>476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64.94</v>
      </c>
      <c r="AN232">
        <f>$H$232*$T$232</f>
        <v>64.94</v>
      </c>
      <c r="AO232">
        <f>$H$232*$U$232</f>
        <v>64.94</v>
      </c>
      <c r="AP232">
        <f>$H$232*$V$232</f>
        <v>64.94</v>
      </c>
      <c r="AQ232">
        <f>$H$232*$W$232</f>
        <v>64.94</v>
      </c>
      <c r="AR232">
        <f>$H$232*$X$232</f>
        <v>64.94</v>
      </c>
      <c r="AS232">
        <f>$H$232*$Y$232</f>
        <v>64.94</v>
      </c>
      <c r="AT232">
        <f>$H$232*$Z$232</f>
        <v>64.94</v>
      </c>
      <c r="AU232">
        <f>$H$232*$AA$232</f>
        <v>64.94</v>
      </c>
      <c r="AV232">
        <f>$H$232*$AB$232</f>
        <v>64.94</v>
      </c>
      <c r="AW232">
        <f>$H$232*$AC$232</f>
        <v>64.94</v>
      </c>
      <c r="AX232">
        <f>$H$232*$AD$232</f>
        <v>64.94</v>
      </c>
      <c r="AY232">
        <f>$H$232*$AE$232</f>
        <v>64.94</v>
      </c>
      <c r="AZ232">
        <f>$H$232*$AF$232</f>
        <v>64.94</v>
      </c>
    </row>
    <row r="233" spans="1:52" x14ac:dyDescent="0.25">
      <c r="A233">
        <v>280</v>
      </c>
      <c r="B233" t="s">
        <v>475</v>
      </c>
      <c r="C233" t="s">
        <v>344</v>
      </c>
      <c r="D233">
        <v>20.5</v>
      </c>
      <c r="E233">
        <v>126.9</v>
      </c>
      <c r="F233" t="s">
        <v>262</v>
      </c>
      <c r="G233">
        <v>6.19</v>
      </c>
      <c r="H233">
        <v>152.28</v>
      </c>
      <c r="I233" t="s">
        <v>264</v>
      </c>
      <c r="J233" t="s">
        <v>345</v>
      </c>
      <c r="K233" t="s">
        <v>413</v>
      </c>
      <c r="L233" t="s">
        <v>170</v>
      </c>
      <c r="M233" t="s">
        <v>475</v>
      </c>
      <c r="N233" t="s">
        <v>12</v>
      </c>
      <c r="O233" t="s">
        <v>476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475</v>
      </c>
      <c r="AH233" t="s">
        <v>12</v>
      </c>
      <c r="AI233" t="s">
        <v>476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152.28</v>
      </c>
      <c r="AN233">
        <f>$H$233*$T$233</f>
        <v>152.28</v>
      </c>
      <c r="AO233">
        <f>$H$233*$U$233</f>
        <v>152.28</v>
      </c>
      <c r="AP233">
        <f>$H$233*$V$233</f>
        <v>152.28</v>
      </c>
      <c r="AQ233">
        <f>$H$233*$W$233</f>
        <v>152.28</v>
      </c>
      <c r="AR233">
        <f>$H$233*$X$233</f>
        <v>152.28</v>
      </c>
      <c r="AS233">
        <f>$H$233*$Y$233</f>
        <v>152.28</v>
      </c>
      <c r="AT233">
        <f>$H$233*$Z$233</f>
        <v>152.28</v>
      </c>
      <c r="AU233">
        <f>$H$233*$AA$233</f>
        <v>152.28</v>
      </c>
      <c r="AV233">
        <f>$H$233*$AB$233</f>
        <v>152.28</v>
      </c>
      <c r="AW233">
        <f>$H$233*$AC$233</f>
        <v>152.28</v>
      </c>
      <c r="AX233">
        <f>$H$233*$AD$233</f>
        <v>152.28</v>
      </c>
      <c r="AY233">
        <f>$H$233*$AE$233</f>
        <v>152.28</v>
      </c>
      <c r="AZ233">
        <f>$H$233*$AF$233</f>
        <v>152.28</v>
      </c>
    </row>
    <row r="234" spans="1:52" x14ac:dyDescent="0.25">
      <c r="A234">
        <v>281</v>
      </c>
      <c r="B234" t="s">
        <v>475</v>
      </c>
      <c r="C234" t="s">
        <v>285</v>
      </c>
      <c r="D234">
        <v>25.5</v>
      </c>
      <c r="E234">
        <v>105.32</v>
      </c>
      <c r="F234" t="s">
        <v>275</v>
      </c>
      <c r="G234">
        <v>4.13</v>
      </c>
      <c r="H234">
        <v>126.38</v>
      </c>
      <c r="I234" t="s">
        <v>286</v>
      </c>
      <c r="J234" t="s">
        <v>287</v>
      </c>
      <c r="K234" t="s">
        <v>388</v>
      </c>
      <c r="L234" t="s">
        <v>170</v>
      </c>
      <c r="M234" t="s">
        <v>475</v>
      </c>
      <c r="N234" t="s">
        <v>12</v>
      </c>
      <c r="O234" t="s">
        <v>476</v>
      </c>
      <c r="P234">
        <v>0</v>
      </c>
      <c r="Q234">
        <v>0</v>
      </c>
      <c r="R234">
        <v>0</v>
      </c>
      <c r="S234">
        <v>0.25</v>
      </c>
      <c r="T234">
        <v>0.25</v>
      </c>
      <c r="U234">
        <v>0.25</v>
      </c>
      <c r="V234">
        <v>0.25</v>
      </c>
      <c r="W234">
        <v>0.5</v>
      </c>
      <c r="X234">
        <v>0.5</v>
      </c>
      <c r="Y234">
        <v>0.5</v>
      </c>
      <c r="Z234">
        <v>0.5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475</v>
      </c>
      <c r="AH234" t="s">
        <v>12</v>
      </c>
      <c r="AI234" t="s">
        <v>476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31.594999999999999</v>
      </c>
      <c r="AN234">
        <f>$H$234*$T$234</f>
        <v>31.594999999999999</v>
      </c>
      <c r="AO234">
        <f>$H$234*$U$234</f>
        <v>31.594999999999999</v>
      </c>
      <c r="AP234">
        <f>$H$234*$V$234</f>
        <v>31.594999999999999</v>
      </c>
      <c r="AQ234">
        <f>$H$234*$W$234</f>
        <v>63.19</v>
      </c>
      <c r="AR234">
        <f>$H$234*$X$234</f>
        <v>63.19</v>
      </c>
      <c r="AS234">
        <f>$H$234*$Y$234</f>
        <v>63.19</v>
      </c>
      <c r="AT234">
        <f>$H$234*$Z$234</f>
        <v>63.19</v>
      </c>
      <c r="AU234">
        <f>$H$234*$AA$234</f>
        <v>126.38</v>
      </c>
      <c r="AV234">
        <f>$H$234*$AB$234</f>
        <v>126.38</v>
      </c>
      <c r="AW234">
        <f>$H$234*$AC$234</f>
        <v>126.38</v>
      </c>
      <c r="AX234">
        <f>$H$234*$AD$234</f>
        <v>126.38</v>
      </c>
      <c r="AY234">
        <f>$H$234*$AE$234</f>
        <v>126.38</v>
      </c>
      <c r="AZ234">
        <f>$H$234*$AF$234</f>
        <v>126.38</v>
      </c>
    </row>
    <row r="235" spans="1:52" x14ac:dyDescent="0.25">
      <c r="A235">
        <v>282</v>
      </c>
      <c r="B235" t="s">
        <v>475</v>
      </c>
      <c r="C235" t="s">
        <v>340</v>
      </c>
      <c r="D235">
        <v>25.5</v>
      </c>
      <c r="E235">
        <v>27.03</v>
      </c>
      <c r="F235" t="s">
        <v>275</v>
      </c>
      <c r="G235">
        <v>1.06</v>
      </c>
      <c r="H235">
        <v>32.43</v>
      </c>
      <c r="I235" t="s">
        <v>263</v>
      </c>
      <c r="J235" t="s">
        <v>341</v>
      </c>
      <c r="K235" t="s">
        <v>411</v>
      </c>
      <c r="L235" t="s">
        <v>170</v>
      </c>
      <c r="M235" t="s">
        <v>475</v>
      </c>
      <c r="N235" t="s">
        <v>12</v>
      </c>
      <c r="O235" t="s">
        <v>476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1</v>
      </c>
      <c r="AF235">
        <v>1</v>
      </c>
      <c r="AG235" t="s">
        <v>475</v>
      </c>
      <c r="AH235" t="s">
        <v>12</v>
      </c>
      <c r="AI235" t="s">
        <v>476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0</v>
      </c>
      <c r="AV235">
        <f>$H$235*$AB$235</f>
        <v>0</v>
      </c>
      <c r="AW235">
        <f>$H$235*$AC$235</f>
        <v>0</v>
      </c>
      <c r="AX235">
        <f>$H$235*$AD$235</f>
        <v>32.43</v>
      </c>
      <c r="AY235">
        <f>$H$235*$AE$235</f>
        <v>32.43</v>
      </c>
      <c r="AZ235">
        <f>$H$235*$AF$235</f>
        <v>32.43</v>
      </c>
    </row>
    <row r="236" spans="1:52" x14ac:dyDescent="0.25">
      <c r="A236">
        <v>283</v>
      </c>
      <c r="B236" t="s">
        <v>475</v>
      </c>
      <c r="C236" t="s">
        <v>346</v>
      </c>
      <c r="D236">
        <v>25.5</v>
      </c>
      <c r="E236">
        <v>28.56</v>
      </c>
      <c r="F236" t="s">
        <v>275</v>
      </c>
      <c r="G236">
        <v>1.1200000000000001</v>
      </c>
      <c r="H236">
        <v>34.28</v>
      </c>
      <c r="I236" t="s">
        <v>263</v>
      </c>
      <c r="J236" t="s">
        <v>347</v>
      </c>
      <c r="K236" t="s">
        <v>414</v>
      </c>
      <c r="L236" t="s">
        <v>170</v>
      </c>
      <c r="M236" t="s">
        <v>475</v>
      </c>
      <c r="N236" t="s">
        <v>12</v>
      </c>
      <c r="O236" t="s">
        <v>476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475</v>
      </c>
      <c r="AH236" t="s">
        <v>12</v>
      </c>
      <c r="AI236" t="s">
        <v>476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34.28</v>
      </c>
      <c r="AN236">
        <f>$H$236*$T$236</f>
        <v>34.28</v>
      </c>
      <c r="AO236">
        <f>$H$236*$U$236</f>
        <v>34.28</v>
      </c>
      <c r="AP236">
        <f>$H$236*$V$236</f>
        <v>34.28</v>
      </c>
      <c r="AQ236">
        <f>$H$236*$W$236</f>
        <v>34.28</v>
      </c>
      <c r="AR236">
        <f>$H$236*$X$236</f>
        <v>34.28</v>
      </c>
      <c r="AS236">
        <f>$H$236*$Y$236</f>
        <v>34.28</v>
      </c>
      <c r="AT236">
        <f>$H$236*$Z$236</f>
        <v>34.28</v>
      </c>
      <c r="AU236">
        <f>$H$236*$AA$236</f>
        <v>34.28</v>
      </c>
      <c r="AV236">
        <f>$H$236*$AB$236</f>
        <v>34.28</v>
      </c>
      <c r="AW236">
        <f>$H$236*$AC$236</f>
        <v>34.28</v>
      </c>
      <c r="AX236">
        <f>$H$236*$AD$236</f>
        <v>34.28</v>
      </c>
      <c r="AY236">
        <f>$H$236*$AE$236</f>
        <v>34.28</v>
      </c>
      <c r="AZ236">
        <f>$H$236*$AF$236</f>
        <v>34.28</v>
      </c>
    </row>
    <row r="237" spans="1:52" x14ac:dyDescent="0.25">
      <c r="A237">
        <v>284</v>
      </c>
      <c r="B237" t="s">
        <v>475</v>
      </c>
      <c r="C237" t="s">
        <v>528</v>
      </c>
      <c r="D237">
        <v>5.0999999999999996</v>
      </c>
      <c r="E237">
        <v>106.85</v>
      </c>
      <c r="F237" t="s">
        <v>275</v>
      </c>
      <c r="G237">
        <v>20.95</v>
      </c>
      <c r="H237">
        <v>128.22999999999999</v>
      </c>
      <c r="I237" t="s">
        <v>348</v>
      </c>
      <c r="J237" t="s">
        <v>529</v>
      </c>
      <c r="K237" t="s">
        <v>645</v>
      </c>
      <c r="L237" t="s">
        <v>170</v>
      </c>
      <c r="M237" t="s">
        <v>475</v>
      </c>
      <c r="N237" t="s">
        <v>12</v>
      </c>
      <c r="O237" t="s">
        <v>476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475</v>
      </c>
      <c r="AH237" t="s">
        <v>12</v>
      </c>
      <c r="AI237" t="s">
        <v>476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128.22999999999999</v>
      </c>
      <c r="AT237">
        <f>$H$237*$Z$237</f>
        <v>128.22999999999999</v>
      </c>
      <c r="AU237">
        <f>$H$237*$AA$237</f>
        <v>128.22999999999999</v>
      </c>
      <c r="AV237">
        <f>$H$237*$AB$237</f>
        <v>128.22999999999999</v>
      </c>
      <c r="AW237">
        <f>$H$237*$AC$237</f>
        <v>128.22999999999999</v>
      </c>
      <c r="AX237">
        <f>$H$237*$AD$237</f>
        <v>128.22999999999999</v>
      </c>
      <c r="AY237">
        <f>$H$237*$AE$237</f>
        <v>128.22999999999999</v>
      </c>
      <c r="AZ237">
        <f>$H$237*$AF$237</f>
        <v>128.22999999999999</v>
      </c>
    </row>
    <row r="238" spans="1:52" x14ac:dyDescent="0.25">
      <c r="A238">
        <v>285</v>
      </c>
      <c r="B238" t="s">
        <v>475</v>
      </c>
      <c r="C238" t="s">
        <v>349</v>
      </c>
      <c r="D238">
        <v>10.199999999999999</v>
      </c>
      <c r="E238">
        <v>43.45</v>
      </c>
      <c r="F238" t="s">
        <v>275</v>
      </c>
      <c r="G238">
        <v>4.26</v>
      </c>
      <c r="H238">
        <v>52.15</v>
      </c>
      <c r="I238" t="s">
        <v>350</v>
      </c>
      <c r="J238" t="s">
        <v>351</v>
      </c>
      <c r="K238" t="s">
        <v>415</v>
      </c>
      <c r="L238" t="s">
        <v>170</v>
      </c>
      <c r="M238" t="s">
        <v>475</v>
      </c>
      <c r="N238" t="s">
        <v>12</v>
      </c>
      <c r="O238" t="s">
        <v>476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475</v>
      </c>
      <c r="AH238" t="s">
        <v>12</v>
      </c>
      <c r="AI238" t="s">
        <v>476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52.15</v>
      </c>
      <c r="AN238">
        <f>$H$238*$T$238</f>
        <v>52.15</v>
      </c>
      <c r="AO238">
        <f>$H$238*$U$238</f>
        <v>52.15</v>
      </c>
      <c r="AP238">
        <f>$H$238*$V$238</f>
        <v>52.15</v>
      </c>
      <c r="AQ238">
        <f>$H$238*$W$238</f>
        <v>52.15</v>
      </c>
      <c r="AR238">
        <f>$H$238*$X$238</f>
        <v>52.15</v>
      </c>
      <c r="AS238">
        <f>$H$238*$Y$238</f>
        <v>52.15</v>
      </c>
      <c r="AT238">
        <f>$H$238*$Z$238</f>
        <v>52.15</v>
      </c>
      <c r="AU238">
        <f>$H$238*$AA$238</f>
        <v>52.15</v>
      </c>
      <c r="AV238">
        <f>$H$238*$AB$238</f>
        <v>52.15</v>
      </c>
      <c r="AW238">
        <f>$H$238*$AC$238</f>
        <v>52.15</v>
      </c>
      <c r="AX238">
        <f>$H$238*$AD$238</f>
        <v>52.15</v>
      </c>
      <c r="AY238">
        <f>$H$238*$AE$238</f>
        <v>52.15</v>
      </c>
      <c r="AZ238">
        <f>$H$238*$AF$238</f>
        <v>52.15</v>
      </c>
    </row>
    <row r="239" spans="1:52" x14ac:dyDescent="0.25">
      <c r="A239">
        <v>286</v>
      </c>
      <c r="B239" t="s">
        <v>475</v>
      </c>
      <c r="C239" t="s">
        <v>352</v>
      </c>
      <c r="D239">
        <v>10.199999999999999</v>
      </c>
      <c r="E239">
        <v>109.55</v>
      </c>
      <c r="F239" t="s">
        <v>275</v>
      </c>
      <c r="G239">
        <v>10.74</v>
      </c>
      <c r="H239">
        <v>131.47</v>
      </c>
      <c r="I239" t="s">
        <v>350</v>
      </c>
      <c r="J239" t="s">
        <v>293</v>
      </c>
      <c r="K239" t="s">
        <v>416</v>
      </c>
      <c r="L239" t="s">
        <v>170</v>
      </c>
      <c r="M239" t="s">
        <v>475</v>
      </c>
      <c r="N239" t="s">
        <v>12</v>
      </c>
      <c r="O239" t="s">
        <v>476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475</v>
      </c>
      <c r="AH239" t="s">
        <v>12</v>
      </c>
      <c r="AI239" t="s">
        <v>476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131.47</v>
      </c>
      <c r="AN239">
        <f>$H$239*$T$239</f>
        <v>131.47</v>
      </c>
      <c r="AO239">
        <f>$H$239*$U$239</f>
        <v>131.47</v>
      </c>
      <c r="AP239">
        <f>$H$239*$V$239</f>
        <v>131.47</v>
      </c>
      <c r="AQ239">
        <f>$H$239*$W$239</f>
        <v>131.47</v>
      </c>
      <c r="AR239">
        <f>$H$239*$X$239</f>
        <v>131.47</v>
      </c>
      <c r="AS239">
        <f>$H$239*$Y$239</f>
        <v>131.47</v>
      </c>
      <c r="AT239">
        <f>$H$239*$Z$239</f>
        <v>131.47</v>
      </c>
      <c r="AU239">
        <f>$H$239*$AA$239</f>
        <v>131.47</v>
      </c>
      <c r="AV239">
        <f>$H$239*$AB$239</f>
        <v>131.47</v>
      </c>
      <c r="AW239">
        <f>$H$239*$AC$239</f>
        <v>131.47</v>
      </c>
      <c r="AX239">
        <f>$H$239*$AD$239</f>
        <v>131.47</v>
      </c>
      <c r="AY239">
        <f>$H$239*$AE$239</f>
        <v>131.47</v>
      </c>
      <c r="AZ239">
        <f>$H$239*$AF$239</f>
        <v>131.47</v>
      </c>
    </row>
    <row r="240" spans="1:52" x14ac:dyDescent="0.25">
      <c r="A240">
        <v>287</v>
      </c>
      <c r="B240" t="s">
        <v>475</v>
      </c>
      <c r="C240" t="s">
        <v>530</v>
      </c>
      <c r="D240">
        <v>11.73</v>
      </c>
      <c r="E240">
        <v>12.43</v>
      </c>
      <c r="F240" t="s">
        <v>275</v>
      </c>
      <c r="G240">
        <v>1.06</v>
      </c>
      <c r="H240">
        <v>14.91</v>
      </c>
      <c r="I240" t="s">
        <v>353</v>
      </c>
      <c r="J240" t="s">
        <v>531</v>
      </c>
      <c r="K240" t="s">
        <v>646</v>
      </c>
      <c r="L240" t="s">
        <v>170</v>
      </c>
      <c r="M240" t="s">
        <v>475</v>
      </c>
      <c r="N240" t="s">
        <v>12</v>
      </c>
      <c r="O240" t="s">
        <v>476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475</v>
      </c>
      <c r="AH240" t="s">
        <v>12</v>
      </c>
      <c r="AI240" t="s">
        <v>476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14.91</v>
      </c>
      <c r="AN240">
        <f>$H$240*$T$240</f>
        <v>14.91</v>
      </c>
      <c r="AO240">
        <f>$H$240*$U$240</f>
        <v>14.91</v>
      </c>
      <c r="AP240">
        <f>$H$240*$V$240</f>
        <v>14.91</v>
      </c>
      <c r="AQ240">
        <f>$H$240*$W$240</f>
        <v>14.91</v>
      </c>
      <c r="AR240">
        <f>$H$240*$X$240</f>
        <v>14.91</v>
      </c>
      <c r="AS240">
        <f>$H$240*$Y$240</f>
        <v>14.91</v>
      </c>
      <c r="AT240">
        <f>$H$240*$Z$240</f>
        <v>14.91</v>
      </c>
      <c r="AU240">
        <f>$H$240*$AA$240</f>
        <v>14.91</v>
      </c>
      <c r="AV240">
        <f>$H$240*$AB$240</f>
        <v>14.91</v>
      </c>
      <c r="AW240">
        <f>$H$240*$AC$240</f>
        <v>14.91</v>
      </c>
      <c r="AX240">
        <f>$H$240*$AD$240</f>
        <v>14.91</v>
      </c>
      <c r="AY240">
        <f>$H$240*$AE$240</f>
        <v>14.91</v>
      </c>
      <c r="AZ240">
        <f>$H$240*$AF$240</f>
        <v>14.91</v>
      </c>
    </row>
    <row r="241" spans="1:52" x14ac:dyDescent="0.25">
      <c r="A241">
        <v>288</v>
      </c>
      <c r="B241" t="s">
        <v>475</v>
      </c>
      <c r="C241" t="s">
        <v>532</v>
      </c>
      <c r="D241">
        <v>11.73</v>
      </c>
      <c r="E241">
        <v>101.23</v>
      </c>
      <c r="F241" t="s">
        <v>275</v>
      </c>
      <c r="G241">
        <v>8.6300000000000008</v>
      </c>
      <c r="H241">
        <v>121.47</v>
      </c>
      <c r="I241" t="s">
        <v>353</v>
      </c>
      <c r="J241" t="s">
        <v>529</v>
      </c>
      <c r="K241" t="s">
        <v>647</v>
      </c>
      <c r="L241" t="s">
        <v>170</v>
      </c>
      <c r="M241" t="s">
        <v>475</v>
      </c>
      <c r="N241" t="s">
        <v>12</v>
      </c>
      <c r="O241" t="s">
        <v>476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475</v>
      </c>
      <c r="AH241" t="s">
        <v>12</v>
      </c>
      <c r="AI241" t="s">
        <v>476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121.47</v>
      </c>
      <c r="AN241">
        <f>$H$241*$T$241</f>
        <v>121.47</v>
      </c>
      <c r="AO241">
        <f>$H$241*$U$241</f>
        <v>121.47</v>
      </c>
      <c r="AP241">
        <f>$H$241*$V$241</f>
        <v>121.47</v>
      </c>
      <c r="AQ241">
        <f>$H$241*$W$241</f>
        <v>121.47</v>
      </c>
      <c r="AR241">
        <f>$H$241*$X$241</f>
        <v>121.47</v>
      </c>
      <c r="AS241">
        <f>$H$241*$Y$241</f>
        <v>121.47</v>
      </c>
      <c r="AT241">
        <f>$H$241*$Z$241</f>
        <v>121.47</v>
      </c>
      <c r="AU241">
        <f>$H$241*$AA$241</f>
        <v>121.47</v>
      </c>
      <c r="AV241">
        <f>$H$241*$AB$241</f>
        <v>121.47</v>
      </c>
      <c r="AW241">
        <f>$H$241*$AC$241</f>
        <v>121.47</v>
      </c>
      <c r="AX241">
        <f>$H$241*$AD$241</f>
        <v>121.47</v>
      </c>
      <c r="AY241">
        <f>$H$241*$AE$241</f>
        <v>121.47</v>
      </c>
      <c r="AZ241">
        <f>$H$241*$AF$241</f>
        <v>121.47</v>
      </c>
    </row>
    <row r="242" spans="1:52" x14ac:dyDescent="0.25">
      <c r="A242">
        <v>289</v>
      </c>
      <c r="B242" t="s">
        <v>247</v>
      </c>
      <c r="C242" t="s">
        <v>324</v>
      </c>
      <c r="D242">
        <v>6</v>
      </c>
      <c r="E242">
        <v>96.48</v>
      </c>
      <c r="F242" t="s">
        <v>265</v>
      </c>
      <c r="G242">
        <v>16.079999999999998</v>
      </c>
      <c r="H242">
        <v>115.78</v>
      </c>
      <c r="I242" t="s">
        <v>267</v>
      </c>
      <c r="J242" t="s">
        <v>325</v>
      </c>
      <c r="K242" t="s">
        <v>404</v>
      </c>
      <c r="L242" t="s">
        <v>170</v>
      </c>
      <c r="M242" t="s">
        <v>247</v>
      </c>
      <c r="N242" t="s">
        <v>12</v>
      </c>
      <c r="O242" t="s">
        <v>15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247</v>
      </c>
      <c r="AH242" t="s">
        <v>12</v>
      </c>
      <c r="AI242" t="s">
        <v>15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115.78</v>
      </c>
      <c r="AS242">
        <f>$H$242*$Y$242</f>
        <v>115.78</v>
      </c>
      <c r="AT242">
        <f>$H$242*$Z$242</f>
        <v>115.78</v>
      </c>
      <c r="AU242">
        <f>$H$242*$AA$242</f>
        <v>115.78</v>
      </c>
      <c r="AV242">
        <f>$H$242*$AB$242</f>
        <v>115.78</v>
      </c>
      <c r="AW242">
        <f>$H$242*$AC$242</f>
        <v>115.78</v>
      </c>
      <c r="AX242">
        <f>$H$242*$AD$242</f>
        <v>115.78</v>
      </c>
      <c r="AY242">
        <f>$H$242*$AE$242</f>
        <v>115.78</v>
      </c>
      <c r="AZ242">
        <f>$H$242*$AF$242</f>
        <v>115.78</v>
      </c>
    </row>
    <row r="243" spans="1:52" x14ac:dyDescent="0.25">
      <c r="A243">
        <v>290</v>
      </c>
      <c r="B243" t="s">
        <v>247</v>
      </c>
      <c r="C243" t="s">
        <v>279</v>
      </c>
      <c r="D243">
        <v>42</v>
      </c>
      <c r="E243">
        <v>324.66000000000003</v>
      </c>
      <c r="F243" t="s">
        <v>262</v>
      </c>
      <c r="G243">
        <v>7.73</v>
      </c>
      <c r="H243">
        <v>389.6</v>
      </c>
      <c r="I243" t="s">
        <v>263</v>
      </c>
      <c r="J243" t="s">
        <v>280</v>
      </c>
      <c r="K243" t="s">
        <v>385</v>
      </c>
      <c r="L243" t="s">
        <v>170</v>
      </c>
      <c r="M243" t="s">
        <v>247</v>
      </c>
      <c r="N243" t="s">
        <v>12</v>
      </c>
      <c r="O243" t="s">
        <v>15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247</v>
      </c>
      <c r="AH243" t="s">
        <v>12</v>
      </c>
      <c r="AI243" t="s">
        <v>15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389.6</v>
      </c>
      <c r="AV243">
        <f>$H$243*$AB$243</f>
        <v>389.6</v>
      </c>
      <c r="AW243">
        <f>$H$243*$AC$243</f>
        <v>389.6</v>
      </c>
      <c r="AX243">
        <f>$H$243*$AD$243</f>
        <v>389.6</v>
      </c>
      <c r="AY243">
        <f>$H$243*$AE$243</f>
        <v>389.6</v>
      </c>
      <c r="AZ243">
        <f>$H$243*$AF$243</f>
        <v>389.6</v>
      </c>
    </row>
    <row r="244" spans="1:52" x14ac:dyDescent="0.25">
      <c r="A244">
        <v>291</v>
      </c>
      <c r="B244" t="s">
        <v>247</v>
      </c>
      <c r="C244" t="s">
        <v>281</v>
      </c>
      <c r="D244">
        <v>21</v>
      </c>
      <c r="E244">
        <v>269.22000000000003</v>
      </c>
      <c r="F244" t="s">
        <v>262</v>
      </c>
      <c r="G244">
        <v>12.82</v>
      </c>
      <c r="H244">
        <v>323.06</v>
      </c>
      <c r="I244" t="s">
        <v>264</v>
      </c>
      <c r="J244" t="s">
        <v>282</v>
      </c>
      <c r="K244" t="s">
        <v>386</v>
      </c>
      <c r="L244" t="s">
        <v>170</v>
      </c>
      <c r="M244" t="s">
        <v>247</v>
      </c>
      <c r="N244" t="s">
        <v>12</v>
      </c>
      <c r="O244" t="s">
        <v>15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247</v>
      </c>
      <c r="AH244" t="s">
        <v>12</v>
      </c>
      <c r="AI244" t="s">
        <v>15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323.06</v>
      </c>
      <c r="AV244">
        <f>$H$244*$AB$244</f>
        <v>323.06</v>
      </c>
      <c r="AW244">
        <f>$H$244*$AC$244</f>
        <v>323.06</v>
      </c>
      <c r="AX244">
        <f>$H$244*$AD$244</f>
        <v>323.06</v>
      </c>
      <c r="AY244">
        <f>$H$244*$AE$244</f>
        <v>323.06</v>
      </c>
      <c r="AZ244">
        <f>$H$244*$AF$244</f>
        <v>323.06</v>
      </c>
    </row>
    <row r="245" spans="1:52" x14ac:dyDescent="0.25">
      <c r="A245">
        <v>292</v>
      </c>
      <c r="B245" t="s">
        <v>247</v>
      </c>
      <c r="C245" t="s">
        <v>573</v>
      </c>
      <c r="D245">
        <v>21</v>
      </c>
      <c r="E245">
        <v>253.47</v>
      </c>
      <c r="F245" t="s">
        <v>262</v>
      </c>
      <c r="G245">
        <v>12.07</v>
      </c>
      <c r="H245">
        <v>304.17</v>
      </c>
      <c r="I245" t="s">
        <v>264</v>
      </c>
      <c r="J245" t="s">
        <v>574</v>
      </c>
      <c r="K245" t="s">
        <v>668</v>
      </c>
      <c r="L245" t="s">
        <v>170</v>
      </c>
      <c r="M245" t="s">
        <v>247</v>
      </c>
      <c r="N245" t="s">
        <v>12</v>
      </c>
      <c r="O245" t="s">
        <v>15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247</v>
      </c>
      <c r="AH245" t="s">
        <v>12</v>
      </c>
      <c r="AI245" t="s">
        <v>15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304.17</v>
      </c>
      <c r="AU245">
        <f>$H$245*$AA$245</f>
        <v>304.17</v>
      </c>
      <c r="AV245">
        <f>$H$245*$AB$245</f>
        <v>304.17</v>
      </c>
      <c r="AW245">
        <f>$H$245*$AC$245</f>
        <v>304.17</v>
      </c>
      <c r="AX245">
        <f>$H$245*$AD$245</f>
        <v>304.17</v>
      </c>
      <c r="AY245">
        <f>$H$245*$AE$245</f>
        <v>304.17</v>
      </c>
      <c r="AZ245">
        <f>$H$245*$AF$245</f>
        <v>304.17</v>
      </c>
    </row>
    <row r="246" spans="1:52" x14ac:dyDescent="0.25">
      <c r="A246">
        <v>293</v>
      </c>
      <c r="B246" t="s">
        <v>247</v>
      </c>
      <c r="C246" t="s">
        <v>525</v>
      </c>
      <c r="D246">
        <v>1</v>
      </c>
      <c r="E246">
        <v>109.28</v>
      </c>
      <c r="F246" t="s">
        <v>265</v>
      </c>
      <c r="G246">
        <v>109.28</v>
      </c>
      <c r="H246">
        <v>131.13999999999999</v>
      </c>
      <c r="I246" t="s">
        <v>270</v>
      </c>
      <c r="J246" t="s">
        <v>293</v>
      </c>
      <c r="K246" t="s">
        <v>643</v>
      </c>
      <c r="L246" t="s">
        <v>170</v>
      </c>
      <c r="M246" t="s">
        <v>247</v>
      </c>
      <c r="N246" t="s">
        <v>12</v>
      </c>
      <c r="O246" t="s">
        <v>15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247</v>
      </c>
      <c r="AH246" t="s">
        <v>12</v>
      </c>
      <c r="AI246" t="s">
        <v>15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131.13999999999999</v>
      </c>
      <c r="AY246">
        <f>$H$246*$AE$246</f>
        <v>131.13999999999999</v>
      </c>
      <c r="AZ246">
        <f>$H$246*$AF$246</f>
        <v>131.13999999999999</v>
      </c>
    </row>
    <row r="247" spans="1:52" x14ac:dyDescent="0.25">
      <c r="A247">
        <v>294</v>
      </c>
      <c r="B247" t="s">
        <v>247</v>
      </c>
      <c r="C247" t="s">
        <v>288</v>
      </c>
      <c r="D247">
        <v>1</v>
      </c>
      <c r="E247">
        <v>63.54</v>
      </c>
      <c r="F247" t="s">
        <v>265</v>
      </c>
      <c r="G247">
        <v>63.54</v>
      </c>
      <c r="H247">
        <v>76.239999999999995</v>
      </c>
      <c r="I247" t="s">
        <v>289</v>
      </c>
      <c r="J247" t="s">
        <v>290</v>
      </c>
      <c r="K247" t="s">
        <v>389</v>
      </c>
      <c r="L247" t="s">
        <v>170</v>
      </c>
      <c r="M247" t="s">
        <v>247</v>
      </c>
      <c r="N247" t="s">
        <v>12</v>
      </c>
      <c r="O247" t="s">
        <v>15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247</v>
      </c>
      <c r="AH247" t="s">
        <v>12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76.239999999999995</v>
      </c>
      <c r="AV247">
        <f>$H$247*$AB$247</f>
        <v>76.239999999999995</v>
      </c>
      <c r="AW247">
        <f>$H$247*$AC$247</f>
        <v>76.239999999999995</v>
      </c>
      <c r="AX247">
        <f>$H$247*$AD$247</f>
        <v>76.239999999999995</v>
      </c>
      <c r="AY247">
        <f>$H$247*$AE$247</f>
        <v>76.239999999999995</v>
      </c>
      <c r="AZ247">
        <f>$H$247*$AF$247</f>
        <v>76.239999999999995</v>
      </c>
    </row>
    <row r="248" spans="1:52" x14ac:dyDescent="0.25">
      <c r="A248">
        <v>295</v>
      </c>
      <c r="B248" t="s">
        <v>247</v>
      </c>
      <c r="C248" t="s">
        <v>296</v>
      </c>
      <c r="D248">
        <v>2</v>
      </c>
      <c r="E248">
        <v>126.18</v>
      </c>
      <c r="F248" t="s">
        <v>265</v>
      </c>
      <c r="G248">
        <v>63.09</v>
      </c>
      <c r="H248">
        <v>151.41999999999999</v>
      </c>
      <c r="I248" t="s">
        <v>263</v>
      </c>
      <c r="J248" t="s">
        <v>292</v>
      </c>
      <c r="K248" t="s">
        <v>392</v>
      </c>
      <c r="L248" t="s">
        <v>170</v>
      </c>
      <c r="M248" t="s">
        <v>247</v>
      </c>
      <c r="N248" t="s">
        <v>12</v>
      </c>
      <c r="O248" t="s">
        <v>15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247</v>
      </c>
      <c r="AH248" t="s">
        <v>12</v>
      </c>
      <c r="AI248" t="s">
        <v>15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151.41999999999999</v>
      </c>
      <c r="AN248">
        <f>$H$248*$T$248</f>
        <v>151.41999999999999</v>
      </c>
      <c r="AO248">
        <f>$H$248*$U$248</f>
        <v>151.41999999999999</v>
      </c>
      <c r="AP248">
        <f>$H$248*$V$248</f>
        <v>151.41999999999999</v>
      </c>
      <c r="AQ248">
        <f>$H$248*$W$248</f>
        <v>151.41999999999999</v>
      </c>
      <c r="AR248">
        <f>$H$248*$X$248</f>
        <v>151.41999999999999</v>
      </c>
      <c r="AS248">
        <f>$H$248*$Y$248</f>
        <v>151.41999999999999</v>
      </c>
      <c r="AT248">
        <f>$H$248*$Z$248</f>
        <v>151.41999999999999</v>
      </c>
      <c r="AU248">
        <f>$H$248*$AA$248</f>
        <v>151.41999999999999</v>
      </c>
      <c r="AV248">
        <f>$H$248*$AB$248</f>
        <v>151.41999999999999</v>
      </c>
      <c r="AW248">
        <f>$H$248*$AC$248</f>
        <v>151.41999999999999</v>
      </c>
      <c r="AX248">
        <f>$H$248*$AD$248</f>
        <v>151.41999999999999</v>
      </c>
      <c r="AY248">
        <f>$H$248*$AE$248</f>
        <v>151.41999999999999</v>
      </c>
      <c r="AZ248">
        <f>$H$248*$AF$248</f>
        <v>151.41999999999999</v>
      </c>
    </row>
    <row r="249" spans="1:52" x14ac:dyDescent="0.25">
      <c r="A249">
        <v>296</v>
      </c>
      <c r="B249" t="s">
        <v>247</v>
      </c>
      <c r="C249" t="s">
        <v>294</v>
      </c>
      <c r="D249">
        <v>2</v>
      </c>
      <c r="E249">
        <v>106.22</v>
      </c>
      <c r="F249" t="s">
        <v>265</v>
      </c>
      <c r="G249">
        <v>53.11</v>
      </c>
      <c r="H249">
        <v>127.46</v>
      </c>
      <c r="I249" t="s">
        <v>263</v>
      </c>
      <c r="J249" t="s">
        <v>295</v>
      </c>
      <c r="K249" t="s">
        <v>391</v>
      </c>
      <c r="L249" t="s">
        <v>170</v>
      </c>
      <c r="M249" t="s">
        <v>247</v>
      </c>
      <c r="N249" t="s">
        <v>12</v>
      </c>
      <c r="O249" t="s">
        <v>15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247</v>
      </c>
      <c r="AH249" t="s">
        <v>12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127.46</v>
      </c>
      <c r="AN249">
        <f>$H$249*$T$249</f>
        <v>127.46</v>
      </c>
      <c r="AO249">
        <f>$H$249*$U$249</f>
        <v>127.46</v>
      </c>
      <c r="AP249">
        <f>$H$249*$V$249</f>
        <v>127.46</v>
      </c>
      <c r="AQ249">
        <f>$H$249*$W$249</f>
        <v>127.46</v>
      </c>
      <c r="AR249">
        <f>$H$249*$X$249</f>
        <v>127.46</v>
      </c>
      <c r="AS249">
        <f>$H$249*$Y$249</f>
        <v>127.46</v>
      </c>
      <c r="AT249">
        <f>$H$249*$Z$249</f>
        <v>127.46</v>
      </c>
      <c r="AU249">
        <f>$H$249*$AA$249</f>
        <v>127.46</v>
      </c>
      <c r="AV249">
        <f>$H$249*$AB$249</f>
        <v>127.46</v>
      </c>
      <c r="AW249">
        <f>$H$249*$AC$249</f>
        <v>127.46</v>
      </c>
      <c r="AX249">
        <f>$H$249*$AD$249</f>
        <v>127.46</v>
      </c>
      <c r="AY249">
        <f>$H$249*$AE$249</f>
        <v>127.46</v>
      </c>
      <c r="AZ249">
        <f>$H$249*$AF$249</f>
        <v>127.46</v>
      </c>
    </row>
    <row r="250" spans="1:52" x14ac:dyDescent="0.25">
      <c r="A250">
        <v>297</v>
      </c>
      <c r="B250" t="s">
        <v>247</v>
      </c>
      <c r="C250" t="s">
        <v>291</v>
      </c>
      <c r="D250">
        <v>1</v>
      </c>
      <c r="E250">
        <v>410.31</v>
      </c>
      <c r="F250" t="s">
        <v>265</v>
      </c>
      <c r="G250">
        <v>410.31</v>
      </c>
      <c r="H250">
        <v>492.37</v>
      </c>
      <c r="I250" t="s">
        <v>292</v>
      </c>
      <c r="J250" t="s">
        <v>293</v>
      </c>
      <c r="K250" t="s">
        <v>390</v>
      </c>
      <c r="L250" t="s">
        <v>170</v>
      </c>
      <c r="M250" t="s">
        <v>247</v>
      </c>
      <c r="N250" t="s">
        <v>12</v>
      </c>
      <c r="O250" t="s">
        <v>15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247</v>
      </c>
      <c r="AH250" t="s">
        <v>12</v>
      </c>
      <c r="AI250" t="s">
        <v>15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492.37</v>
      </c>
      <c r="AO250">
        <f>$H$250*$U$250</f>
        <v>492.37</v>
      </c>
      <c r="AP250">
        <f>$H$250*$V$250</f>
        <v>492.37</v>
      </c>
      <c r="AQ250">
        <f>$H$250*$W$250</f>
        <v>492.37</v>
      </c>
      <c r="AR250">
        <f>$H$250*$X$250</f>
        <v>492.37</v>
      </c>
      <c r="AS250">
        <f>$H$250*$Y$250</f>
        <v>492.37</v>
      </c>
      <c r="AT250">
        <f>$H$250*$Z$250</f>
        <v>492.37</v>
      </c>
      <c r="AU250">
        <f>$H$250*$AA$250</f>
        <v>492.37</v>
      </c>
      <c r="AV250">
        <f>$H$250*$AB$250</f>
        <v>492.37</v>
      </c>
      <c r="AW250">
        <f>$H$250*$AC$250</f>
        <v>492.37</v>
      </c>
      <c r="AX250">
        <f>$H$250*$AD$250</f>
        <v>492.37</v>
      </c>
      <c r="AY250">
        <f>$H$250*$AE$250</f>
        <v>492.37</v>
      </c>
      <c r="AZ250">
        <f>$H$250*$AF$250</f>
        <v>492.37</v>
      </c>
    </row>
    <row r="251" spans="1:52" x14ac:dyDescent="0.25">
      <c r="A251">
        <v>298</v>
      </c>
      <c r="B251" t="s">
        <v>247</v>
      </c>
      <c r="C251" t="s">
        <v>335</v>
      </c>
      <c r="D251">
        <v>12.33</v>
      </c>
      <c r="E251">
        <v>47.22</v>
      </c>
      <c r="F251" t="s">
        <v>262</v>
      </c>
      <c r="G251">
        <v>3.83</v>
      </c>
      <c r="H251">
        <v>56.66</v>
      </c>
      <c r="I251" t="s">
        <v>336</v>
      </c>
      <c r="J251" t="s">
        <v>337</v>
      </c>
      <c r="K251" t="s">
        <v>409</v>
      </c>
      <c r="L251" t="s">
        <v>170</v>
      </c>
      <c r="M251" t="s">
        <v>247</v>
      </c>
      <c r="N251" t="s">
        <v>12</v>
      </c>
      <c r="O251" t="s">
        <v>15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247</v>
      </c>
      <c r="AH251" t="s">
        <v>12</v>
      </c>
      <c r="AI251" t="s">
        <v>15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56.66</v>
      </c>
      <c r="AV251">
        <f>$H$251*$AB$251</f>
        <v>56.66</v>
      </c>
      <c r="AW251">
        <f>$H$251*$AC$251</f>
        <v>56.66</v>
      </c>
      <c r="AX251">
        <f>$H$251*$AD$251</f>
        <v>56.66</v>
      </c>
      <c r="AY251">
        <f>$H$251*$AE$251</f>
        <v>56.66</v>
      </c>
      <c r="AZ251">
        <f>$H$251*$AF$251</f>
        <v>56.66</v>
      </c>
    </row>
    <row r="252" spans="1:52" x14ac:dyDescent="0.25">
      <c r="A252">
        <v>299</v>
      </c>
      <c r="B252" t="s">
        <v>247</v>
      </c>
      <c r="C252" t="s">
        <v>338</v>
      </c>
      <c r="D252">
        <v>111</v>
      </c>
      <c r="E252">
        <v>367.41</v>
      </c>
      <c r="F252" t="s">
        <v>275</v>
      </c>
      <c r="G252">
        <v>3.31</v>
      </c>
      <c r="H252">
        <v>440.89</v>
      </c>
      <c r="I252" t="s">
        <v>336</v>
      </c>
      <c r="J252" t="s">
        <v>339</v>
      </c>
      <c r="K252" t="s">
        <v>410</v>
      </c>
      <c r="L252" t="s">
        <v>170</v>
      </c>
      <c r="M252" t="s">
        <v>247</v>
      </c>
      <c r="N252" t="s">
        <v>12</v>
      </c>
      <c r="O252" t="s">
        <v>15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247</v>
      </c>
      <c r="AH252" t="s">
        <v>12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440.89</v>
      </c>
      <c r="AN252">
        <f>$H$252*$T$252</f>
        <v>440.89</v>
      </c>
      <c r="AO252">
        <f>$H$252*$U$252</f>
        <v>440.89</v>
      </c>
      <c r="AP252">
        <f>$H$252*$V$252</f>
        <v>440.89</v>
      </c>
      <c r="AQ252">
        <f>$H$252*$W$252</f>
        <v>440.89</v>
      </c>
      <c r="AR252">
        <f>$H$252*$X$252</f>
        <v>440.89</v>
      </c>
      <c r="AS252">
        <f>$H$252*$Y$252</f>
        <v>440.89</v>
      </c>
      <c r="AT252">
        <f>$H$252*$Z$252</f>
        <v>440.89</v>
      </c>
      <c r="AU252">
        <f>$H$252*$AA$252</f>
        <v>440.89</v>
      </c>
      <c r="AV252">
        <f>$H$252*$AB$252</f>
        <v>440.89</v>
      </c>
      <c r="AW252">
        <f>$H$252*$AC$252</f>
        <v>440.89</v>
      </c>
      <c r="AX252">
        <f>$H$252*$AD$252</f>
        <v>440.89</v>
      </c>
      <c r="AY252">
        <f>$H$252*$AE$252</f>
        <v>440.89</v>
      </c>
      <c r="AZ252">
        <f>$H$252*$AF$252</f>
        <v>440.89</v>
      </c>
    </row>
    <row r="253" spans="1:52" x14ac:dyDescent="0.25">
      <c r="A253">
        <v>300</v>
      </c>
      <c r="B253" t="s">
        <v>247</v>
      </c>
      <c r="C253" t="s">
        <v>340</v>
      </c>
      <c r="D253">
        <v>111</v>
      </c>
      <c r="E253">
        <v>117.66</v>
      </c>
      <c r="F253" t="s">
        <v>275</v>
      </c>
      <c r="G253">
        <v>1.06</v>
      </c>
      <c r="H253">
        <v>141.19999999999999</v>
      </c>
      <c r="I253" t="s">
        <v>263</v>
      </c>
      <c r="J253" t="s">
        <v>341</v>
      </c>
      <c r="K253" t="s">
        <v>411</v>
      </c>
      <c r="L253" t="s">
        <v>170</v>
      </c>
      <c r="M253" t="s">
        <v>247</v>
      </c>
      <c r="N253" t="s">
        <v>12</v>
      </c>
      <c r="O253" t="s">
        <v>15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247</v>
      </c>
      <c r="AH253" t="s">
        <v>12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141.19999999999999</v>
      </c>
      <c r="AY253">
        <f>$H$253*$AE$253</f>
        <v>141.19999999999999</v>
      </c>
      <c r="AZ253">
        <f>$H$253*$AF$253</f>
        <v>141.19999999999999</v>
      </c>
    </row>
    <row r="254" spans="1:52" x14ac:dyDescent="0.25">
      <c r="A254">
        <v>301</v>
      </c>
      <c r="B254" t="s">
        <v>247</v>
      </c>
      <c r="C254" t="s">
        <v>283</v>
      </c>
      <c r="D254">
        <v>138.75</v>
      </c>
      <c r="E254">
        <v>224.78</v>
      </c>
      <c r="F254" t="s">
        <v>275</v>
      </c>
      <c r="G254">
        <v>1.62</v>
      </c>
      <c r="H254">
        <v>269.74</v>
      </c>
      <c r="I254" t="s">
        <v>263</v>
      </c>
      <c r="J254" t="s">
        <v>284</v>
      </c>
      <c r="K254" t="s">
        <v>387</v>
      </c>
      <c r="L254" t="s">
        <v>170</v>
      </c>
      <c r="M254" t="s">
        <v>247</v>
      </c>
      <c r="N254" t="s">
        <v>12</v>
      </c>
      <c r="O254" t="s">
        <v>15</v>
      </c>
      <c r="P254">
        <v>0</v>
      </c>
      <c r="Q254">
        <v>0</v>
      </c>
      <c r="R254">
        <v>0</v>
      </c>
      <c r="S254">
        <v>0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247</v>
      </c>
      <c r="AH254" t="s">
        <v>12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269.74</v>
      </c>
      <c r="AO254">
        <f>$H$254*$U$254</f>
        <v>269.74</v>
      </c>
      <c r="AP254">
        <f>$H$254*$V$254</f>
        <v>269.74</v>
      </c>
      <c r="AQ254">
        <f>$H$254*$W$254</f>
        <v>269.74</v>
      </c>
      <c r="AR254">
        <f>$H$254*$X$254</f>
        <v>269.74</v>
      </c>
      <c r="AS254">
        <f>$H$254*$Y$254</f>
        <v>269.74</v>
      </c>
      <c r="AT254">
        <f>$H$254*$Z$254</f>
        <v>269.74</v>
      </c>
      <c r="AU254">
        <f>$H$254*$AA$254</f>
        <v>269.74</v>
      </c>
      <c r="AV254">
        <f>$H$254*$AB$254</f>
        <v>269.74</v>
      </c>
      <c r="AW254">
        <f>$H$254*$AC$254</f>
        <v>269.74</v>
      </c>
      <c r="AX254">
        <f>$H$254*$AD$254</f>
        <v>269.74</v>
      </c>
      <c r="AY254">
        <f>$H$254*$AE$254</f>
        <v>269.74</v>
      </c>
      <c r="AZ254">
        <f>$H$254*$AF$254</f>
        <v>269.74</v>
      </c>
    </row>
    <row r="255" spans="1:52" x14ac:dyDescent="0.25">
      <c r="A255">
        <v>302</v>
      </c>
      <c r="B255" t="s">
        <v>247</v>
      </c>
      <c r="C255" t="s">
        <v>526</v>
      </c>
      <c r="D255">
        <v>27.75</v>
      </c>
      <c r="E255">
        <v>117.38</v>
      </c>
      <c r="F255" t="s">
        <v>275</v>
      </c>
      <c r="G255">
        <v>4.2300000000000004</v>
      </c>
      <c r="H255">
        <v>140.86000000000001</v>
      </c>
      <c r="I255" t="s">
        <v>527</v>
      </c>
      <c r="J255" t="s">
        <v>309</v>
      </c>
      <c r="K255" t="s">
        <v>644</v>
      </c>
      <c r="L255" t="s">
        <v>170</v>
      </c>
      <c r="M255" t="s">
        <v>247</v>
      </c>
      <c r="N255" t="s">
        <v>12</v>
      </c>
      <c r="O255" t="s">
        <v>15</v>
      </c>
      <c r="P255">
        <v>0</v>
      </c>
      <c r="Q255">
        <v>0</v>
      </c>
      <c r="R255">
        <v>0</v>
      </c>
      <c r="S255">
        <v>0.25</v>
      </c>
      <c r="T255">
        <v>0.25</v>
      </c>
      <c r="U255">
        <v>0.25</v>
      </c>
      <c r="V255">
        <v>0.25</v>
      </c>
      <c r="W255">
        <v>0.25</v>
      </c>
      <c r="X255">
        <v>0.5</v>
      </c>
      <c r="Y255">
        <v>0.5</v>
      </c>
      <c r="Z255">
        <v>0.5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247</v>
      </c>
      <c r="AH255" t="s">
        <v>12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35.215000000000003</v>
      </c>
      <c r="AN255">
        <f>$H$255*$T$255</f>
        <v>35.215000000000003</v>
      </c>
      <c r="AO255">
        <f>$H$255*$U$255</f>
        <v>35.215000000000003</v>
      </c>
      <c r="AP255">
        <f>$H$255*$V$255</f>
        <v>35.215000000000003</v>
      </c>
      <c r="AQ255">
        <f>$H$255*$W$255</f>
        <v>35.215000000000003</v>
      </c>
      <c r="AR255">
        <f>$H$255*$X$255</f>
        <v>70.430000000000007</v>
      </c>
      <c r="AS255">
        <f>$H$255*$Y$255</f>
        <v>70.430000000000007</v>
      </c>
      <c r="AT255">
        <f>$H$255*$Z$255</f>
        <v>70.430000000000007</v>
      </c>
      <c r="AU255">
        <f>$H$255*$AA$255</f>
        <v>140.86000000000001</v>
      </c>
      <c r="AV255">
        <f>$H$255*$AB$255</f>
        <v>140.86000000000001</v>
      </c>
      <c r="AW255">
        <f>$H$255*$AC$255</f>
        <v>140.86000000000001</v>
      </c>
      <c r="AX255">
        <f>$H$255*$AD$255</f>
        <v>140.86000000000001</v>
      </c>
      <c r="AY255">
        <f>$H$255*$AE$255</f>
        <v>140.86000000000001</v>
      </c>
      <c r="AZ255">
        <f>$H$255*$AF$255</f>
        <v>140.86000000000001</v>
      </c>
    </row>
    <row r="256" spans="1:52" x14ac:dyDescent="0.25">
      <c r="A256">
        <v>303</v>
      </c>
      <c r="B256" t="s">
        <v>247</v>
      </c>
      <c r="C256" t="s">
        <v>285</v>
      </c>
      <c r="D256">
        <v>277.5</v>
      </c>
      <c r="E256">
        <v>1146.08</v>
      </c>
      <c r="F256" t="s">
        <v>275</v>
      </c>
      <c r="G256">
        <v>4.13</v>
      </c>
      <c r="H256">
        <v>1375.3</v>
      </c>
      <c r="I256" t="s">
        <v>286</v>
      </c>
      <c r="J256" t="s">
        <v>287</v>
      </c>
      <c r="K256" t="s">
        <v>388</v>
      </c>
      <c r="L256" t="s">
        <v>170</v>
      </c>
      <c r="M256" t="s">
        <v>247</v>
      </c>
      <c r="N256" t="s">
        <v>12</v>
      </c>
      <c r="O256" t="s">
        <v>15</v>
      </c>
      <c r="P256">
        <v>0</v>
      </c>
      <c r="Q256">
        <v>0</v>
      </c>
      <c r="R256">
        <v>0</v>
      </c>
      <c r="S256">
        <v>0.25</v>
      </c>
      <c r="T256">
        <v>0.25</v>
      </c>
      <c r="U256">
        <v>0.25</v>
      </c>
      <c r="V256">
        <v>0.25</v>
      </c>
      <c r="W256">
        <v>0.5</v>
      </c>
      <c r="X256">
        <v>0.5</v>
      </c>
      <c r="Y256">
        <v>0.5</v>
      </c>
      <c r="Z256">
        <v>0.5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247</v>
      </c>
      <c r="AH256" t="s">
        <v>12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343.82499999999999</v>
      </c>
      <c r="AN256">
        <f>$H$256*$T$256</f>
        <v>343.82499999999999</v>
      </c>
      <c r="AO256">
        <f>$H$256*$U$256</f>
        <v>343.82499999999999</v>
      </c>
      <c r="AP256">
        <f>$H$256*$V$256</f>
        <v>343.82499999999999</v>
      </c>
      <c r="AQ256">
        <f>$H$256*$W$256</f>
        <v>687.65</v>
      </c>
      <c r="AR256">
        <f>$H$256*$X$256</f>
        <v>687.65</v>
      </c>
      <c r="AS256">
        <f>$H$256*$Y$256</f>
        <v>687.65</v>
      </c>
      <c r="AT256">
        <f>$H$256*$Z$256</f>
        <v>687.65</v>
      </c>
      <c r="AU256">
        <f>$H$256*$AA$256</f>
        <v>1375.3</v>
      </c>
      <c r="AV256">
        <f>$H$256*$AB$256</f>
        <v>1375.3</v>
      </c>
      <c r="AW256">
        <f>$H$256*$AC$256</f>
        <v>1375.3</v>
      </c>
      <c r="AX256">
        <f>$H$256*$AD$256</f>
        <v>1375.3</v>
      </c>
      <c r="AY256">
        <f>$H$256*$AE$256</f>
        <v>1375.3</v>
      </c>
      <c r="AZ256">
        <f>$H$256*$AF$256</f>
        <v>1375.3</v>
      </c>
    </row>
    <row r="257" spans="1:52" x14ac:dyDescent="0.25">
      <c r="A257">
        <v>304</v>
      </c>
      <c r="B257" t="s">
        <v>247</v>
      </c>
      <c r="C257" t="s">
        <v>342</v>
      </c>
      <c r="D257">
        <v>30.83</v>
      </c>
      <c r="E257">
        <v>81.39</v>
      </c>
      <c r="F257" t="s">
        <v>262</v>
      </c>
      <c r="G257">
        <v>2.64</v>
      </c>
      <c r="H257">
        <v>97.67</v>
      </c>
      <c r="I257" t="s">
        <v>263</v>
      </c>
      <c r="J257" t="s">
        <v>343</v>
      </c>
      <c r="K257" t="s">
        <v>412</v>
      </c>
      <c r="L257" t="s">
        <v>170</v>
      </c>
      <c r="M257" t="s">
        <v>247</v>
      </c>
      <c r="N257" t="s">
        <v>12</v>
      </c>
      <c r="O257" t="s">
        <v>15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247</v>
      </c>
      <c r="AH257" t="s">
        <v>12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97.67</v>
      </c>
      <c r="AN257">
        <f>$H$257*$T$257</f>
        <v>97.67</v>
      </c>
      <c r="AO257">
        <f>$H$257*$U$257</f>
        <v>97.67</v>
      </c>
      <c r="AP257">
        <f>$H$257*$V$257</f>
        <v>97.67</v>
      </c>
      <c r="AQ257">
        <f>$H$257*$W$257</f>
        <v>97.67</v>
      </c>
      <c r="AR257">
        <f>$H$257*$X$257</f>
        <v>97.67</v>
      </c>
      <c r="AS257">
        <f>$H$257*$Y$257</f>
        <v>97.67</v>
      </c>
      <c r="AT257">
        <f>$H$257*$Z$257</f>
        <v>97.67</v>
      </c>
      <c r="AU257">
        <f>$H$257*$AA$257</f>
        <v>97.67</v>
      </c>
      <c r="AV257">
        <f>$H$257*$AB$257</f>
        <v>97.67</v>
      </c>
      <c r="AW257">
        <f>$H$257*$AC$257</f>
        <v>97.67</v>
      </c>
      <c r="AX257">
        <f>$H$257*$AD$257</f>
        <v>97.67</v>
      </c>
      <c r="AY257">
        <f>$H$257*$AE$257</f>
        <v>97.67</v>
      </c>
      <c r="AZ257">
        <f>$H$257*$AF$257</f>
        <v>97.67</v>
      </c>
    </row>
    <row r="258" spans="1:52" x14ac:dyDescent="0.25">
      <c r="A258">
        <v>305</v>
      </c>
      <c r="B258" t="s">
        <v>247</v>
      </c>
      <c r="C258" t="s">
        <v>344</v>
      </c>
      <c r="D258">
        <v>30.83</v>
      </c>
      <c r="E258">
        <v>190.84</v>
      </c>
      <c r="F258" t="s">
        <v>262</v>
      </c>
      <c r="G258">
        <v>6.19</v>
      </c>
      <c r="H258">
        <v>229</v>
      </c>
      <c r="I258" t="s">
        <v>264</v>
      </c>
      <c r="J258" t="s">
        <v>345</v>
      </c>
      <c r="K258" t="s">
        <v>413</v>
      </c>
      <c r="L258" t="s">
        <v>170</v>
      </c>
      <c r="M258" t="s">
        <v>247</v>
      </c>
      <c r="N258" t="s">
        <v>12</v>
      </c>
      <c r="O258" t="s">
        <v>15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247</v>
      </c>
      <c r="AH258" t="s">
        <v>12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229</v>
      </c>
      <c r="AN258">
        <f>$H$258*$T$258</f>
        <v>229</v>
      </c>
      <c r="AO258">
        <f>$H$258*$U$258</f>
        <v>229</v>
      </c>
      <c r="AP258">
        <f>$H$258*$V$258</f>
        <v>229</v>
      </c>
      <c r="AQ258">
        <f>$H$258*$W$258</f>
        <v>229</v>
      </c>
      <c r="AR258">
        <f>$H$258*$X$258</f>
        <v>229</v>
      </c>
      <c r="AS258">
        <f>$H$258*$Y$258</f>
        <v>229</v>
      </c>
      <c r="AT258">
        <f>$H$258*$Z$258</f>
        <v>229</v>
      </c>
      <c r="AU258">
        <f>$H$258*$AA$258</f>
        <v>229</v>
      </c>
      <c r="AV258">
        <f>$H$258*$AB$258</f>
        <v>229</v>
      </c>
      <c r="AW258">
        <f>$H$258*$AC$258</f>
        <v>229</v>
      </c>
      <c r="AX258">
        <f>$H$258*$AD$258</f>
        <v>229</v>
      </c>
      <c r="AY258">
        <f>$H$258*$AE$258</f>
        <v>229</v>
      </c>
      <c r="AZ258">
        <f>$H$258*$AF$258</f>
        <v>229</v>
      </c>
    </row>
    <row r="259" spans="1:52" x14ac:dyDescent="0.25">
      <c r="A259">
        <v>306</v>
      </c>
      <c r="B259" t="s">
        <v>247</v>
      </c>
      <c r="C259" t="s">
        <v>285</v>
      </c>
      <c r="D259">
        <v>58.65</v>
      </c>
      <c r="E259">
        <v>242.22</v>
      </c>
      <c r="F259" t="s">
        <v>275</v>
      </c>
      <c r="G259">
        <v>4.13</v>
      </c>
      <c r="H259">
        <v>290.66000000000003</v>
      </c>
      <c r="I259" t="s">
        <v>286</v>
      </c>
      <c r="J259" t="s">
        <v>287</v>
      </c>
      <c r="K259" t="s">
        <v>388</v>
      </c>
      <c r="L259" t="s">
        <v>170</v>
      </c>
      <c r="M259" t="s">
        <v>247</v>
      </c>
      <c r="N259" t="s">
        <v>12</v>
      </c>
      <c r="O259" t="s">
        <v>15</v>
      </c>
      <c r="P259">
        <v>0</v>
      </c>
      <c r="Q259">
        <v>0</v>
      </c>
      <c r="R259">
        <v>0</v>
      </c>
      <c r="S259">
        <v>0.25</v>
      </c>
      <c r="T259">
        <v>0.25</v>
      </c>
      <c r="U259">
        <v>0.25</v>
      </c>
      <c r="V259">
        <v>0.25</v>
      </c>
      <c r="W259">
        <v>0.5</v>
      </c>
      <c r="X259">
        <v>0.5</v>
      </c>
      <c r="Y259">
        <v>0.5</v>
      </c>
      <c r="Z259">
        <v>0.5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247</v>
      </c>
      <c r="AH259" t="s">
        <v>12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72.665000000000006</v>
      </c>
      <c r="AN259">
        <f>$H$259*$T$259</f>
        <v>72.665000000000006</v>
      </c>
      <c r="AO259">
        <f>$H$259*$U$259</f>
        <v>72.665000000000006</v>
      </c>
      <c r="AP259">
        <f>$H$259*$V$259</f>
        <v>72.665000000000006</v>
      </c>
      <c r="AQ259">
        <f>$H$259*$W$259</f>
        <v>145.33000000000001</v>
      </c>
      <c r="AR259">
        <f>$H$259*$X$259</f>
        <v>145.33000000000001</v>
      </c>
      <c r="AS259">
        <f>$H$259*$Y$259</f>
        <v>145.33000000000001</v>
      </c>
      <c r="AT259">
        <f>$H$259*$Z$259</f>
        <v>145.33000000000001</v>
      </c>
      <c r="AU259">
        <f>$H$259*$AA$259</f>
        <v>290.66000000000003</v>
      </c>
      <c r="AV259">
        <f>$H$259*$AB$259</f>
        <v>290.66000000000003</v>
      </c>
      <c r="AW259">
        <f>$H$259*$AC$259</f>
        <v>290.66000000000003</v>
      </c>
      <c r="AX259">
        <f>$H$259*$AD$259</f>
        <v>290.66000000000003</v>
      </c>
      <c r="AY259">
        <f>$H$259*$AE$259</f>
        <v>290.66000000000003</v>
      </c>
      <c r="AZ259">
        <f>$H$259*$AF$259</f>
        <v>290.66000000000003</v>
      </c>
    </row>
    <row r="260" spans="1:52" x14ac:dyDescent="0.25">
      <c r="A260">
        <v>307</v>
      </c>
      <c r="B260" t="s">
        <v>247</v>
      </c>
      <c r="C260" t="s">
        <v>340</v>
      </c>
      <c r="D260">
        <v>58.65</v>
      </c>
      <c r="E260">
        <v>62.17</v>
      </c>
      <c r="F260" t="s">
        <v>275</v>
      </c>
      <c r="G260">
        <v>1.06</v>
      </c>
      <c r="H260">
        <v>74.61</v>
      </c>
      <c r="I260" t="s">
        <v>263</v>
      </c>
      <c r="J260" t="s">
        <v>341</v>
      </c>
      <c r="K260" t="s">
        <v>411</v>
      </c>
      <c r="L260" t="s">
        <v>170</v>
      </c>
      <c r="M260" t="s">
        <v>247</v>
      </c>
      <c r="N260" t="s">
        <v>12</v>
      </c>
      <c r="O260" t="s">
        <v>15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1</v>
      </c>
      <c r="AE260">
        <v>1</v>
      </c>
      <c r="AF260">
        <v>1</v>
      </c>
      <c r="AG260" t="s">
        <v>247</v>
      </c>
      <c r="AH260" t="s">
        <v>12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0</v>
      </c>
      <c r="AV260">
        <f>$H$260*$AB$260</f>
        <v>0</v>
      </c>
      <c r="AW260">
        <f>$H$260*$AC$260</f>
        <v>0</v>
      </c>
      <c r="AX260">
        <f>$H$260*$AD$260</f>
        <v>74.61</v>
      </c>
      <c r="AY260">
        <f>$H$260*$AE$260</f>
        <v>74.61</v>
      </c>
      <c r="AZ260">
        <f>$H$260*$AF$260</f>
        <v>74.61</v>
      </c>
    </row>
    <row r="261" spans="1:52" x14ac:dyDescent="0.25">
      <c r="A261">
        <v>308</v>
      </c>
      <c r="B261" t="s">
        <v>247</v>
      </c>
      <c r="C261" t="s">
        <v>346</v>
      </c>
      <c r="D261">
        <v>58.65</v>
      </c>
      <c r="E261">
        <v>65.69</v>
      </c>
      <c r="F261" t="s">
        <v>275</v>
      </c>
      <c r="G261">
        <v>1.1200000000000001</v>
      </c>
      <c r="H261">
        <v>78.83</v>
      </c>
      <c r="I261" t="s">
        <v>263</v>
      </c>
      <c r="J261" t="s">
        <v>347</v>
      </c>
      <c r="K261" t="s">
        <v>414</v>
      </c>
      <c r="L261" t="s">
        <v>170</v>
      </c>
      <c r="M261" t="s">
        <v>247</v>
      </c>
      <c r="N261" t="s">
        <v>12</v>
      </c>
      <c r="O261" t="s">
        <v>15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247</v>
      </c>
      <c r="AH261" t="s">
        <v>12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78.83</v>
      </c>
      <c r="AN261">
        <f>$H$261*$T$261</f>
        <v>78.83</v>
      </c>
      <c r="AO261">
        <f>$H$261*$U$261</f>
        <v>78.83</v>
      </c>
      <c r="AP261">
        <f>$H$261*$V$261</f>
        <v>78.83</v>
      </c>
      <c r="AQ261">
        <f>$H$261*$W$261</f>
        <v>78.83</v>
      </c>
      <c r="AR261">
        <f>$H$261*$X$261</f>
        <v>78.83</v>
      </c>
      <c r="AS261">
        <f>$H$261*$Y$261</f>
        <v>78.83</v>
      </c>
      <c r="AT261">
        <f>$H$261*$Z$261</f>
        <v>78.83</v>
      </c>
      <c r="AU261">
        <f>$H$261*$AA$261</f>
        <v>78.83</v>
      </c>
      <c r="AV261">
        <f>$H$261*$AB$261</f>
        <v>78.83</v>
      </c>
      <c r="AW261">
        <f>$H$261*$AC$261</f>
        <v>78.83</v>
      </c>
      <c r="AX261">
        <f>$H$261*$AD$261</f>
        <v>78.83</v>
      </c>
      <c r="AY261">
        <f>$H$261*$AE$261</f>
        <v>78.83</v>
      </c>
      <c r="AZ261">
        <f>$H$261*$AF$261</f>
        <v>78.83</v>
      </c>
    </row>
    <row r="262" spans="1:52" x14ac:dyDescent="0.25">
      <c r="A262">
        <v>309</v>
      </c>
      <c r="B262" t="s">
        <v>247</v>
      </c>
      <c r="C262" t="s">
        <v>528</v>
      </c>
      <c r="D262">
        <v>11.73</v>
      </c>
      <c r="E262">
        <v>245.74</v>
      </c>
      <c r="F262" t="s">
        <v>275</v>
      </c>
      <c r="G262">
        <v>20.95</v>
      </c>
      <c r="H262">
        <v>294.88</v>
      </c>
      <c r="I262" t="s">
        <v>348</v>
      </c>
      <c r="J262" t="s">
        <v>529</v>
      </c>
      <c r="K262" t="s">
        <v>645</v>
      </c>
      <c r="L262" t="s">
        <v>170</v>
      </c>
      <c r="M262" t="s">
        <v>247</v>
      </c>
      <c r="N262" t="s">
        <v>12</v>
      </c>
      <c r="O262" t="s">
        <v>15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247</v>
      </c>
      <c r="AH262" t="s">
        <v>12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294.88</v>
      </c>
      <c r="AT262">
        <f>$H$262*$Z$262</f>
        <v>294.88</v>
      </c>
      <c r="AU262">
        <f>$H$262*$AA$262</f>
        <v>294.88</v>
      </c>
      <c r="AV262">
        <f>$H$262*$AB$262</f>
        <v>294.88</v>
      </c>
      <c r="AW262">
        <f>$H$262*$AC$262</f>
        <v>294.88</v>
      </c>
      <c r="AX262">
        <f>$H$262*$AD$262</f>
        <v>294.88</v>
      </c>
      <c r="AY262">
        <f>$H$262*$AE$262</f>
        <v>294.88</v>
      </c>
      <c r="AZ262">
        <f>$H$262*$AF$262</f>
        <v>294.88</v>
      </c>
    </row>
    <row r="263" spans="1:52" x14ac:dyDescent="0.25">
      <c r="A263">
        <v>310</v>
      </c>
      <c r="B263" t="s">
        <v>247</v>
      </c>
      <c r="C263" t="s">
        <v>349</v>
      </c>
      <c r="D263">
        <v>23.46</v>
      </c>
      <c r="E263">
        <v>99.94</v>
      </c>
      <c r="F263" t="s">
        <v>275</v>
      </c>
      <c r="G263">
        <v>4.26</v>
      </c>
      <c r="H263">
        <v>119.92</v>
      </c>
      <c r="I263" t="s">
        <v>350</v>
      </c>
      <c r="J263" t="s">
        <v>351</v>
      </c>
      <c r="K263" t="s">
        <v>415</v>
      </c>
      <c r="L263" t="s">
        <v>170</v>
      </c>
      <c r="M263" t="s">
        <v>247</v>
      </c>
      <c r="N263" t="s">
        <v>12</v>
      </c>
      <c r="O263" t="s">
        <v>15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247</v>
      </c>
      <c r="AH263" t="s">
        <v>12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119.92</v>
      </c>
      <c r="AN263">
        <f>$H$263*$T$263</f>
        <v>119.92</v>
      </c>
      <c r="AO263">
        <f>$H$263*$U$263</f>
        <v>119.92</v>
      </c>
      <c r="AP263">
        <f>$H$263*$V$263</f>
        <v>119.92</v>
      </c>
      <c r="AQ263">
        <f>$H$263*$W$263</f>
        <v>119.92</v>
      </c>
      <c r="AR263">
        <f>$H$263*$X$263</f>
        <v>119.92</v>
      </c>
      <c r="AS263">
        <f>$H$263*$Y$263</f>
        <v>119.92</v>
      </c>
      <c r="AT263">
        <f>$H$263*$Z$263</f>
        <v>119.92</v>
      </c>
      <c r="AU263">
        <f>$H$263*$AA$263</f>
        <v>119.92</v>
      </c>
      <c r="AV263">
        <f>$H$263*$AB$263</f>
        <v>119.92</v>
      </c>
      <c r="AW263">
        <f>$H$263*$AC$263</f>
        <v>119.92</v>
      </c>
      <c r="AX263">
        <f>$H$263*$AD$263</f>
        <v>119.92</v>
      </c>
      <c r="AY263">
        <f>$H$263*$AE$263</f>
        <v>119.92</v>
      </c>
      <c r="AZ263">
        <f>$H$263*$AF$263</f>
        <v>119.92</v>
      </c>
    </row>
    <row r="264" spans="1:52" x14ac:dyDescent="0.25">
      <c r="A264">
        <v>311</v>
      </c>
      <c r="B264" t="s">
        <v>247</v>
      </c>
      <c r="C264" t="s">
        <v>352</v>
      </c>
      <c r="D264">
        <v>23.46</v>
      </c>
      <c r="E264">
        <v>251.96</v>
      </c>
      <c r="F264" t="s">
        <v>275</v>
      </c>
      <c r="G264">
        <v>10.74</v>
      </c>
      <c r="H264">
        <v>302.36</v>
      </c>
      <c r="I264" t="s">
        <v>350</v>
      </c>
      <c r="J264" t="s">
        <v>293</v>
      </c>
      <c r="K264" t="s">
        <v>416</v>
      </c>
      <c r="L264" t="s">
        <v>170</v>
      </c>
      <c r="M264" t="s">
        <v>247</v>
      </c>
      <c r="N264" t="s">
        <v>12</v>
      </c>
      <c r="O264" t="s">
        <v>15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247</v>
      </c>
      <c r="AH264" t="s">
        <v>12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302.36</v>
      </c>
      <c r="AN264">
        <f>$H$264*$T$264</f>
        <v>302.36</v>
      </c>
      <c r="AO264">
        <f>$H$264*$U$264</f>
        <v>302.36</v>
      </c>
      <c r="AP264">
        <f>$H$264*$V$264</f>
        <v>302.36</v>
      </c>
      <c r="AQ264">
        <f>$H$264*$W$264</f>
        <v>302.36</v>
      </c>
      <c r="AR264">
        <f>$H$264*$X$264</f>
        <v>302.36</v>
      </c>
      <c r="AS264">
        <f>$H$264*$Y$264</f>
        <v>302.36</v>
      </c>
      <c r="AT264">
        <f>$H$264*$Z$264</f>
        <v>302.36</v>
      </c>
      <c r="AU264">
        <f>$H$264*$AA$264</f>
        <v>302.36</v>
      </c>
      <c r="AV264">
        <f>$H$264*$AB$264</f>
        <v>302.36</v>
      </c>
      <c r="AW264">
        <f>$H$264*$AC$264</f>
        <v>302.36</v>
      </c>
      <c r="AX264">
        <f>$H$264*$AD$264</f>
        <v>302.36</v>
      </c>
      <c r="AY264">
        <f>$H$264*$AE$264</f>
        <v>302.36</v>
      </c>
      <c r="AZ264">
        <f>$H$264*$AF$264</f>
        <v>302.36</v>
      </c>
    </row>
    <row r="265" spans="1:52" x14ac:dyDescent="0.25">
      <c r="A265">
        <v>312</v>
      </c>
      <c r="B265" t="s">
        <v>247</v>
      </c>
      <c r="C265" t="s">
        <v>530</v>
      </c>
      <c r="D265">
        <v>26.98</v>
      </c>
      <c r="E265">
        <v>28.6</v>
      </c>
      <c r="F265" t="s">
        <v>275</v>
      </c>
      <c r="G265">
        <v>1.06</v>
      </c>
      <c r="H265">
        <v>34.32</v>
      </c>
      <c r="I265" t="s">
        <v>353</v>
      </c>
      <c r="J265" t="s">
        <v>531</v>
      </c>
      <c r="K265" t="s">
        <v>646</v>
      </c>
      <c r="L265" t="s">
        <v>170</v>
      </c>
      <c r="M265" t="s">
        <v>247</v>
      </c>
      <c r="N265" t="s">
        <v>12</v>
      </c>
      <c r="O265" t="s">
        <v>15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247</v>
      </c>
      <c r="AH265" t="s">
        <v>12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34.32</v>
      </c>
      <c r="AN265">
        <f>$H$265*$T$265</f>
        <v>34.32</v>
      </c>
      <c r="AO265">
        <f>$H$265*$U$265</f>
        <v>34.32</v>
      </c>
      <c r="AP265">
        <f>$H$265*$V$265</f>
        <v>34.32</v>
      </c>
      <c r="AQ265">
        <f>$H$265*$W$265</f>
        <v>34.32</v>
      </c>
      <c r="AR265">
        <f>$H$265*$X$265</f>
        <v>34.32</v>
      </c>
      <c r="AS265">
        <f>$H$265*$Y$265</f>
        <v>34.32</v>
      </c>
      <c r="AT265">
        <f>$H$265*$Z$265</f>
        <v>34.32</v>
      </c>
      <c r="AU265">
        <f>$H$265*$AA$265</f>
        <v>34.32</v>
      </c>
      <c r="AV265">
        <f>$H$265*$AB$265</f>
        <v>34.32</v>
      </c>
      <c r="AW265">
        <f>$H$265*$AC$265</f>
        <v>34.32</v>
      </c>
      <c r="AX265">
        <f>$H$265*$AD$265</f>
        <v>34.32</v>
      </c>
      <c r="AY265">
        <f>$H$265*$AE$265</f>
        <v>34.32</v>
      </c>
      <c r="AZ265">
        <f>$H$265*$AF$265</f>
        <v>34.32</v>
      </c>
    </row>
    <row r="266" spans="1:52" x14ac:dyDescent="0.25">
      <c r="A266">
        <v>313</v>
      </c>
      <c r="B266" t="s">
        <v>247</v>
      </c>
      <c r="C266" t="s">
        <v>532</v>
      </c>
      <c r="D266">
        <v>26.98</v>
      </c>
      <c r="E266">
        <v>232.84</v>
      </c>
      <c r="F266" t="s">
        <v>275</v>
      </c>
      <c r="G266">
        <v>8.6300000000000008</v>
      </c>
      <c r="H266">
        <v>279.39999999999998</v>
      </c>
      <c r="I266" t="s">
        <v>353</v>
      </c>
      <c r="J266" t="s">
        <v>529</v>
      </c>
      <c r="K266" t="s">
        <v>647</v>
      </c>
      <c r="L266" t="s">
        <v>170</v>
      </c>
      <c r="M266" t="s">
        <v>247</v>
      </c>
      <c r="N266" t="s">
        <v>12</v>
      </c>
      <c r="O266" t="s">
        <v>15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247</v>
      </c>
      <c r="AH266" t="s">
        <v>12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279.39999999999998</v>
      </c>
      <c r="AN266">
        <f>$H$266*$T$266</f>
        <v>279.39999999999998</v>
      </c>
      <c r="AO266">
        <f>$H$266*$U$266</f>
        <v>279.39999999999998</v>
      </c>
      <c r="AP266">
        <f>$H$266*$V$266</f>
        <v>279.39999999999998</v>
      </c>
      <c r="AQ266">
        <f>$H$266*$W$266</f>
        <v>279.39999999999998</v>
      </c>
      <c r="AR266">
        <f>$H$266*$X$266</f>
        <v>279.39999999999998</v>
      </c>
      <c r="AS266">
        <f>$H$266*$Y$266</f>
        <v>279.39999999999998</v>
      </c>
      <c r="AT266">
        <f>$H$266*$Z$266</f>
        <v>279.39999999999998</v>
      </c>
      <c r="AU266">
        <f>$H$266*$AA$266</f>
        <v>279.39999999999998</v>
      </c>
      <c r="AV266">
        <f>$H$266*$AB$266</f>
        <v>279.39999999999998</v>
      </c>
      <c r="AW266">
        <f>$H$266*$AC$266</f>
        <v>279.39999999999998</v>
      </c>
      <c r="AX266">
        <f>$H$266*$AD$266</f>
        <v>279.39999999999998</v>
      </c>
      <c r="AY266">
        <f>$H$266*$AE$266</f>
        <v>279.39999999999998</v>
      </c>
      <c r="AZ266">
        <f>$H$266*$AF$266</f>
        <v>279.39999999999998</v>
      </c>
    </row>
    <row r="267" spans="1:52" x14ac:dyDescent="0.25">
      <c r="A267">
        <v>314</v>
      </c>
      <c r="B267" t="s">
        <v>478</v>
      </c>
      <c r="C267" t="s">
        <v>324</v>
      </c>
      <c r="D267">
        <v>2</v>
      </c>
      <c r="E267">
        <v>32.159999999999997</v>
      </c>
      <c r="F267" t="s">
        <v>265</v>
      </c>
      <c r="G267">
        <v>16.079999999999998</v>
      </c>
      <c r="H267">
        <v>38.6</v>
      </c>
      <c r="I267" t="s">
        <v>267</v>
      </c>
      <c r="J267" t="s">
        <v>325</v>
      </c>
      <c r="K267" t="s">
        <v>404</v>
      </c>
      <c r="L267" t="s">
        <v>170</v>
      </c>
      <c r="M267" t="s">
        <v>478</v>
      </c>
      <c r="N267" t="s">
        <v>12</v>
      </c>
      <c r="O267" t="s">
        <v>713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478</v>
      </c>
      <c r="AH267" t="s">
        <v>12</v>
      </c>
      <c r="AI267" t="s">
        <v>713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38.6</v>
      </c>
      <c r="AS267">
        <f>$H$267*$Y$267</f>
        <v>38.6</v>
      </c>
      <c r="AT267">
        <f>$H$267*$Z$267</f>
        <v>38.6</v>
      </c>
      <c r="AU267">
        <f>$H$267*$AA$267</f>
        <v>38.6</v>
      </c>
      <c r="AV267">
        <f>$H$267*$AB$267</f>
        <v>38.6</v>
      </c>
      <c r="AW267">
        <f>$H$267*$AC$267</f>
        <v>38.6</v>
      </c>
      <c r="AX267">
        <f>$H$267*$AD$267</f>
        <v>38.6</v>
      </c>
      <c r="AY267">
        <f>$H$267*$AE$267</f>
        <v>38.6</v>
      </c>
      <c r="AZ267">
        <f>$H$267*$AF$267</f>
        <v>38.6</v>
      </c>
    </row>
    <row r="268" spans="1:52" x14ac:dyDescent="0.25">
      <c r="A268">
        <v>315</v>
      </c>
      <c r="B268" t="s">
        <v>478</v>
      </c>
      <c r="C268" t="s">
        <v>279</v>
      </c>
      <c r="D268">
        <v>42</v>
      </c>
      <c r="E268">
        <v>324.66000000000003</v>
      </c>
      <c r="F268" t="s">
        <v>262</v>
      </c>
      <c r="G268">
        <v>7.73</v>
      </c>
      <c r="H268">
        <v>389.6</v>
      </c>
      <c r="I268" t="s">
        <v>263</v>
      </c>
      <c r="J268" t="s">
        <v>280</v>
      </c>
      <c r="K268" t="s">
        <v>385</v>
      </c>
      <c r="L268" t="s">
        <v>170</v>
      </c>
      <c r="M268" t="s">
        <v>478</v>
      </c>
      <c r="N268" t="s">
        <v>12</v>
      </c>
      <c r="O268" t="s">
        <v>713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478</v>
      </c>
      <c r="AH268" t="s">
        <v>12</v>
      </c>
      <c r="AI268" t="s">
        <v>713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0</v>
      </c>
      <c r="AU268">
        <f>$H$268*$AA$268</f>
        <v>389.6</v>
      </c>
      <c r="AV268">
        <f>$H$268*$AB$268</f>
        <v>389.6</v>
      </c>
      <c r="AW268">
        <f>$H$268*$AC$268</f>
        <v>389.6</v>
      </c>
      <c r="AX268">
        <f>$H$268*$AD$268</f>
        <v>389.6</v>
      </c>
      <c r="AY268">
        <f>$H$268*$AE$268</f>
        <v>389.6</v>
      </c>
      <c r="AZ268">
        <f>$H$268*$AF$268</f>
        <v>389.6</v>
      </c>
    </row>
    <row r="269" spans="1:52" x14ac:dyDescent="0.25">
      <c r="A269">
        <v>316</v>
      </c>
      <c r="B269" t="s">
        <v>478</v>
      </c>
      <c r="C269" t="s">
        <v>281</v>
      </c>
      <c r="D269">
        <v>21</v>
      </c>
      <c r="E269">
        <v>269.22000000000003</v>
      </c>
      <c r="F269" t="s">
        <v>262</v>
      </c>
      <c r="G269">
        <v>12.82</v>
      </c>
      <c r="H269">
        <v>323.06</v>
      </c>
      <c r="I269" t="s">
        <v>264</v>
      </c>
      <c r="J269" t="s">
        <v>282</v>
      </c>
      <c r="K269" t="s">
        <v>386</v>
      </c>
      <c r="L269" t="s">
        <v>170</v>
      </c>
      <c r="M269" t="s">
        <v>478</v>
      </c>
      <c r="N269" t="s">
        <v>12</v>
      </c>
      <c r="O269" t="s">
        <v>713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478</v>
      </c>
      <c r="AH269" t="s">
        <v>12</v>
      </c>
      <c r="AI269" t="s">
        <v>713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323.06</v>
      </c>
      <c r="AV269">
        <f>$H$269*$AB$269</f>
        <v>323.06</v>
      </c>
      <c r="AW269">
        <f>$H$269*$AC$269</f>
        <v>323.06</v>
      </c>
      <c r="AX269">
        <f>$H$269*$AD$269</f>
        <v>323.06</v>
      </c>
      <c r="AY269">
        <f>$H$269*$AE$269</f>
        <v>323.06</v>
      </c>
      <c r="AZ269">
        <f>$H$269*$AF$269</f>
        <v>323.06</v>
      </c>
    </row>
    <row r="270" spans="1:52" x14ac:dyDescent="0.25">
      <c r="A270">
        <v>317</v>
      </c>
      <c r="B270" t="s">
        <v>478</v>
      </c>
      <c r="C270" t="s">
        <v>573</v>
      </c>
      <c r="D270">
        <v>21</v>
      </c>
      <c r="E270">
        <v>253.47</v>
      </c>
      <c r="F270" t="s">
        <v>262</v>
      </c>
      <c r="G270">
        <v>12.07</v>
      </c>
      <c r="H270">
        <v>304.17</v>
      </c>
      <c r="I270" t="s">
        <v>264</v>
      </c>
      <c r="J270" t="s">
        <v>574</v>
      </c>
      <c r="K270" t="s">
        <v>668</v>
      </c>
      <c r="L270" t="s">
        <v>170</v>
      </c>
      <c r="M270" t="s">
        <v>478</v>
      </c>
      <c r="N270" t="s">
        <v>12</v>
      </c>
      <c r="O270" t="s">
        <v>713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478</v>
      </c>
      <c r="AH270" t="s">
        <v>12</v>
      </c>
      <c r="AI270" t="s">
        <v>713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0</v>
      </c>
      <c r="AT270">
        <f>$H$270*$Z$270</f>
        <v>304.17</v>
      </c>
      <c r="AU270">
        <f>$H$270*$AA$270</f>
        <v>304.17</v>
      </c>
      <c r="AV270">
        <f>$H$270*$AB$270</f>
        <v>304.17</v>
      </c>
      <c r="AW270">
        <f>$H$270*$AC$270</f>
        <v>304.17</v>
      </c>
      <c r="AX270">
        <f>$H$270*$AD$270</f>
        <v>304.17</v>
      </c>
      <c r="AY270">
        <f>$H$270*$AE$270</f>
        <v>304.17</v>
      </c>
      <c r="AZ270">
        <f>$H$270*$AF$270</f>
        <v>304.17</v>
      </c>
    </row>
    <row r="271" spans="1:52" x14ac:dyDescent="0.25">
      <c r="A271">
        <v>318</v>
      </c>
      <c r="B271" t="s">
        <v>478</v>
      </c>
      <c r="C271" t="s">
        <v>318</v>
      </c>
      <c r="D271">
        <v>21</v>
      </c>
      <c r="E271">
        <v>115.92</v>
      </c>
      <c r="F271" t="s">
        <v>262</v>
      </c>
      <c r="G271">
        <v>5.52</v>
      </c>
      <c r="H271">
        <v>139.1</v>
      </c>
      <c r="I271" t="s">
        <v>264</v>
      </c>
      <c r="J271" t="s">
        <v>319</v>
      </c>
      <c r="K271" t="s">
        <v>402</v>
      </c>
      <c r="L271" t="s">
        <v>170</v>
      </c>
      <c r="M271" t="s">
        <v>478</v>
      </c>
      <c r="N271" t="s">
        <v>12</v>
      </c>
      <c r="O271" t="s">
        <v>713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1</v>
      </c>
      <c r="AF271">
        <v>1</v>
      </c>
      <c r="AG271" t="s">
        <v>478</v>
      </c>
      <c r="AH271" t="s">
        <v>12</v>
      </c>
      <c r="AI271" t="s">
        <v>713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0</v>
      </c>
      <c r="AT271">
        <f>$H$271*$Z$271</f>
        <v>0</v>
      </c>
      <c r="AU271">
        <f>$H$271*$AA$271</f>
        <v>0</v>
      </c>
      <c r="AV271">
        <f>$H$271*$AB$271</f>
        <v>0</v>
      </c>
      <c r="AW271">
        <f>$H$271*$AC$271</f>
        <v>139.1</v>
      </c>
      <c r="AX271">
        <f>$H$271*$AD$271</f>
        <v>139.1</v>
      </c>
      <c r="AY271">
        <f>$H$271*$AE$271</f>
        <v>139.1</v>
      </c>
      <c r="AZ271">
        <f>$H$271*$AF$271</f>
        <v>139.1</v>
      </c>
    </row>
    <row r="272" spans="1:52" x14ac:dyDescent="0.25">
      <c r="A272">
        <v>319</v>
      </c>
      <c r="B272" t="s">
        <v>478</v>
      </c>
      <c r="C272" t="s">
        <v>525</v>
      </c>
      <c r="D272">
        <v>1</v>
      </c>
      <c r="E272">
        <v>109.28</v>
      </c>
      <c r="F272" t="s">
        <v>265</v>
      </c>
      <c r="G272">
        <v>109.28</v>
      </c>
      <c r="H272">
        <v>131.13999999999999</v>
      </c>
      <c r="I272" t="s">
        <v>270</v>
      </c>
      <c r="J272" t="s">
        <v>293</v>
      </c>
      <c r="K272" t="s">
        <v>643</v>
      </c>
      <c r="L272" t="s">
        <v>170</v>
      </c>
      <c r="M272" t="s">
        <v>478</v>
      </c>
      <c r="N272" t="s">
        <v>12</v>
      </c>
      <c r="O272" t="s">
        <v>713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478</v>
      </c>
      <c r="AH272" t="s">
        <v>12</v>
      </c>
      <c r="AI272" t="s">
        <v>713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131.13999999999999</v>
      </c>
      <c r="AY272">
        <f>$H$272*$AE$272</f>
        <v>131.13999999999999</v>
      </c>
      <c r="AZ272">
        <f>$H$272*$AF$272</f>
        <v>131.13999999999999</v>
      </c>
    </row>
    <row r="273" spans="1:52" x14ac:dyDescent="0.25">
      <c r="A273">
        <v>320</v>
      </c>
      <c r="B273" t="s">
        <v>478</v>
      </c>
      <c r="C273" t="s">
        <v>288</v>
      </c>
      <c r="D273">
        <v>1</v>
      </c>
      <c r="E273">
        <v>63.54</v>
      </c>
      <c r="F273" t="s">
        <v>265</v>
      </c>
      <c r="G273">
        <v>63.54</v>
      </c>
      <c r="H273">
        <v>76.239999999999995</v>
      </c>
      <c r="I273" t="s">
        <v>289</v>
      </c>
      <c r="J273" t="s">
        <v>290</v>
      </c>
      <c r="K273" t="s">
        <v>389</v>
      </c>
      <c r="L273" t="s">
        <v>170</v>
      </c>
      <c r="M273" t="s">
        <v>478</v>
      </c>
      <c r="N273" t="s">
        <v>12</v>
      </c>
      <c r="O273" t="s">
        <v>713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478</v>
      </c>
      <c r="AH273" t="s">
        <v>12</v>
      </c>
      <c r="AI273" t="s">
        <v>713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76.239999999999995</v>
      </c>
      <c r="AV273">
        <f>$H$273*$AB$273</f>
        <v>76.239999999999995</v>
      </c>
      <c r="AW273">
        <f>$H$273*$AC$273</f>
        <v>76.239999999999995</v>
      </c>
      <c r="AX273">
        <f>$H$273*$AD$273</f>
        <v>76.239999999999995</v>
      </c>
      <c r="AY273">
        <f>$H$273*$AE$273</f>
        <v>76.239999999999995</v>
      </c>
      <c r="AZ273">
        <f>$H$273*$AF$273</f>
        <v>76.239999999999995</v>
      </c>
    </row>
    <row r="274" spans="1:52" x14ac:dyDescent="0.25">
      <c r="A274">
        <v>321</v>
      </c>
      <c r="B274" t="s">
        <v>478</v>
      </c>
      <c r="C274" t="s">
        <v>296</v>
      </c>
      <c r="D274">
        <v>2</v>
      </c>
      <c r="E274">
        <v>126.18</v>
      </c>
      <c r="F274" t="s">
        <v>265</v>
      </c>
      <c r="G274">
        <v>63.09</v>
      </c>
      <c r="H274">
        <v>151.41999999999999</v>
      </c>
      <c r="I274" t="s">
        <v>263</v>
      </c>
      <c r="J274" t="s">
        <v>292</v>
      </c>
      <c r="K274" t="s">
        <v>392</v>
      </c>
      <c r="L274" t="s">
        <v>170</v>
      </c>
      <c r="M274" t="s">
        <v>478</v>
      </c>
      <c r="N274" t="s">
        <v>12</v>
      </c>
      <c r="O274" t="s">
        <v>713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478</v>
      </c>
      <c r="AH274" t="s">
        <v>12</v>
      </c>
      <c r="AI274" t="s">
        <v>713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151.41999999999999</v>
      </c>
      <c r="AN274">
        <f>$H$274*$T$274</f>
        <v>151.41999999999999</v>
      </c>
      <c r="AO274">
        <f>$H$274*$U$274</f>
        <v>151.41999999999999</v>
      </c>
      <c r="AP274">
        <f>$H$274*$V$274</f>
        <v>151.41999999999999</v>
      </c>
      <c r="AQ274">
        <f>$H$274*$W$274</f>
        <v>151.41999999999999</v>
      </c>
      <c r="AR274">
        <f>$H$274*$X$274</f>
        <v>151.41999999999999</v>
      </c>
      <c r="AS274">
        <f>$H$274*$Y$274</f>
        <v>151.41999999999999</v>
      </c>
      <c r="AT274">
        <f>$H$274*$Z$274</f>
        <v>151.41999999999999</v>
      </c>
      <c r="AU274">
        <f>$H$274*$AA$274</f>
        <v>151.41999999999999</v>
      </c>
      <c r="AV274">
        <f>$H$274*$AB$274</f>
        <v>151.41999999999999</v>
      </c>
      <c r="AW274">
        <f>$H$274*$AC$274</f>
        <v>151.41999999999999</v>
      </c>
      <c r="AX274">
        <f>$H$274*$AD$274</f>
        <v>151.41999999999999</v>
      </c>
      <c r="AY274">
        <f>$H$274*$AE$274</f>
        <v>151.41999999999999</v>
      </c>
      <c r="AZ274">
        <f>$H$274*$AF$274</f>
        <v>151.41999999999999</v>
      </c>
    </row>
    <row r="275" spans="1:52" x14ac:dyDescent="0.25">
      <c r="A275">
        <v>322</v>
      </c>
      <c r="B275" t="s">
        <v>478</v>
      </c>
      <c r="C275" t="s">
        <v>294</v>
      </c>
      <c r="D275">
        <v>2</v>
      </c>
      <c r="E275">
        <v>106.22</v>
      </c>
      <c r="F275" t="s">
        <v>265</v>
      </c>
      <c r="G275">
        <v>53.11</v>
      </c>
      <c r="H275">
        <v>127.46</v>
      </c>
      <c r="I275" t="s">
        <v>263</v>
      </c>
      <c r="J275" t="s">
        <v>295</v>
      </c>
      <c r="K275" t="s">
        <v>391</v>
      </c>
      <c r="L275" t="s">
        <v>170</v>
      </c>
      <c r="M275" t="s">
        <v>478</v>
      </c>
      <c r="N275" t="s">
        <v>12</v>
      </c>
      <c r="O275" t="s">
        <v>713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478</v>
      </c>
      <c r="AH275" t="s">
        <v>12</v>
      </c>
      <c r="AI275" t="s">
        <v>713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127.46</v>
      </c>
      <c r="AN275">
        <f>$H$275*$T$275</f>
        <v>127.46</v>
      </c>
      <c r="AO275">
        <f>$H$275*$U$275</f>
        <v>127.46</v>
      </c>
      <c r="AP275">
        <f>$H$275*$V$275</f>
        <v>127.46</v>
      </c>
      <c r="AQ275">
        <f>$H$275*$W$275</f>
        <v>127.46</v>
      </c>
      <c r="AR275">
        <f>$H$275*$X$275</f>
        <v>127.46</v>
      </c>
      <c r="AS275">
        <f>$H$275*$Y$275</f>
        <v>127.46</v>
      </c>
      <c r="AT275">
        <f>$H$275*$Z$275</f>
        <v>127.46</v>
      </c>
      <c r="AU275">
        <f>$H$275*$AA$275</f>
        <v>127.46</v>
      </c>
      <c r="AV275">
        <f>$H$275*$AB$275</f>
        <v>127.46</v>
      </c>
      <c r="AW275">
        <f>$H$275*$AC$275</f>
        <v>127.46</v>
      </c>
      <c r="AX275">
        <f>$H$275*$AD$275</f>
        <v>127.46</v>
      </c>
      <c r="AY275">
        <f>$H$275*$AE$275</f>
        <v>127.46</v>
      </c>
      <c r="AZ275">
        <f>$H$275*$AF$275</f>
        <v>127.46</v>
      </c>
    </row>
    <row r="276" spans="1:52" x14ac:dyDescent="0.25">
      <c r="A276">
        <v>323</v>
      </c>
      <c r="B276" t="s">
        <v>478</v>
      </c>
      <c r="C276" t="s">
        <v>291</v>
      </c>
      <c r="D276">
        <v>1</v>
      </c>
      <c r="E276">
        <v>410.31</v>
      </c>
      <c r="F276" t="s">
        <v>265</v>
      </c>
      <c r="G276">
        <v>410.31</v>
      </c>
      <c r="H276">
        <v>492.37</v>
      </c>
      <c r="I276" t="s">
        <v>292</v>
      </c>
      <c r="J276" t="s">
        <v>293</v>
      </c>
      <c r="K276" t="s">
        <v>390</v>
      </c>
      <c r="L276" t="s">
        <v>170</v>
      </c>
      <c r="M276" t="s">
        <v>478</v>
      </c>
      <c r="N276" t="s">
        <v>12</v>
      </c>
      <c r="O276" t="s">
        <v>713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478</v>
      </c>
      <c r="AH276" t="s">
        <v>12</v>
      </c>
      <c r="AI276" t="s">
        <v>713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492.37</v>
      </c>
      <c r="AO276">
        <f>$H$276*$U$276</f>
        <v>492.37</v>
      </c>
      <c r="AP276">
        <f>$H$276*$V$276</f>
        <v>492.37</v>
      </c>
      <c r="AQ276">
        <f>$H$276*$W$276</f>
        <v>492.37</v>
      </c>
      <c r="AR276">
        <f>$H$276*$X$276</f>
        <v>492.37</v>
      </c>
      <c r="AS276">
        <f>$H$276*$Y$276</f>
        <v>492.37</v>
      </c>
      <c r="AT276">
        <f>$H$276*$Z$276</f>
        <v>492.37</v>
      </c>
      <c r="AU276">
        <f>$H$276*$AA$276</f>
        <v>492.37</v>
      </c>
      <c r="AV276">
        <f>$H$276*$AB$276</f>
        <v>492.37</v>
      </c>
      <c r="AW276">
        <f>$H$276*$AC$276</f>
        <v>492.37</v>
      </c>
      <c r="AX276">
        <f>$H$276*$AD$276</f>
        <v>492.37</v>
      </c>
      <c r="AY276">
        <f>$H$276*$AE$276</f>
        <v>492.37</v>
      </c>
      <c r="AZ276">
        <f>$H$276*$AF$276</f>
        <v>492.37</v>
      </c>
    </row>
    <row r="277" spans="1:52" x14ac:dyDescent="0.25">
      <c r="A277">
        <v>324</v>
      </c>
      <c r="B277" t="s">
        <v>478</v>
      </c>
      <c r="C277" t="s">
        <v>335</v>
      </c>
      <c r="D277">
        <v>12.33</v>
      </c>
      <c r="E277">
        <v>47.22</v>
      </c>
      <c r="F277" t="s">
        <v>262</v>
      </c>
      <c r="G277">
        <v>3.83</v>
      </c>
      <c r="H277">
        <v>56.66</v>
      </c>
      <c r="I277" t="s">
        <v>336</v>
      </c>
      <c r="J277" t="s">
        <v>337</v>
      </c>
      <c r="K277" t="s">
        <v>409</v>
      </c>
      <c r="L277" t="s">
        <v>170</v>
      </c>
      <c r="M277" t="s">
        <v>478</v>
      </c>
      <c r="N277" t="s">
        <v>12</v>
      </c>
      <c r="O277" t="s">
        <v>713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478</v>
      </c>
      <c r="AH277" t="s">
        <v>12</v>
      </c>
      <c r="AI277" t="s">
        <v>713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56.66</v>
      </c>
      <c r="AV277">
        <f>$H$277*$AB$277</f>
        <v>56.66</v>
      </c>
      <c r="AW277">
        <f>$H$277*$AC$277</f>
        <v>56.66</v>
      </c>
      <c r="AX277">
        <f>$H$277*$AD$277</f>
        <v>56.66</v>
      </c>
      <c r="AY277">
        <f>$H$277*$AE$277</f>
        <v>56.66</v>
      </c>
      <c r="AZ277">
        <f>$H$277*$AF$277</f>
        <v>56.66</v>
      </c>
    </row>
    <row r="278" spans="1:52" x14ac:dyDescent="0.25">
      <c r="A278">
        <v>325</v>
      </c>
      <c r="B278" t="s">
        <v>478</v>
      </c>
      <c r="C278" t="s">
        <v>338</v>
      </c>
      <c r="D278">
        <v>111</v>
      </c>
      <c r="E278">
        <v>367.41</v>
      </c>
      <c r="F278" t="s">
        <v>275</v>
      </c>
      <c r="G278">
        <v>3.31</v>
      </c>
      <c r="H278">
        <v>440.89</v>
      </c>
      <c r="I278" t="s">
        <v>336</v>
      </c>
      <c r="J278" t="s">
        <v>339</v>
      </c>
      <c r="K278" t="s">
        <v>410</v>
      </c>
      <c r="L278" t="s">
        <v>170</v>
      </c>
      <c r="M278" t="s">
        <v>478</v>
      </c>
      <c r="N278" t="s">
        <v>12</v>
      </c>
      <c r="O278" t="s">
        <v>713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478</v>
      </c>
      <c r="AH278" t="s">
        <v>12</v>
      </c>
      <c r="AI278" t="s">
        <v>713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440.89</v>
      </c>
      <c r="AN278">
        <f>$H$278*$T$278</f>
        <v>440.89</v>
      </c>
      <c r="AO278">
        <f>$H$278*$U$278</f>
        <v>440.89</v>
      </c>
      <c r="AP278">
        <f>$H$278*$V$278</f>
        <v>440.89</v>
      </c>
      <c r="AQ278">
        <f>$H$278*$W$278</f>
        <v>440.89</v>
      </c>
      <c r="AR278">
        <f>$H$278*$X$278</f>
        <v>440.89</v>
      </c>
      <c r="AS278">
        <f>$H$278*$Y$278</f>
        <v>440.89</v>
      </c>
      <c r="AT278">
        <f>$H$278*$Z$278</f>
        <v>440.89</v>
      </c>
      <c r="AU278">
        <f>$H$278*$AA$278</f>
        <v>440.89</v>
      </c>
      <c r="AV278">
        <f>$H$278*$AB$278</f>
        <v>440.89</v>
      </c>
      <c r="AW278">
        <f>$H$278*$AC$278</f>
        <v>440.89</v>
      </c>
      <c r="AX278">
        <f>$H$278*$AD$278</f>
        <v>440.89</v>
      </c>
      <c r="AY278">
        <f>$H$278*$AE$278</f>
        <v>440.89</v>
      </c>
      <c r="AZ278">
        <f>$H$278*$AF$278</f>
        <v>440.89</v>
      </c>
    </row>
    <row r="279" spans="1:52" x14ac:dyDescent="0.25">
      <c r="A279">
        <v>326</v>
      </c>
      <c r="B279" t="s">
        <v>478</v>
      </c>
      <c r="C279" t="s">
        <v>340</v>
      </c>
      <c r="D279">
        <v>111</v>
      </c>
      <c r="E279">
        <v>117.66</v>
      </c>
      <c r="F279" t="s">
        <v>275</v>
      </c>
      <c r="G279">
        <v>1.06</v>
      </c>
      <c r="H279">
        <v>141.19999999999999</v>
      </c>
      <c r="I279" t="s">
        <v>263</v>
      </c>
      <c r="J279" t="s">
        <v>341</v>
      </c>
      <c r="K279" t="s">
        <v>411</v>
      </c>
      <c r="L279" t="s">
        <v>170</v>
      </c>
      <c r="M279" t="s">
        <v>478</v>
      </c>
      <c r="N279" t="s">
        <v>12</v>
      </c>
      <c r="O279" t="s">
        <v>713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1</v>
      </c>
      <c r="AE279">
        <v>1</v>
      </c>
      <c r="AF279">
        <v>1</v>
      </c>
      <c r="AG279" t="s">
        <v>478</v>
      </c>
      <c r="AH279" t="s">
        <v>12</v>
      </c>
      <c r="AI279" t="s">
        <v>713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0</v>
      </c>
      <c r="AV279">
        <f>$H$279*$AB$279</f>
        <v>0</v>
      </c>
      <c r="AW279">
        <f>$H$279*$AC$279</f>
        <v>0</v>
      </c>
      <c r="AX279">
        <f>$H$279*$AD$279</f>
        <v>141.19999999999999</v>
      </c>
      <c r="AY279">
        <f>$H$279*$AE$279</f>
        <v>141.19999999999999</v>
      </c>
      <c r="AZ279">
        <f>$H$279*$AF$279</f>
        <v>141.19999999999999</v>
      </c>
    </row>
    <row r="280" spans="1:52" x14ac:dyDescent="0.25">
      <c r="A280">
        <v>327</v>
      </c>
      <c r="B280" t="s">
        <v>478</v>
      </c>
      <c r="C280" t="s">
        <v>283</v>
      </c>
      <c r="D280">
        <v>138.75</v>
      </c>
      <c r="E280">
        <v>224.78</v>
      </c>
      <c r="F280" t="s">
        <v>275</v>
      </c>
      <c r="G280">
        <v>1.62</v>
      </c>
      <c r="H280">
        <v>269.74</v>
      </c>
      <c r="I280" t="s">
        <v>263</v>
      </c>
      <c r="J280" t="s">
        <v>284</v>
      </c>
      <c r="K280" t="s">
        <v>387</v>
      </c>
      <c r="L280" t="s">
        <v>170</v>
      </c>
      <c r="M280" t="s">
        <v>478</v>
      </c>
      <c r="N280" t="s">
        <v>12</v>
      </c>
      <c r="O280" t="s">
        <v>713</v>
      </c>
      <c r="P280">
        <v>0</v>
      </c>
      <c r="Q280">
        <v>0</v>
      </c>
      <c r="R280">
        <v>0</v>
      </c>
      <c r="S280">
        <v>0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478</v>
      </c>
      <c r="AH280" t="s">
        <v>12</v>
      </c>
      <c r="AI280" t="s">
        <v>713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269.74</v>
      </c>
      <c r="AO280">
        <f>$H$280*$U$280</f>
        <v>269.74</v>
      </c>
      <c r="AP280">
        <f>$H$280*$V$280</f>
        <v>269.74</v>
      </c>
      <c r="AQ280">
        <f>$H$280*$W$280</f>
        <v>269.74</v>
      </c>
      <c r="AR280">
        <f>$H$280*$X$280</f>
        <v>269.74</v>
      </c>
      <c r="AS280">
        <f>$H$280*$Y$280</f>
        <v>269.74</v>
      </c>
      <c r="AT280">
        <f>$H$280*$Z$280</f>
        <v>269.74</v>
      </c>
      <c r="AU280">
        <f>$H$280*$AA$280</f>
        <v>269.74</v>
      </c>
      <c r="AV280">
        <f>$H$280*$AB$280</f>
        <v>269.74</v>
      </c>
      <c r="AW280">
        <f>$H$280*$AC$280</f>
        <v>269.74</v>
      </c>
      <c r="AX280">
        <f>$H$280*$AD$280</f>
        <v>269.74</v>
      </c>
      <c r="AY280">
        <f>$H$280*$AE$280</f>
        <v>269.74</v>
      </c>
      <c r="AZ280">
        <f>$H$280*$AF$280</f>
        <v>269.74</v>
      </c>
    </row>
    <row r="281" spans="1:52" x14ac:dyDescent="0.25">
      <c r="A281">
        <v>328</v>
      </c>
      <c r="B281" t="s">
        <v>478</v>
      </c>
      <c r="C281" t="s">
        <v>526</v>
      </c>
      <c r="D281">
        <v>27.75</v>
      </c>
      <c r="E281">
        <v>117.38</v>
      </c>
      <c r="F281" t="s">
        <v>275</v>
      </c>
      <c r="G281">
        <v>4.2300000000000004</v>
      </c>
      <c r="H281">
        <v>140.86000000000001</v>
      </c>
      <c r="I281" t="s">
        <v>527</v>
      </c>
      <c r="J281" t="s">
        <v>309</v>
      </c>
      <c r="K281" t="s">
        <v>644</v>
      </c>
      <c r="L281" t="s">
        <v>170</v>
      </c>
      <c r="M281" t="s">
        <v>478</v>
      </c>
      <c r="N281" t="s">
        <v>12</v>
      </c>
      <c r="O281" t="s">
        <v>713</v>
      </c>
      <c r="P281">
        <v>0</v>
      </c>
      <c r="Q281">
        <v>0</v>
      </c>
      <c r="R281">
        <v>0</v>
      </c>
      <c r="S281">
        <v>0.25</v>
      </c>
      <c r="T281">
        <v>0.25</v>
      </c>
      <c r="U281">
        <v>0.25</v>
      </c>
      <c r="V281">
        <v>0.25</v>
      </c>
      <c r="W281">
        <v>0.25</v>
      </c>
      <c r="X281">
        <v>0.5</v>
      </c>
      <c r="Y281">
        <v>0.5</v>
      </c>
      <c r="Z281">
        <v>0.5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478</v>
      </c>
      <c r="AH281" t="s">
        <v>12</v>
      </c>
      <c r="AI281" t="s">
        <v>713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35.215000000000003</v>
      </c>
      <c r="AN281">
        <f>$H$281*$T$281</f>
        <v>35.215000000000003</v>
      </c>
      <c r="AO281">
        <f>$H$281*$U$281</f>
        <v>35.215000000000003</v>
      </c>
      <c r="AP281">
        <f>$H$281*$V$281</f>
        <v>35.215000000000003</v>
      </c>
      <c r="AQ281">
        <f>$H$281*$W$281</f>
        <v>35.215000000000003</v>
      </c>
      <c r="AR281">
        <f>$H$281*$X$281</f>
        <v>70.430000000000007</v>
      </c>
      <c r="AS281">
        <f>$H$281*$Y$281</f>
        <v>70.430000000000007</v>
      </c>
      <c r="AT281">
        <f>$H$281*$Z$281</f>
        <v>70.430000000000007</v>
      </c>
      <c r="AU281">
        <f>$H$281*$AA$281</f>
        <v>140.86000000000001</v>
      </c>
      <c r="AV281">
        <f>$H$281*$AB$281</f>
        <v>140.86000000000001</v>
      </c>
      <c r="AW281">
        <f>$H$281*$AC$281</f>
        <v>140.86000000000001</v>
      </c>
      <c r="AX281">
        <f>$H$281*$AD$281</f>
        <v>140.86000000000001</v>
      </c>
      <c r="AY281">
        <f>$H$281*$AE$281</f>
        <v>140.86000000000001</v>
      </c>
      <c r="AZ281">
        <f>$H$281*$AF$281</f>
        <v>140.86000000000001</v>
      </c>
    </row>
    <row r="282" spans="1:52" x14ac:dyDescent="0.25">
      <c r="A282">
        <v>329</v>
      </c>
      <c r="B282" t="s">
        <v>478</v>
      </c>
      <c r="C282" t="s">
        <v>285</v>
      </c>
      <c r="D282">
        <v>277.5</v>
      </c>
      <c r="E282">
        <v>1146.08</v>
      </c>
      <c r="F282" t="s">
        <v>275</v>
      </c>
      <c r="G282">
        <v>4.13</v>
      </c>
      <c r="H282">
        <v>1375.3</v>
      </c>
      <c r="I282" t="s">
        <v>286</v>
      </c>
      <c r="J282" t="s">
        <v>287</v>
      </c>
      <c r="K282" t="s">
        <v>388</v>
      </c>
      <c r="L282" t="s">
        <v>170</v>
      </c>
      <c r="M282" t="s">
        <v>478</v>
      </c>
      <c r="N282" t="s">
        <v>12</v>
      </c>
      <c r="O282" t="s">
        <v>713</v>
      </c>
      <c r="P282">
        <v>0</v>
      </c>
      <c r="Q282">
        <v>0</v>
      </c>
      <c r="R282">
        <v>0</v>
      </c>
      <c r="S282">
        <v>0.25</v>
      </c>
      <c r="T282">
        <v>0.25</v>
      </c>
      <c r="U282">
        <v>0.25</v>
      </c>
      <c r="V282">
        <v>0.25</v>
      </c>
      <c r="W282">
        <v>0.5</v>
      </c>
      <c r="X282">
        <v>0.5</v>
      </c>
      <c r="Y282">
        <v>0.5</v>
      </c>
      <c r="Z282">
        <v>0.5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478</v>
      </c>
      <c r="AH282" t="s">
        <v>12</v>
      </c>
      <c r="AI282" t="s">
        <v>713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343.82499999999999</v>
      </c>
      <c r="AN282">
        <f>$H$282*$T$282</f>
        <v>343.82499999999999</v>
      </c>
      <c r="AO282">
        <f>$H$282*$U$282</f>
        <v>343.82499999999999</v>
      </c>
      <c r="AP282">
        <f>$H$282*$V$282</f>
        <v>343.82499999999999</v>
      </c>
      <c r="AQ282">
        <f>$H$282*$W$282</f>
        <v>687.65</v>
      </c>
      <c r="AR282">
        <f>$H$282*$X$282</f>
        <v>687.65</v>
      </c>
      <c r="AS282">
        <f>$H$282*$Y$282</f>
        <v>687.65</v>
      </c>
      <c r="AT282">
        <f>$H$282*$Z$282</f>
        <v>687.65</v>
      </c>
      <c r="AU282">
        <f>$H$282*$AA$282</f>
        <v>1375.3</v>
      </c>
      <c r="AV282">
        <f>$H$282*$AB$282</f>
        <v>1375.3</v>
      </c>
      <c r="AW282">
        <f>$H$282*$AC$282</f>
        <v>1375.3</v>
      </c>
      <c r="AX282">
        <f>$H$282*$AD$282</f>
        <v>1375.3</v>
      </c>
      <c r="AY282">
        <f>$H$282*$AE$282</f>
        <v>1375.3</v>
      </c>
      <c r="AZ282">
        <f>$H$282*$AF$282</f>
        <v>1375.3</v>
      </c>
    </row>
    <row r="283" spans="1:52" x14ac:dyDescent="0.25">
      <c r="A283">
        <v>330</v>
      </c>
      <c r="B283" t="s">
        <v>478</v>
      </c>
      <c r="C283" t="s">
        <v>342</v>
      </c>
      <c r="D283">
        <v>30.83</v>
      </c>
      <c r="E283">
        <v>81.39</v>
      </c>
      <c r="F283" t="s">
        <v>262</v>
      </c>
      <c r="G283">
        <v>2.64</v>
      </c>
      <c r="H283">
        <v>97.67</v>
      </c>
      <c r="I283" t="s">
        <v>263</v>
      </c>
      <c r="J283" t="s">
        <v>343</v>
      </c>
      <c r="K283" t="s">
        <v>412</v>
      </c>
      <c r="L283" t="s">
        <v>170</v>
      </c>
      <c r="M283" t="s">
        <v>478</v>
      </c>
      <c r="N283" t="s">
        <v>12</v>
      </c>
      <c r="O283" t="s">
        <v>713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478</v>
      </c>
      <c r="AH283" t="s">
        <v>12</v>
      </c>
      <c r="AI283" t="s">
        <v>713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97.67</v>
      </c>
      <c r="AN283">
        <f>$H$283*$T$283</f>
        <v>97.67</v>
      </c>
      <c r="AO283">
        <f>$H$283*$U$283</f>
        <v>97.67</v>
      </c>
      <c r="AP283">
        <f>$H$283*$V$283</f>
        <v>97.67</v>
      </c>
      <c r="AQ283">
        <f>$H$283*$W$283</f>
        <v>97.67</v>
      </c>
      <c r="AR283">
        <f>$H$283*$X$283</f>
        <v>97.67</v>
      </c>
      <c r="AS283">
        <f>$H$283*$Y$283</f>
        <v>97.67</v>
      </c>
      <c r="AT283">
        <f>$H$283*$Z$283</f>
        <v>97.67</v>
      </c>
      <c r="AU283">
        <f>$H$283*$AA$283</f>
        <v>97.67</v>
      </c>
      <c r="AV283">
        <f>$H$283*$AB$283</f>
        <v>97.67</v>
      </c>
      <c r="AW283">
        <f>$H$283*$AC$283</f>
        <v>97.67</v>
      </c>
      <c r="AX283">
        <f>$H$283*$AD$283</f>
        <v>97.67</v>
      </c>
      <c r="AY283">
        <f>$H$283*$AE$283</f>
        <v>97.67</v>
      </c>
      <c r="AZ283">
        <f>$H$283*$AF$283</f>
        <v>97.67</v>
      </c>
    </row>
    <row r="284" spans="1:52" x14ac:dyDescent="0.25">
      <c r="A284">
        <v>331</v>
      </c>
      <c r="B284" t="s">
        <v>478</v>
      </c>
      <c r="C284" t="s">
        <v>344</v>
      </c>
      <c r="D284">
        <v>30.83</v>
      </c>
      <c r="E284">
        <v>190.84</v>
      </c>
      <c r="F284" t="s">
        <v>262</v>
      </c>
      <c r="G284">
        <v>6.19</v>
      </c>
      <c r="H284">
        <v>229</v>
      </c>
      <c r="I284" t="s">
        <v>264</v>
      </c>
      <c r="J284" t="s">
        <v>345</v>
      </c>
      <c r="K284" t="s">
        <v>413</v>
      </c>
      <c r="L284" t="s">
        <v>170</v>
      </c>
      <c r="M284" t="s">
        <v>478</v>
      </c>
      <c r="N284" t="s">
        <v>12</v>
      </c>
      <c r="O284" t="s">
        <v>713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478</v>
      </c>
      <c r="AH284" t="s">
        <v>12</v>
      </c>
      <c r="AI284" t="s">
        <v>713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229</v>
      </c>
      <c r="AN284">
        <f>$H$284*$T$284</f>
        <v>229</v>
      </c>
      <c r="AO284">
        <f>$H$284*$U$284</f>
        <v>229</v>
      </c>
      <c r="AP284">
        <f>$H$284*$V$284</f>
        <v>229</v>
      </c>
      <c r="AQ284">
        <f>$H$284*$W$284</f>
        <v>229</v>
      </c>
      <c r="AR284">
        <f>$H$284*$X$284</f>
        <v>229</v>
      </c>
      <c r="AS284">
        <f>$H$284*$Y$284</f>
        <v>229</v>
      </c>
      <c r="AT284">
        <f>$H$284*$Z$284</f>
        <v>229</v>
      </c>
      <c r="AU284">
        <f>$H$284*$AA$284</f>
        <v>229</v>
      </c>
      <c r="AV284">
        <f>$H$284*$AB$284</f>
        <v>229</v>
      </c>
      <c r="AW284">
        <f>$H$284*$AC$284</f>
        <v>229</v>
      </c>
      <c r="AX284">
        <f>$H$284*$AD$284</f>
        <v>229</v>
      </c>
      <c r="AY284">
        <f>$H$284*$AE$284</f>
        <v>229</v>
      </c>
      <c r="AZ284">
        <f>$H$284*$AF$284</f>
        <v>229</v>
      </c>
    </row>
    <row r="285" spans="1:52" x14ac:dyDescent="0.25">
      <c r="A285">
        <v>332</v>
      </c>
      <c r="B285" t="s">
        <v>478</v>
      </c>
      <c r="C285" t="s">
        <v>285</v>
      </c>
      <c r="D285">
        <v>58.65</v>
      </c>
      <c r="E285">
        <v>242.22</v>
      </c>
      <c r="F285" t="s">
        <v>275</v>
      </c>
      <c r="G285">
        <v>4.13</v>
      </c>
      <c r="H285">
        <v>290.66000000000003</v>
      </c>
      <c r="I285" t="s">
        <v>286</v>
      </c>
      <c r="J285" t="s">
        <v>287</v>
      </c>
      <c r="K285" t="s">
        <v>388</v>
      </c>
      <c r="L285" t="s">
        <v>170</v>
      </c>
      <c r="M285" t="s">
        <v>478</v>
      </c>
      <c r="N285" t="s">
        <v>12</v>
      </c>
      <c r="O285" t="s">
        <v>713</v>
      </c>
      <c r="P285">
        <v>0</v>
      </c>
      <c r="Q285">
        <v>0</v>
      </c>
      <c r="R285">
        <v>0</v>
      </c>
      <c r="S285">
        <v>0.25</v>
      </c>
      <c r="T285">
        <v>0.25</v>
      </c>
      <c r="U285">
        <v>0.25</v>
      </c>
      <c r="V285">
        <v>0.25</v>
      </c>
      <c r="W285">
        <v>0.5</v>
      </c>
      <c r="X285">
        <v>0.5</v>
      </c>
      <c r="Y285">
        <v>0.5</v>
      </c>
      <c r="Z285">
        <v>0.5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478</v>
      </c>
      <c r="AH285" t="s">
        <v>12</v>
      </c>
      <c r="AI285" t="s">
        <v>713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72.665000000000006</v>
      </c>
      <c r="AN285">
        <f>$H$285*$T$285</f>
        <v>72.665000000000006</v>
      </c>
      <c r="AO285">
        <f>$H$285*$U$285</f>
        <v>72.665000000000006</v>
      </c>
      <c r="AP285">
        <f>$H$285*$V$285</f>
        <v>72.665000000000006</v>
      </c>
      <c r="AQ285">
        <f>$H$285*$W$285</f>
        <v>145.33000000000001</v>
      </c>
      <c r="AR285">
        <f>$H$285*$X$285</f>
        <v>145.33000000000001</v>
      </c>
      <c r="AS285">
        <f>$H$285*$Y$285</f>
        <v>145.33000000000001</v>
      </c>
      <c r="AT285">
        <f>$H$285*$Z$285</f>
        <v>145.33000000000001</v>
      </c>
      <c r="AU285">
        <f>$H$285*$AA$285</f>
        <v>290.66000000000003</v>
      </c>
      <c r="AV285">
        <f>$H$285*$AB$285</f>
        <v>290.66000000000003</v>
      </c>
      <c r="AW285">
        <f>$H$285*$AC$285</f>
        <v>290.66000000000003</v>
      </c>
      <c r="AX285">
        <f>$H$285*$AD$285</f>
        <v>290.66000000000003</v>
      </c>
      <c r="AY285">
        <f>$H$285*$AE$285</f>
        <v>290.66000000000003</v>
      </c>
      <c r="AZ285">
        <f>$H$285*$AF$285</f>
        <v>290.66000000000003</v>
      </c>
    </row>
    <row r="286" spans="1:52" x14ac:dyDescent="0.25">
      <c r="A286">
        <v>333</v>
      </c>
      <c r="B286" t="s">
        <v>478</v>
      </c>
      <c r="C286" t="s">
        <v>340</v>
      </c>
      <c r="D286">
        <v>58.65</v>
      </c>
      <c r="E286">
        <v>62.17</v>
      </c>
      <c r="F286" t="s">
        <v>275</v>
      </c>
      <c r="G286">
        <v>1.06</v>
      </c>
      <c r="H286">
        <v>74.61</v>
      </c>
      <c r="I286" t="s">
        <v>263</v>
      </c>
      <c r="J286" t="s">
        <v>341</v>
      </c>
      <c r="K286" t="s">
        <v>411</v>
      </c>
      <c r="L286" t="s">
        <v>170</v>
      </c>
      <c r="M286" t="s">
        <v>478</v>
      </c>
      <c r="N286" t="s">
        <v>12</v>
      </c>
      <c r="O286" t="s">
        <v>713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1</v>
      </c>
      <c r="AF286">
        <v>1</v>
      </c>
      <c r="AG286" t="s">
        <v>478</v>
      </c>
      <c r="AH286" t="s">
        <v>12</v>
      </c>
      <c r="AI286" t="s">
        <v>713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0</v>
      </c>
      <c r="AV286">
        <f>$H$286*$AB$286</f>
        <v>0</v>
      </c>
      <c r="AW286">
        <f>$H$286*$AC$286</f>
        <v>0</v>
      </c>
      <c r="AX286">
        <f>$H$286*$AD$286</f>
        <v>74.61</v>
      </c>
      <c r="AY286">
        <f>$H$286*$AE$286</f>
        <v>74.61</v>
      </c>
      <c r="AZ286">
        <f>$H$286*$AF$286</f>
        <v>74.61</v>
      </c>
    </row>
    <row r="287" spans="1:52" x14ac:dyDescent="0.25">
      <c r="A287">
        <v>334</v>
      </c>
      <c r="B287" t="s">
        <v>478</v>
      </c>
      <c r="C287" t="s">
        <v>346</v>
      </c>
      <c r="D287">
        <v>58.65</v>
      </c>
      <c r="E287">
        <v>65.69</v>
      </c>
      <c r="F287" t="s">
        <v>275</v>
      </c>
      <c r="G287">
        <v>1.1200000000000001</v>
      </c>
      <c r="H287">
        <v>78.83</v>
      </c>
      <c r="I287" t="s">
        <v>263</v>
      </c>
      <c r="J287" t="s">
        <v>347</v>
      </c>
      <c r="K287" t="s">
        <v>414</v>
      </c>
      <c r="L287" t="s">
        <v>170</v>
      </c>
      <c r="M287" t="s">
        <v>478</v>
      </c>
      <c r="N287" t="s">
        <v>12</v>
      </c>
      <c r="O287" t="s">
        <v>713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478</v>
      </c>
      <c r="AH287" t="s">
        <v>12</v>
      </c>
      <c r="AI287" t="s">
        <v>713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78.83</v>
      </c>
      <c r="AN287">
        <f>$H$287*$T$287</f>
        <v>78.83</v>
      </c>
      <c r="AO287">
        <f>$H$287*$U$287</f>
        <v>78.83</v>
      </c>
      <c r="AP287">
        <f>$H$287*$V$287</f>
        <v>78.83</v>
      </c>
      <c r="AQ287">
        <f>$H$287*$W$287</f>
        <v>78.83</v>
      </c>
      <c r="AR287">
        <f>$H$287*$X$287</f>
        <v>78.83</v>
      </c>
      <c r="AS287">
        <f>$H$287*$Y$287</f>
        <v>78.83</v>
      </c>
      <c r="AT287">
        <f>$H$287*$Z$287</f>
        <v>78.83</v>
      </c>
      <c r="AU287">
        <f>$H$287*$AA$287</f>
        <v>78.83</v>
      </c>
      <c r="AV287">
        <f>$H$287*$AB$287</f>
        <v>78.83</v>
      </c>
      <c r="AW287">
        <f>$H$287*$AC$287</f>
        <v>78.83</v>
      </c>
      <c r="AX287">
        <f>$H$287*$AD$287</f>
        <v>78.83</v>
      </c>
      <c r="AY287">
        <f>$H$287*$AE$287</f>
        <v>78.83</v>
      </c>
      <c r="AZ287">
        <f>$H$287*$AF$287</f>
        <v>78.83</v>
      </c>
    </row>
    <row r="288" spans="1:52" x14ac:dyDescent="0.25">
      <c r="A288">
        <v>335</v>
      </c>
      <c r="B288" t="s">
        <v>478</v>
      </c>
      <c r="C288" t="s">
        <v>528</v>
      </c>
      <c r="D288">
        <v>11.73</v>
      </c>
      <c r="E288">
        <v>245.74</v>
      </c>
      <c r="F288" t="s">
        <v>275</v>
      </c>
      <c r="G288">
        <v>20.95</v>
      </c>
      <c r="H288">
        <v>294.88</v>
      </c>
      <c r="I288" t="s">
        <v>348</v>
      </c>
      <c r="J288" t="s">
        <v>529</v>
      </c>
      <c r="K288" t="s">
        <v>645</v>
      </c>
      <c r="L288" t="s">
        <v>170</v>
      </c>
      <c r="M288" t="s">
        <v>478</v>
      </c>
      <c r="N288" t="s">
        <v>12</v>
      </c>
      <c r="O288" t="s">
        <v>713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478</v>
      </c>
      <c r="AH288" t="s">
        <v>12</v>
      </c>
      <c r="AI288" t="s">
        <v>713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294.88</v>
      </c>
      <c r="AT288">
        <f>$H$288*$Z$288</f>
        <v>294.88</v>
      </c>
      <c r="AU288">
        <f>$H$288*$AA$288</f>
        <v>294.88</v>
      </c>
      <c r="AV288">
        <f>$H$288*$AB$288</f>
        <v>294.88</v>
      </c>
      <c r="AW288">
        <f>$H$288*$AC$288</f>
        <v>294.88</v>
      </c>
      <c r="AX288">
        <f>$H$288*$AD$288</f>
        <v>294.88</v>
      </c>
      <c r="AY288">
        <f>$H$288*$AE$288</f>
        <v>294.88</v>
      </c>
      <c r="AZ288">
        <f>$H$288*$AF$288</f>
        <v>294.88</v>
      </c>
    </row>
    <row r="289" spans="1:52" x14ac:dyDescent="0.25">
      <c r="A289">
        <v>336</v>
      </c>
      <c r="B289" t="s">
        <v>478</v>
      </c>
      <c r="C289" t="s">
        <v>349</v>
      </c>
      <c r="D289">
        <v>23.46</v>
      </c>
      <c r="E289">
        <v>99.94</v>
      </c>
      <c r="F289" t="s">
        <v>275</v>
      </c>
      <c r="G289">
        <v>4.26</v>
      </c>
      <c r="H289">
        <v>119.92</v>
      </c>
      <c r="I289" t="s">
        <v>350</v>
      </c>
      <c r="J289" t="s">
        <v>351</v>
      </c>
      <c r="K289" t="s">
        <v>415</v>
      </c>
      <c r="L289" t="s">
        <v>170</v>
      </c>
      <c r="M289" t="s">
        <v>478</v>
      </c>
      <c r="N289" t="s">
        <v>12</v>
      </c>
      <c r="O289" t="s">
        <v>713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478</v>
      </c>
      <c r="AH289" t="s">
        <v>12</v>
      </c>
      <c r="AI289" t="s">
        <v>713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119.92</v>
      </c>
      <c r="AN289">
        <f>$H$289*$T$289</f>
        <v>119.92</v>
      </c>
      <c r="AO289">
        <f>$H$289*$U$289</f>
        <v>119.92</v>
      </c>
      <c r="AP289">
        <f>$H$289*$V$289</f>
        <v>119.92</v>
      </c>
      <c r="AQ289">
        <f>$H$289*$W$289</f>
        <v>119.92</v>
      </c>
      <c r="AR289">
        <f>$H$289*$X$289</f>
        <v>119.92</v>
      </c>
      <c r="AS289">
        <f>$H$289*$Y$289</f>
        <v>119.92</v>
      </c>
      <c r="AT289">
        <f>$H$289*$Z$289</f>
        <v>119.92</v>
      </c>
      <c r="AU289">
        <f>$H$289*$AA$289</f>
        <v>119.92</v>
      </c>
      <c r="AV289">
        <f>$H$289*$AB$289</f>
        <v>119.92</v>
      </c>
      <c r="AW289">
        <f>$H$289*$AC$289</f>
        <v>119.92</v>
      </c>
      <c r="AX289">
        <f>$H$289*$AD$289</f>
        <v>119.92</v>
      </c>
      <c r="AY289">
        <f>$H$289*$AE$289</f>
        <v>119.92</v>
      </c>
      <c r="AZ289">
        <f>$H$289*$AF$289</f>
        <v>119.92</v>
      </c>
    </row>
    <row r="290" spans="1:52" x14ac:dyDescent="0.25">
      <c r="A290">
        <v>337</v>
      </c>
      <c r="B290" t="s">
        <v>478</v>
      </c>
      <c r="C290" t="s">
        <v>352</v>
      </c>
      <c r="D290">
        <v>23.46</v>
      </c>
      <c r="E290">
        <v>251.96</v>
      </c>
      <c r="F290" t="s">
        <v>275</v>
      </c>
      <c r="G290">
        <v>10.74</v>
      </c>
      <c r="H290">
        <v>302.36</v>
      </c>
      <c r="I290" t="s">
        <v>350</v>
      </c>
      <c r="J290" t="s">
        <v>293</v>
      </c>
      <c r="K290" t="s">
        <v>416</v>
      </c>
      <c r="L290" t="s">
        <v>170</v>
      </c>
      <c r="M290" t="s">
        <v>478</v>
      </c>
      <c r="N290" t="s">
        <v>12</v>
      </c>
      <c r="O290" t="s">
        <v>713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478</v>
      </c>
      <c r="AH290" t="s">
        <v>12</v>
      </c>
      <c r="AI290" t="s">
        <v>713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302.36</v>
      </c>
      <c r="AN290">
        <f>$H$290*$T$290</f>
        <v>302.36</v>
      </c>
      <c r="AO290">
        <f>$H$290*$U$290</f>
        <v>302.36</v>
      </c>
      <c r="AP290">
        <f>$H$290*$V$290</f>
        <v>302.36</v>
      </c>
      <c r="AQ290">
        <f>$H$290*$W$290</f>
        <v>302.36</v>
      </c>
      <c r="AR290">
        <f>$H$290*$X$290</f>
        <v>302.36</v>
      </c>
      <c r="AS290">
        <f>$H$290*$Y$290</f>
        <v>302.36</v>
      </c>
      <c r="AT290">
        <f>$H$290*$Z$290</f>
        <v>302.36</v>
      </c>
      <c r="AU290">
        <f>$H$290*$AA$290</f>
        <v>302.36</v>
      </c>
      <c r="AV290">
        <f>$H$290*$AB$290</f>
        <v>302.36</v>
      </c>
      <c r="AW290">
        <f>$H$290*$AC$290</f>
        <v>302.36</v>
      </c>
      <c r="AX290">
        <f>$H$290*$AD$290</f>
        <v>302.36</v>
      </c>
      <c r="AY290">
        <f>$H$290*$AE$290</f>
        <v>302.36</v>
      </c>
      <c r="AZ290">
        <f>$H$290*$AF$290</f>
        <v>302.36</v>
      </c>
    </row>
    <row r="291" spans="1:52" x14ac:dyDescent="0.25">
      <c r="A291">
        <v>338</v>
      </c>
      <c r="B291" t="s">
        <v>478</v>
      </c>
      <c r="C291" t="s">
        <v>530</v>
      </c>
      <c r="D291">
        <v>26.98</v>
      </c>
      <c r="E291">
        <v>28.6</v>
      </c>
      <c r="F291" t="s">
        <v>275</v>
      </c>
      <c r="G291">
        <v>1.06</v>
      </c>
      <c r="H291">
        <v>34.32</v>
      </c>
      <c r="I291" t="s">
        <v>353</v>
      </c>
      <c r="J291" t="s">
        <v>531</v>
      </c>
      <c r="K291" t="s">
        <v>646</v>
      </c>
      <c r="L291" t="s">
        <v>170</v>
      </c>
      <c r="M291" t="s">
        <v>478</v>
      </c>
      <c r="N291" t="s">
        <v>12</v>
      </c>
      <c r="O291" t="s">
        <v>713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478</v>
      </c>
      <c r="AH291" t="s">
        <v>12</v>
      </c>
      <c r="AI291" t="s">
        <v>713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34.32</v>
      </c>
      <c r="AN291">
        <f>$H$291*$T$291</f>
        <v>34.32</v>
      </c>
      <c r="AO291">
        <f>$H$291*$U$291</f>
        <v>34.32</v>
      </c>
      <c r="AP291">
        <f>$H$291*$V$291</f>
        <v>34.32</v>
      </c>
      <c r="AQ291">
        <f>$H$291*$W$291</f>
        <v>34.32</v>
      </c>
      <c r="AR291">
        <f>$H$291*$X$291</f>
        <v>34.32</v>
      </c>
      <c r="AS291">
        <f>$H$291*$Y$291</f>
        <v>34.32</v>
      </c>
      <c r="AT291">
        <f>$H$291*$Z$291</f>
        <v>34.32</v>
      </c>
      <c r="AU291">
        <f>$H$291*$AA$291</f>
        <v>34.32</v>
      </c>
      <c r="AV291">
        <f>$H$291*$AB$291</f>
        <v>34.32</v>
      </c>
      <c r="AW291">
        <f>$H$291*$AC$291</f>
        <v>34.32</v>
      </c>
      <c r="AX291">
        <f>$H$291*$AD$291</f>
        <v>34.32</v>
      </c>
      <c r="AY291">
        <f>$H$291*$AE$291</f>
        <v>34.32</v>
      </c>
      <c r="AZ291">
        <f>$H$291*$AF$291</f>
        <v>34.32</v>
      </c>
    </row>
    <row r="292" spans="1:52" x14ac:dyDescent="0.25">
      <c r="A292">
        <v>339</v>
      </c>
      <c r="B292" t="s">
        <v>478</v>
      </c>
      <c r="C292" t="s">
        <v>532</v>
      </c>
      <c r="D292">
        <v>26.98</v>
      </c>
      <c r="E292">
        <v>232.84</v>
      </c>
      <c r="F292" t="s">
        <v>275</v>
      </c>
      <c r="G292">
        <v>8.6300000000000008</v>
      </c>
      <c r="H292">
        <v>279.39999999999998</v>
      </c>
      <c r="I292" t="s">
        <v>353</v>
      </c>
      <c r="J292" t="s">
        <v>529</v>
      </c>
      <c r="K292" t="s">
        <v>647</v>
      </c>
      <c r="L292" t="s">
        <v>170</v>
      </c>
      <c r="M292" t="s">
        <v>478</v>
      </c>
      <c r="N292" t="s">
        <v>12</v>
      </c>
      <c r="O292" t="s">
        <v>713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478</v>
      </c>
      <c r="AH292" t="s">
        <v>12</v>
      </c>
      <c r="AI292" t="s">
        <v>713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279.39999999999998</v>
      </c>
      <c r="AN292">
        <f>$H$292*$T$292</f>
        <v>279.39999999999998</v>
      </c>
      <c r="AO292">
        <f>$H$292*$U$292</f>
        <v>279.39999999999998</v>
      </c>
      <c r="AP292">
        <f>$H$292*$V$292</f>
        <v>279.39999999999998</v>
      </c>
      <c r="AQ292">
        <f>$H$292*$W$292</f>
        <v>279.39999999999998</v>
      </c>
      <c r="AR292">
        <f>$H$292*$X$292</f>
        <v>279.39999999999998</v>
      </c>
      <c r="AS292">
        <f>$H$292*$Y$292</f>
        <v>279.39999999999998</v>
      </c>
      <c r="AT292">
        <f>$H$292*$Z$292</f>
        <v>279.39999999999998</v>
      </c>
      <c r="AU292">
        <f>$H$292*$AA$292</f>
        <v>279.39999999999998</v>
      </c>
      <c r="AV292">
        <f>$H$292*$AB$292</f>
        <v>279.39999999999998</v>
      </c>
      <c r="AW292">
        <f>$H$292*$AC$292</f>
        <v>279.39999999999998</v>
      </c>
      <c r="AX292">
        <f>$H$292*$AD$292</f>
        <v>279.39999999999998</v>
      </c>
      <c r="AY292">
        <f>$H$292*$AE$292</f>
        <v>279.39999999999998</v>
      </c>
      <c r="AZ292">
        <f>$H$292*$AF$292</f>
        <v>279.39999999999998</v>
      </c>
    </row>
    <row r="293" spans="1:52" x14ac:dyDescent="0.25">
      <c r="A293">
        <v>340</v>
      </c>
      <c r="B293" t="s">
        <v>469</v>
      </c>
      <c r="C293" t="s">
        <v>324</v>
      </c>
      <c r="D293">
        <v>11</v>
      </c>
      <c r="E293">
        <v>176.88</v>
      </c>
      <c r="F293" t="s">
        <v>265</v>
      </c>
      <c r="G293">
        <v>16.079999999999998</v>
      </c>
      <c r="H293">
        <v>212.26</v>
      </c>
      <c r="I293" t="s">
        <v>267</v>
      </c>
      <c r="J293" t="s">
        <v>325</v>
      </c>
      <c r="K293" t="s">
        <v>404</v>
      </c>
      <c r="L293" t="s">
        <v>170</v>
      </c>
      <c r="M293" t="s">
        <v>469</v>
      </c>
      <c r="N293" t="s">
        <v>12</v>
      </c>
      <c r="O293" t="s">
        <v>14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469</v>
      </c>
      <c r="AH293" t="s">
        <v>12</v>
      </c>
      <c r="AI293" t="s">
        <v>14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212.26</v>
      </c>
      <c r="AS293">
        <f>$H$293*$Y$293</f>
        <v>212.26</v>
      </c>
      <c r="AT293">
        <f>$H$293*$Z$293</f>
        <v>212.26</v>
      </c>
      <c r="AU293">
        <f>$H$293*$AA$293</f>
        <v>212.26</v>
      </c>
      <c r="AV293">
        <f>$H$293*$AB$293</f>
        <v>212.26</v>
      </c>
      <c r="AW293">
        <f>$H$293*$AC$293</f>
        <v>212.26</v>
      </c>
      <c r="AX293">
        <f>$H$293*$AD$293</f>
        <v>212.26</v>
      </c>
      <c r="AY293">
        <f>$H$293*$AE$293</f>
        <v>212.26</v>
      </c>
      <c r="AZ293">
        <f>$H$293*$AF$293</f>
        <v>212.26</v>
      </c>
    </row>
    <row r="294" spans="1:52" x14ac:dyDescent="0.25">
      <c r="A294">
        <v>341</v>
      </c>
      <c r="B294" t="s">
        <v>469</v>
      </c>
      <c r="C294" t="s">
        <v>525</v>
      </c>
      <c r="D294">
        <v>1</v>
      </c>
      <c r="E294">
        <v>109.28</v>
      </c>
      <c r="F294" t="s">
        <v>265</v>
      </c>
      <c r="G294">
        <v>109.28</v>
      </c>
      <c r="H294">
        <v>131.13999999999999</v>
      </c>
      <c r="I294" t="s">
        <v>270</v>
      </c>
      <c r="J294" t="s">
        <v>293</v>
      </c>
      <c r="K294" t="s">
        <v>643</v>
      </c>
      <c r="L294" t="s">
        <v>170</v>
      </c>
      <c r="M294" t="s">
        <v>469</v>
      </c>
      <c r="N294" t="s">
        <v>12</v>
      </c>
      <c r="O294" t="s">
        <v>14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469</v>
      </c>
      <c r="AH294" t="s">
        <v>12</v>
      </c>
      <c r="AI294" t="s">
        <v>14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131.13999999999999</v>
      </c>
      <c r="AY294">
        <f>$H$294*$AE$294</f>
        <v>131.13999999999999</v>
      </c>
      <c r="AZ294">
        <f>$H$294*$AF$294</f>
        <v>131.13999999999999</v>
      </c>
    </row>
    <row r="295" spans="1:52" x14ac:dyDescent="0.25">
      <c r="A295">
        <v>342</v>
      </c>
      <c r="B295" t="s">
        <v>469</v>
      </c>
      <c r="C295" t="s">
        <v>335</v>
      </c>
      <c r="D295">
        <v>16.47</v>
      </c>
      <c r="E295">
        <v>63.08</v>
      </c>
      <c r="F295" t="s">
        <v>262</v>
      </c>
      <c r="G295">
        <v>3.83</v>
      </c>
      <c r="H295">
        <v>75.7</v>
      </c>
      <c r="I295" t="s">
        <v>336</v>
      </c>
      <c r="J295" t="s">
        <v>337</v>
      </c>
      <c r="K295" t="s">
        <v>409</v>
      </c>
      <c r="L295" t="s">
        <v>170</v>
      </c>
      <c r="M295" t="s">
        <v>469</v>
      </c>
      <c r="N295" t="s">
        <v>12</v>
      </c>
      <c r="O295" t="s">
        <v>14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469</v>
      </c>
      <c r="AH295" t="s">
        <v>12</v>
      </c>
      <c r="AI295" t="s">
        <v>14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75.7</v>
      </c>
      <c r="AV295">
        <f>$H$295*$AB$295</f>
        <v>75.7</v>
      </c>
      <c r="AW295">
        <f>$H$295*$AC$295</f>
        <v>75.7</v>
      </c>
      <c r="AX295">
        <f>$H$295*$AD$295</f>
        <v>75.7</v>
      </c>
      <c r="AY295">
        <f>$H$295*$AE$295</f>
        <v>75.7</v>
      </c>
      <c r="AZ295">
        <f>$H$295*$AF$295</f>
        <v>75.7</v>
      </c>
    </row>
    <row r="296" spans="1:52" x14ac:dyDescent="0.25">
      <c r="A296">
        <v>343</v>
      </c>
      <c r="B296" t="s">
        <v>469</v>
      </c>
      <c r="C296" t="s">
        <v>338</v>
      </c>
      <c r="D296">
        <v>148.19999999999999</v>
      </c>
      <c r="E296">
        <v>490.54</v>
      </c>
      <c r="F296" t="s">
        <v>275</v>
      </c>
      <c r="G296">
        <v>3.31</v>
      </c>
      <c r="H296">
        <v>588.64</v>
      </c>
      <c r="I296" t="s">
        <v>336</v>
      </c>
      <c r="J296" t="s">
        <v>339</v>
      </c>
      <c r="K296" t="s">
        <v>410</v>
      </c>
      <c r="L296" t="s">
        <v>170</v>
      </c>
      <c r="M296" t="s">
        <v>469</v>
      </c>
      <c r="N296" t="s">
        <v>12</v>
      </c>
      <c r="O296" t="s">
        <v>14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469</v>
      </c>
      <c r="AH296" t="s">
        <v>12</v>
      </c>
      <c r="AI296" t="s">
        <v>14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588.64</v>
      </c>
      <c r="AN296">
        <f>$H$296*$T$296</f>
        <v>588.64</v>
      </c>
      <c r="AO296">
        <f>$H$296*$U$296</f>
        <v>588.64</v>
      </c>
      <c r="AP296">
        <f>$H$296*$V$296</f>
        <v>588.64</v>
      </c>
      <c r="AQ296">
        <f>$H$296*$W$296</f>
        <v>588.64</v>
      </c>
      <c r="AR296">
        <f>$H$296*$X$296</f>
        <v>588.64</v>
      </c>
      <c r="AS296">
        <f>$H$296*$Y$296</f>
        <v>588.64</v>
      </c>
      <c r="AT296">
        <f>$H$296*$Z$296</f>
        <v>588.64</v>
      </c>
      <c r="AU296">
        <f>$H$296*$AA$296</f>
        <v>588.64</v>
      </c>
      <c r="AV296">
        <f>$H$296*$AB$296</f>
        <v>588.64</v>
      </c>
      <c r="AW296">
        <f>$H$296*$AC$296</f>
        <v>588.64</v>
      </c>
      <c r="AX296">
        <f>$H$296*$AD$296</f>
        <v>588.64</v>
      </c>
      <c r="AY296">
        <f>$H$296*$AE$296</f>
        <v>588.64</v>
      </c>
      <c r="AZ296">
        <f>$H$296*$AF$296</f>
        <v>588.64</v>
      </c>
    </row>
    <row r="297" spans="1:52" x14ac:dyDescent="0.25">
      <c r="A297">
        <v>344</v>
      </c>
      <c r="B297" t="s">
        <v>469</v>
      </c>
      <c r="C297" t="s">
        <v>340</v>
      </c>
      <c r="D297">
        <v>148.19999999999999</v>
      </c>
      <c r="E297">
        <v>157.09</v>
      </c>
      <c r="F297" t="s">
        <v>275</v>
      </c>
      <c r="G297">
        <v>1.06</v>
      </c>
      <c r="H297">
        <v>188.51</v>
      </c>
      <c r="I297" t="s">
        <v>263</v>
      </c>
      <c r="J297" t="s">
        <v>341</v>
      </c>
      <c r="K297" t="s">
        <v>411</v>
      </c>
      <c r="L297" t="s">
        <v>170</v>
      </c>
      <c r="M297" t="s">
        <v>469</v>
      </c>
      <c r="N297" t="s">
        <v>12</v>
      </c>
      <c r="O297" t="s">
        <v>14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1</v>
      </c>
      <c r="AG297" t="s">
        <v>469</v>
      </c>
      <c r="AH297" t="s">
        <v>12</v>
      </c>
      <c r="AI297" t="s">
        <v>14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0</v>
      </c>
      <c r="AV297">
        <f>$H$297*$AB$297</f>
        <v>0</v>
      </c>
      <c r="AW297">
        <f>$H$297*$AC$297</f>
        <v>0</v>
      </c>
      <c r="AX297">
        <f>$H$297*$AD$297</f>
        <v>188.51</v>
      </c>
      <c r="AY297">
        <f>$H$297*$AE$297</f>
        <v>188.51</v>
      </c>
      <c r="AZ297">
        <f>$H$297*$AF$297</f>
        <v>188.51</v>
      </c>
    </row>
    <row r="298" spans="1:52" x14ac:dyDescent="0.25">
      <c r="A298">
        <v>345</v>
      </c>
      <c r="B298" t="s">
        <v>469</v>
      </c>
      <c r="C298" t="s">
        <v>283</v>
      </c>
      <c r="D298">
        <v>185.25</v>
      </c>
      <c r="E298">
        <v>300.11</v>
      </c>
      <c r="F298" t="s">
        <v>275</v>
      </c>
      <c r="G298">
        <v>1.62</v>
      </c>
      <c r="H298">
        <v>360.13</v>
      </c>
      <c r="I298" t="s">
        <v>263</v>
      </c>
      <c r="J298" t="s">
        <v>284</v>
      </c>
      <c r="K298" t="s">
        <v>387</v>
      </c>
      <c r="L298" t="s">
        <v>170</v>
      </c>
      <c r="M298" t="s">
        <v>469</v>
      </c>
      <c r="N298" t="s">
        <v>12</v>
      </c>
      <c r="O298" t="s">
        <v>14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469</v>
      </c>
      <c r="AH298" t="s">
        <v>12</v>
      </c>
      <c r="AI298" t="s">
        <v>14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360.13</v>
      </c>
      <c r="AO298">
        <f>$H$298*$U$298</f>
        <v>360.13</v>
      </c>
      <c r="AP298">
        <f>$H$298*$V$298</f>
        <v>360.13</v>
      </c>
      <c r="AQ298">
        <f>$H$298*$W$298</f>
        <v>360.13</v>
      </c>
      <c r="AR298">
        <f>$H$298*$X$298</f>
        <v>360.13</v>
      </c>
      <c r="AS298">
        <f>$H$298*$Y$298</f>
        <v>360.13</v>
      </c>
      <c r="AT298">
        <f>$H$298*$Z$298</f>
        <v>360.13</v>
      </c>
      <c r="AU298">
        <f>$H$298*$AA$298</f>
        <v>360.13</v>
      </c>
      <c r="AV298">
        <f>$H$298*$AB$298</f>
        <v>360.13</v>
      </c>
      <c r="AW298">
        <f>$H$298*$AC$298</f>
        <v>360.13</v>
      </c>
      <c r="AX298">
        <f>$H$298*$AD$298</f>
        <v>360.13</v>
      </c>
      <c r="AY298">
        <f>$H$298*$AE$298</f>
        <v>360.13</v>
      </c>
      <c r="AZ298">
        <f>$H$298*$AF$298</f>
        <v>360.13</v>
      </c>
    </row>
    <row r="299" spans="1:52" x14ac:dyDescent="0.25">
      <c r="A299">
        <v>346</v>
      </c>
      <c r="B299" t="s">
        <v>469</v>
      </c>
      <c r="C299" t="s">
        <v>526</v>
      </c>
      <c r="D299">
        <v>37.049999999999997</v>
      </c>
      <c r="E299">
        <v>156.72</v>
      </c>
      <c r="F299" t="s">
        <v>275</v>
      </c>
      <c r="G299">
        <v>4.2300000000000004</v>
      </c>
      <c r="H299">
        <v>188.06</v>
      </c>
      <c r="I299" t="s">
        <v>527</v>
      </c>
      <c r="J299" t="s">
        <v>309</v>
      </c>
      <c r="K299" t="s">
        <v>644</v>
      </c>
      <c r="L299" t="s">
        <v>170</v>
      </c>
      <c r="M299" t="s">
        <v>469</v>
      </c>
      <c r="N299" t="s">
        <v>12</v>
      </c>
      <c r="O299" t="s">
        <v>14</v>
      </c>
      <c r="P299">
        <v>0</v>
      </c>
      <c r="Q299">
        <v>0</v>
      </c>
      <c r="R299">
        <v>0</v>
      </c>
      <c r="S299">
        <v>0.25</v>
      </c>
      <c r="T299">
        <v>0.25</v>
      </c>
      <c r="U299">
        <v>0.25</v>
      </c>
      <c r="V299">
        <v>0.25</v>
      </c>
      <c r="W299">
        <v>0.25</v>
      </c>
      <c r="X299">
        <v>0.5</v>
      </c>
      <c r="Y299">
        <v>0.5</v>
      </c>
      <c r="Z299">
        <v>0.5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469</v>
      </c>
      <c r="AH299" t="s">
        <v>12</v>
      </c>
      <c r="AI299" t="s">
        <v>14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47.015000000000001</v>
      </c>
      <c r="AN299">
        <f>$H$299*$T$299</f>
        <v>47.015000000000001</v>
      </c>
      <c r="AO299">
        <f>$H$299*$U$299</f>
        <v>47.015000000000001</v>
      </c>
      <c r="AP299">
        <f>$H$299*$V$299</f>
        <v>47.015000000000001</v>
      </c>
      <c r="AQ299">
        <f>$H$299*$W$299</f>
        <v>47.015000000000001</v>
      </c>
      <c r="AR299">
        <f>$H$299*$X$299</f>
        <v>94.03</v>
      </c>
      <c r="AS299">
        <f>$H$299*$Y$299</f>
        <v>94.03</v>
      </c>
      <c r="AT299">
        <f>$H$299*$Z$299</f>
        <v>94.03</v>
      </c>
      <c r="AU299">
        <f>$H$299*$AA$299</f>
        <v>188.06</v>
      </c>
      <c r="AV299">
        <f>$H$299*$AB$299</f>
        <v>188.06</v>
      </c>
      <c r="AW299">
        <f>$H$299*$AC$299</f>
        <v>188.06</v>
      </c>
      <c r="AX299">
        <f>$H$299*$AD$299</f>
        <v>188.06</v>
      </c>
      <c r="AY299">
        <f>$H$299*$AE$299</f>
        <v>188.06</v>
      </c>
      <c r="AZ299">
        <f>$H$299*$AF$299</f>
        <v>188.06</v>
      </c>
    </row>
    <row r="300" spans="1:52" x14ac:dyDescent="0.25">
      <c r="A300">
        <v>347</v>
      </c>
      <c r="B300" t="s">
        <v>469</v>
      </c>
      <c r="C300" t="s">
        <v>285</v>
      </c>
      <c r="D300">
        <v>370.5</v>
      </c>
      <c r="E300">
        <v>1530.17</v>
      </c>
      <c r="F300" t="s">
        <v>275</v>
      </c>
      <c r="G300">
        <v>4.13</v>
      </c>
      <c r="H300">
        <v>1836.21</v>
      </c>
      <c r="I300" t="s">
        <v>286</v>
      </c>
      <c r="J300" t="s">
        <v>287</v>
      </c>
      <c r="K300" t="s">
        <v>388</v>
      </c>
      <c r="L300" t="s">
        <v>170</v>
      </c>
      <c r="M300" t="s">
        <v>469</v>
      </c>
      <c r="N300" t="s">
        <v>12</v>
      </c>
      <c r="O300" t="s">
        <v>14</v>
      </c>
      <c r="P300">
        <v>0</v>
      </c>
      <c r="Q300">
        <v>0</v>
      </c>
      <c r="R300">
        <v>0</v>
      </c>
      <c r="S300">
        <v>0.25</v>
      </c>
      <c r="T300">
        <v>0.25</v>
      </c>
      <c r="U300">
        <v>0.25</v>
      </c>
      <c r="V300">
        <v>0.25</v>
      </c>
      <c r="W300">
        <v>0.5</v>
      </c>
      <c r="X300">
        <v>0.5</v>
      </c>
      <c r="Y300">
        <v>0.5</v>
      </c>
      <c r="Z300">
        <v>0.5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469</v>
      </c>
      <c r="AH300" t="s">
        <v>12</v>
      </c>
      <c r="AI300" t="s">
        <v>14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459.05250000000001</v>
      </c>
      <c r="AN300">
        <f>$H$300*$T$300</f>
        <v>459.05250000000001</v>
      </c>
      <c r="AO300">
        <f>$H$300*$U$300</f>
        <v>459.05250000000001</v>
      </c>
      <c r="AP300">
        <f>$H$300*$V$300</f>
        <v>459.05250000000001</v>
      </c>
      <c r="AQ300">
        <f>$H$300*$W$300</f>
        <v>918.10500000000002</v>
      </c>
      <c r="AR300">
        <f>$H$300*$X$300</f>
        <v>918.10500000000002</v>
      </c>
      <c r="AS300">
        <f>$H$300*$Y$300</f>
        <v>918.10500000000002</v>
      </c>
      <c r="AT300">
        <f>$H$300*$Z$300</f>
        <v>918.10500000000002</v>
      </c>
      <c r="AU300">
        <f>$H$300*$AA$300</f>
        <v>1836.21</v>
      </c>
      <c r="AV300">
        <f>$H$300*$AB$300</f>
        <v>1836.21</v>
      </c>
      <c r="AW300">
        <f>$H$300*$AC$300</f>
        <v>1836.21</v>
      </c>
      <c r="AX300">
        <f>$H$300*$AD$300</f>
        <v>1836.21</v>
      </c>
      <c r="AY300">
        <f>$H$300*$AE$300</f>
        <v>1836.21</v>
      </c>
      <c r="AZ300">
        <f>$H$300*$AF$300</f>
        <v>1836.21</v>
      </c>
    </row>
    <row r="301" spans="1:52" x14ac:dyDescent="0.25">
      <c r="A301">
        <v>348</v>
      </c>
      <c r="B301" t="s">
        <v>469</v>
      </c>
      <c r="C301" t="s">
        <v>575</v>
      </c>
      <c r="D301">
        <v>12</v>
      </c>
      <c r="E301">
        <v>104.28</v>
      </c>
      <c r="F301" t="s">
        <v>262</v>
      </c>
      <c r="G301">
        <v>8.69</v>
      </c>
      <c r="H301">
        <v>125.14</v>
      </c>
      <c r="I301" t="s">
        <v>264</v>
      </c>
      <c r="J301" t="s">
        <v>576</v>
      </c>
      <c r="K301" t="s">
        <v>669</v>
      </c>
      <c r="L301" t="s">
        <v>170</v>
      </c>
      <c r="M301" t="s">
        <v>469</v>
      </c>
      <c r="N301" t="s">
        <v>12</v>
      </c>
      <c r="O301" t="s">
        <v>14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469</v>
      </c>
      <c r="AH301" t="s">
        <v>12</v>
      </c>
      <c r="AI301" t="s">
        <v>14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125.14</v>
      </c>
      <c r="AV301">
        <f>$H$301*$AB$301</f>
        <v>125.14</v>
      </c>
      <c r="AW301">
        <f>$H$301*$AC$301</f>
        <v>125.14</v>
      </c>
      <c r="AX301">
        <f>$H$301*$AD$301</f>
        <v>125.14</v>
      </c>
      <c r="AY301">
        <f>$H$301*$AE$301</f>
        <v>125.14</v>
      </c>
      <c r="AZ301">
        <f>$H$301*$AF$301</f>
        <v>125.14</v>
      </c>
    </row>
    <row r="302" spans="1:52" x14ac:dyDescent="0.25">
      <c r="A302">
        <v>349</v>
      </c>
      <c r="B302" t="s">
        <v>469</v>
      </c>
      <c r="C302" t="s">
        <v>577</v>
      </c>
      <c r="D302">
        <v>24</v>
      </c>
      <c r="E302">
        <v>379.92</v>
      </c>
      <c r="F302" t="s">
        <v>262</v>
      </c>
      <c r="G302">
        <v>15.83</v>
      </c>
      <c r="H302">
        <v>455.9</v>
      </c>
      <c r="I302" t="s">
        <v>264</v>
      </c>
      <c r="J302" t="s">
        <v>578</v>
      </c>
      <c r="K302" t="s">
        <v>670</v>
      </c>
      <c r="L302" t="s">
        <v>170</v>
      </c>
      <c r="M302" t="s">
        <v>469</v>
      </c>
      <c r="N302" t="s">
        <v>12</v>
      </c>
      <c r="O302" t="s">
        <v>14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469</v>
      </c>
      <c r="AH302" t="s">
        <v>12</v>
      </c>
      <c r="AI302" t="s">
        <v>14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455.9</v>
      </c>
      <c r="AV302">
        <f>$H$302*$AB$302</f>
        <v>455.9</v>
      </c>
      <c r="AW302">
        <f>$H$302*$AC$302</f>
        <v>455.9</v>
      </c>
      <c r="AX302">
        <f>$H$302*$AD$302</f>
        <v>455.9</v>
      </c>
      <c r="AY302">
        <f>$H$302*$AE$302</f>
        <v>455.9</v>
      </c>
      <c r="AZ302">
        <f>$H$302*$AF$302</f>
        <v>455.9</v>
      </c>
    </row>
    <row r="303" spans="1:52" x14ac:dyDescent="0.25">
      <c r="A303">
        <v>351</v>
      </c>
      <c r="B303" t="s">
        <v>469</v>
      </c>
      <c r="C303" t="s">
        <v>372</v>
      </c>
      <c r="D303">
        <v>41.17</v>
      </c>
      <c r="E303">
        <v>74.52</v>
      </c>
      <c r="F303" t="s">
        <v>262</v>
      </c>
      <c r="G303">
        <v>1.81</v>
      </c>
      <c r="H303">
        <v>89.42</v>
      </c>
      <c r="I303" t="s">
        <v>263</v>
      </c>
      <c r="J303" t="s">
        <v>373</v>
      </c>
      <c r="K303" t="s">
        <v>426</v>
      </c>
      <c r="L303" t="s">
        <v>170</v>
      </c>
      <c r="M303" t="s">
        <v>469</v>
      </c>
      <c r="N303" t="s">
        <v>12</v>
      </c>
      <c r="O303" t="s">
        <v>14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469</v>
      </c>
      <c r="AH303" t="s">
        <v>12</v>
      </c>
      <c r="AI303" t="s">
        <v>14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89.42</v>
      </c>
      <c r="AV303">
        <f>$H$303*$AB$303</f>
        <v>89.42</v>
      </c>
      <c r="AW303">
        <f>$H$303*$AC$303</f>
        <v>89.42</v>
      </c>
      <c r="AX303">
        <f>$H$303*$AD$303</f>
        <v>89.42</v>
      </c>
      <c r="AY303">
        <f>$H$303*$AE$303</f>
        <v>89.42</v>
      </c>
      <c r="AZ303">
        <f>$H$303*$AF$303</f>
        <v>89.42</v>
      </c>
    </row>
    <row r="304" spans="1:52" x14ac:dyDescent="0.25">
      <c r="A304">
        <v>352</v>
      </c>
      <c r="B304" t="s">
        <v>469</v>
      </c>
      <c r="C304" t="s">
        <v>374</v>
      </c>
      <c r="D304">
        <v>41.17</v>
      </c>
      <c r="E304">
        <v>359.83</v>
      </c>
      <c r="F304" t="s">
        <v>262</v>
      </c>
      <c r="G304">
        <v>8.74</v>
      </c>
      <c r="H304">
        <v>431.79</v>
      </c>
      <c r="I304" t="s">
        <v>264</v>
      </c>
      <c r="J304" t="s">
        <v>375</v>
      </c>
      <c r="K304" t="s">
        <v>427</v>
      </c>
      <c r="L304" t="s">
        <v>170</v>
      </c>
      <c r="M304" t="s">
        <v>469</v>
      </c>
      <c r="N304" t="s">
        <v>12</v>
      </c>
      <c r="O304" t="s">
        <v>14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469</v>
      </c>
      <c r="AH304" t="s">
        <v>12</v>
      </c>
      <c r="AI304" t="s">
        <v>14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431.79</v>
      </c>
      <c r="AV304">
        <f>$H$304*$AB$304</f>
        <v>431.79</v>
      </c>
      <c r="AW304">
        <f>$H$304*$AC$304</f>
        <v>431.79</v>
      </c>
      <c r="AX304">
        <f>$H$304*$AD$304</f>
        <v>431.79</v>
      </c>
      <c r="AY304">
        <f>$H$304*$AE$304</f>
        <v>431.79</v>
      </c>
      <c r="AZ304">
        <f>$H$304*$AF$304</f>
        <v>431.79</v>
      </c>
    </row>
    <row r="305" spans="1:52" x14ac:dyDescent="0.25">
      <c r="A305">
        <v>353</v>
      </c>
      <c r="B305" t="s">
        <v>469</v>
      </c>
      <c r="C305" t="s">
        <v>342</v>
      </c>
      <c r="D305">
        <v>41.17</v>
      </c>
      <c r="E305">
        <v>108.69</v>
      </c>
      <c r="F305" t="s">
        <v>262</v>
      </c>
      <c r="G305">
        <v>2.64</v>
      </c>
      <c r="H305">
        <v>130.43</v>
      </c>
      <c r="I305" t="s">
        <v>263</v>
      </c>
      <c r="J305" t="s">
        <v>343</v>
      </c>
      <c r="K305" t="s">
        <v>412</v>
      </c>
      <c r="L305" t="s">
        <v>170</v>
      </c>
      <c r="M305" t="s">
        <v>469</v>
      </c>
      <c r="N305" t="s">
        <v>12</v>
      </c>
      <c r="O305" t="s">
        <v>14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469</v>
      </c>
      <c r="AH305" t="s">
        <v>12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130.43</v>
      </c>
      <c r="AN305">
        <f>$H$305*$T$305</f>
        <v>130.43</v>
      </c>
      <c r="AO305">
        <f>$H$305*$U$305</f>
        <v>130.43</v>
      </c>
      <c r="AP305">
        <f>$H$305*$V$305</f>
        <v>130.43</v>
      </c>
      <c r="AQ305">
        <f>$H$305*$W$305</f>
        <v>130.43</v>
      </c>
      <c r="AR305">
        <f>$H$305*$X$305</f>
        <v>130.43</v>
      </c>
      <c r="AS305">
        <f>$H$305*$Y$305</f>
        <v>130.43</v>
      </c>
      <c r="AT305">
        <f>$H$305*$Z$305</f>
        <v>130.43</v>
      </c>
      <c r="AU305">
        <f>$H$305*$AA$305</f>
        <v>130.43</v>
      </c>
      <c r="AV305">
        <f>$H$305*$AB$305</f>
        <v>130.43</v>
      </c>
      <c r="AW305">
        <f>$H$305*$AC$305</f>
        <v>130.43</v>
      </c>
      <c r="AX305">
        <f>$H$305*$AD$305</f>
        <v>130.43</v>
      </c>
      <c r="AY305">
        <f>$H$305*$AE$305</f>
        <v>130.43</v>
      </c>
      <c r="AZ305">
        <f>$H$305*$AF$305</f>
        <v>130.43</v>
      </c>
    </row>
    <row r="306" spans="1:52" x14ac:dyDescent="0.25">
      <c r="A306">
        <v>354</v>
      </c>
      <c r="B306" t="s">
        <v>469</v>
      </c>
      <c r="C306" t="s">
        <v>344</v>
      </c>
      <c r="D306">
        <v>41.17</v>
      </c>
      <c r="E306">
        <v>254.84</v>
      </c>
      <c r="F306" t="s">
        <v>262</v>
      </c>
      <c r="G306">
        <v>6.19</v>
      </c>
      <c r="H306">
        <v>305.8</v>
      </c>
      <c r="I306" t="s">
        <v>264</v>
      </c>
      <c r="J306" t="s">
        <v>345</v>
      </c>
      <c r="K306" t="s">
        <v>413</v>
      </c>
      <c r="L306" t="s">
        <v>170</v>
      </c>
      <c r="M306" t="s">
        <v>469</v>
      </c>
      <c r="N306" t="s">
        <v>12</v>
      </c>
      <c r="O306" t="s">
        <v>14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469</v>
      </c>
      <c r="AH306" t="s">
        <v>12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305.8</v>
      </c>
      <c r="AN306">
        <f>$H$306*$T$306</f>
        <v>305.8</v>
      </c>
      <c r="AO306">
        <f>$H$306*$U$306</f>
        <v>305.8</v>
      </c>
      <c r="AP306">
        <f>$H$306*$V$306</f>
        <v>305.8</v>
      </c>
      <c r="AQ306">
        <f>$H$306*$W$306</f>
        <v>305.8</v>
      </c>
      <c r="AR306">
        <f>$H$306*$X$306</f>
        <v>305.8</v>
      </c>
      <c r="AS306">
        <f>$H$306*$Y$306</f>
        <v>305.8</v>
      </c>
      <c r="AT306">
        <f>$H$306*$Z$306</f>
        <v>305.8</v>
      </c>
      <c r="AU306">
        <f>$H$306*$AA$306</f>
        <v>305.8</v>
      </c>
      <c r="AV306">
        <f>$H$306*$AB$306</f>
        <v>305.8</v>
      </c>
      <c r="AW306">
        <f>$H$306*$AC$306</f>
        <v>305.8</v>
      </c>
      <c r="AX306">
        <f>$H$306*$AD$306</f>
        <v>305.8</v>
      </c>
      <c r="AY306">
        <f>$H$306*$AE$306</f>
        <v>305.8</v>
      </c>
      <c r="AZ306">
        <f>$H$306*$AF$306</f>
        <v>305.8</v>
      </c>
    </row>
    <row r="307" spans="1:52" x14ac:dyDescent="0.25">
      <c r="A307">
        <v>355</v>
      </c>
      <c r="B307" t="s">
        <v>469</v>
      </c>
      <c r="C307" t="s">
        <v>285</v>
      </c>
      <c r="D307">
        <v>145.63999999999999</v>
      </c>
      <c r="E307">
        <v>601.49</v>
      </c>
      <c r="F307" t="s">
        <v>275</v>
      </c>
      <c r="G307">
        <v>4.13</v>
      </c>
      <c r="H307">
        <v>721.79</v>
      </c>
      <c r="I307" t="s">
        <v>286</v>
      </c>
      <c r="J307" t="s">
        <v>287</v>
      </c>
      <c r="K307" t="s">
        <v>388</v>
      </c>
      <c r="L307" t="s">
        <v>170</v>
      </c>
      <c r="M307" t="s">
        <v>469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469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180.44749999999999</v>
      </c>
      <c r="AN307">
        <f>$H$307*$T$307</f>
        <v>180.44749999999999</v>
      </c>
      <c r="AO307">
        <f>$H$307*$U$307</f>
        <v>180.44749999999999</v>
      </c>
      <c r="AP307">
        <f>$H$307*$V$307</f>
        <v>180.44749999999999</v>
      </c>
      <c r="AQ307">
        <f>$H$307*$W$307</f>
        <v>360.89499999999998</v>
      </c>
      <c r="AR307">
        <f>$H$307*$X$307</f>
        <v>360.89499999999998</v>
      </c>
      <c r="AS307">
        <f>$H$307*$Y$307</f>
        <v>360.89499999999998</v>
      </c>
      <c r="AT307">
        <f>$H$307*$Z$307</f>
        <v>360.89499999999998</v>
      </c>
      <c r="AU307">
        <f>$H$307*$AA$307</f>
        <v>721.79</v>
      </c>
      <c r="AV307">
        <f>$H$307*$AB$307</f>
        <v>721.79</v>
      </c>
      <c r="AW307">
        <f>$H$307*$AC$307</f>
        <v>721.79</v>
      </c>
      <c r="AX307">
        <f>$H$307*$AD$307</f>
        <v>721.79</v>
      </c>
      <c r="AY307">
        <f>$H$307*$AE$307</f>
        <v>721.79</v>
      </c>
      <c r="AZ307">
        <f>$H$307*$AF$307</f>
        <v>721.79</v>
      </c>
    </row>
    <row r="308" spans="1:52" x14ac:dyDescent="0.25">
      <c r="A308">
        <v>356</v>
      </c>
      <c r="B308" t="s">
        <v>469</v>
      </c>
      <c r="C308" t="s">
        <v>340</v>
      </c>
      <c r="D308">
        <v>145.63999999999999</v>
      </c>
      <c r="E308">
        <v>154.38</v>
      </c>
      <c r="F308" t="s">
        <v>275</v>
      </c>
      <c r="G308">
        <v>1.06</v>
      </c>
      <c r="H308">
        <v>185.26</v>
      </c>
      <c r="I308" t="s">
        <v>263</v>
      </c>
      <c r="J308" t="s">
        <v>341</v>
      </c>
      <c r="K308" t="s">
        <v>411</v>
      </c>
      <c r="L308" t="s">
        <v>170</v>
      </c>
      <c r="M308" t="s">
        <v>469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1</v>
      </c>
      <c r="AF308">
        <v>1</v>
      </c>
      <c r="AG308" t="s">
        <v>469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0</v>
      </c>
      <c r="AV308">
        <f>$H$308*$AB$308</f>
        <v>0</v>
      </c>
      <c r="AW308">
        <f>$H$308*$AC$308</f>
        <v>0</v>
      </c>
      <c r="AX308">
        <f>$H$308*$AD$308</f>
        <v>185.26</v>
      </c>
      <c r="AY308">
        <f>$H$308*$AE$308</f>
        <v>185.26</v>
      </c>
      <c r="AZ308">
        <f>$H$308*$AF$308</f>
        <v>185.26</v>
      </c>
    </row>
    <row r="309" spans="1:52" x14ac:dyDescent="0.25">
      <c r="A309">
        <v>357</v>
      </c>
      <c r="B309" t="s">
        <v>469</v>
      </c>
      <c r="C309" t="s">
        <v>346</v>
      </c>
      <c r="D309">
        <v>145.63999999999999</v>
      </c>
      <c r="E309">
        <v>163.12</v>
      </c>
      <c r="F309" t="s">
        <v>275</v>
      </c>
      <c r="G309">
        <v>1.1200000000000001</v>
      </c>
      <c r="H309">
        <v>195.74</v>
      </c>
      <c r="I309" t="s">
        <v>263</v>
      </c>
      <c r="J309" t="s">
        <v>347</v>
      </c>
      <c r="K309" t="s">
        <v>414</v>
      </c>
      <c r="L309" t="s">
        <v>170</v>
      </c>
      <c r="M309" t="s">
        <v>469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469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195.74</v>
      </c>
      <c r="AN309">
        <f>$H$309*$T$309</f>
        <v>195.74</v>
      </c>
      <c r="AO309">
        <f>$H$309*$U$309</f>
        <v>195.74</v>
      </c>
      <c r="AP309">
        <f>$H$309*$V$309</f>
        <v>195.74</v>
      </c>
      <c r="AQ309">
        <f>$H$309*$W$309</f>
        <v>195.74</v>
      </c>
      <c r="AR309">
        <f>$H$309*$X$309</f>
        <v>195.74</v>
      </c>
      <c r="AS309">
        <f>$H$309*$Y$309</f>
        <v>195.74</v>
      </c>
      <c r="AT309">
        <f>$H$309*$Z$309</f>
        <v>195.74</v>
      </c>
      <c r="AU309">
        <f>$H$309*$AA$309</f>
        <v>195.74</v>
      </c>
      <c r="AV309">
        <f>$H$309*$AB$309</f>
        <v>195.74</v>
      </c>
      <c r="AW309">
        <f>$H$309*$AC$309</f>
        <v>195.74</v>
      </c>
      <c r="AX309">
        <f>$H$309*$AD$309</f>
        <v>195.74</v>
      </c>
      <c r="AY309">
        <f>$H$309*$AE$309</f>
        <v>195.74</v>
      </c>
      <c r="AZ309">
        <f>$H$309*$AF$309</f>
        <v>195.74</v>
      </c>
    </row>
    <row r="310" spans="1:52" x14ac:dyDescent="0.25">
      <c r="A310">
        <v>358</v>
      </c>
      <c r="B310" t="s">
        <v>469</v>
      </c>
      <c r="C310" t="s">
        <v>528</v>
      </c>
      <c r="D310">
        <v>20.6</v>
      </c>
      <c r="E310">
        <v>431.57</v>
      </c>
      <c r="F310" t="s">
        <v>275</v>
      </c>
      <c r="G310">
        <v>20.95</v>
      </c>
      <c r="H310">
        <v>517.89</v>
      </c>
      <c r="I310" t="s">
        <v>348</v>
      </c>
      <c r="J310" t="s">
        <v>529</v>
      </c>
      <c r="K310" t="s">
        <v>645</v>
      </c>
      <c r="L310" t="s">
        <v>170</v>
      </c>
      <c r="M310" t="s">
        <v>469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469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517.89</v>
      </c>
      <c r="AT310">
        <f>$H$310*$Z$310</f>
        <v>517.89</v>
      </c>
      <c r="AU310">
        <f>$H$310*$AA$310</f>
        <v>517.89</v>
      </c>
      <c r="AV310">
        <f>$H$310*$AB$310</f>
        <v>517.89</v>
      </c>
      <c r="AW310">
        <f>$H$310*$AC$310</f>
        <v>517.89</v>
      </c>
      <c r="AX310">
        <f>$H$310*$AD$310</f>
        <v>517.89</v>
      </c>
      <c r="AY310">
        <f>$H$310*$AE$310</f>
        <v>517.89</v>
      </c>
      <c r="AZ310">
        <f>$H$310*$AF$310</f>
        <v>517.89</v>
      </c>
    </row>
    <row r="311" spans="1:52" x14ac:dyDescent="0.25">
      <c r="A311">
        <v>359</v>
      </c>
      <c r="B311" t="s">
        <v>469</v>
      </c>
      <c r="C311" t="s">
        <v>349</v>
      </c>
      <c r="D311">
        <v>41.2</v>
      </c>
      <c r="E311">
        <v>175.51</v>
      </c>
      <c r="F311" t="s">
        <v>275</v>
      </c>
      <c r="G311">
        <v>4.26</v>
      </c>
      <c r="H311">
        <v>210.61</v>
      </c>
      <c r="I311" t="s">
        <v>350</v>
      </c>
      <c r="J311" t="s">
        <v>351</v>
      </c>
      <c r="K311" t="s">
        <v>415</v>
      </c>
      <c r="L311" t="s">
        <v>170</v>
      </c>
      <c r="M311" t="s">
        <v>469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469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210.61</v>
      </c>
      <c r="AN311">
        <f>$H$311*$T$311</f>
        <v>210.61</v>
      </c>
      <c r="AO311">
        <f>$H$311*$U$311</f>
        <v>210.61</v>
      </c>
      <c r="AP311">
        <f>$H$311*$V$311</f>
        <v>210.61</v>
      </c>
      <c r="AQ311">
        <f>$H$311*$W$311</f>
        <v>210.61</v>
      </c>
      <c r="AR311">
        <f>$H$311*$X$311</f>
        <v>210.61</v>
      </c>
      <c r="AS311">
        <f>$H$311*$Y$311</f>
        <v>210.61</v>
      </c>
      <c r="AT311">
        <f>$H$311*$Z$311</f>
        <v>210.61</v>
      </c>
      <c r="AU311">
        <f>$H$311*$AA$311</f>
        <v>210.61</v>
      </c>
      <c r="AV311">
        <f>$H$311*$AB$311</f>
        <v>210.61</v>
      </c>
      <c r="AW311">
        <f>$H$311*$AC$311</f>
        <v>210.61</v>
      </c>
      <c r="AX311">
        <f>$H$311*$AD$311</f>
        <v>210.61</v>
      </c>
      <c r="AY311">
        <f>$H$311*$AE$311</f>
        <v>210.61</v>
      </c>
      <c r="AZ311">
        <f>$H$311*$AF$311</f>
        <v>210.61</v>
      </c>
    </row>
    <row r="312" spans="1:52" x14ac:dyDescent="0.25">
      <c r="A312">
        <v>360</v>
      </c>
      <c r="B312" t="s">
        <v>469</v>
      </c>
      <c r="C312" t="s">
        <v>352</v>
      </c>
      <c r="D312">
        <v>41.2</v>
      </c>
      <c r="E312">
        <v>442.49</v>
      </c>
      <c r="F312" t="s">
        <v>275</v>
      </c>
      <c r="G312">
        <v>10.74</v>
      </c>
      <c r="H312">
        <v>530.99</v>
      </c>
      <c r="I312" t="s">
        <v>350</v>
      </c>
      <c r="J312" t="s">
        <v>293</v>
      </c>
      <c r="K312" t="s">
        <v>416</v>
      </c>
      <c r="L312" t="s">
        <v>170</v>
      </c>
      <c r="M312" t="s">
        <v>469</v>
      </c>
      <c r="N312" t="s">
        <v>12</v>
      </c>
      <c r="O312" t="s">
        <v>14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469</v>
      </c>
      <c r="AH312" t="s">
        <v>12</v>
      </c>
      <c r="AI312" t="s">
        <v>14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530.99</v>
      </c>
      <c r="AN312">
        <f>$H$312*$T$312</f>
        <v>530.99</v>
      </c>
      <c r="AO312">
        <f>$H$312*$U$312</f>
        <v>530.99</v>
      </c>
      <c r="AP312">
        <f>$H$312*$V$312</f>
        <v>530.99</v>
      </c>
      <c r="AQ312">
        <f>$H$312*$W$312</f>
        <v>530.99</v>
      </c>
      <c r="AR312">
        <f>$H$312*$X$312</f>
        <v>530.99</v>
      </c>
      <c r="AS312">
        <f>$H$312*$Y$312</f>
        <v>530.99</v>
      </c>
      <c r="AT312">
        <f>$H$312*$Z$312</f>
        <v>530.99</v>
      </c>
      <c r="AU312">
        <f>$H$312*$AA$312</f>
        <v>530.99</v>
      </c>
      <c r="AV312">
        <f>$H$312*$AB$312</f>
        <v>530.99</v>
      </c>
      <c r="AW312">
        <f>$H$312*$AC$312</f>
        <v>530.99</v>
      </c>
      <c r="AX312">
        <f>$H$312*$AD$312</f>
        <v>530.99</v>
      </c>
      <c r="AY312">
        <f>$H$312*$AE$312</f>
        <v>530.99</v>
      </c>
      <c r="AZ312">
        <f>$H$312*$AF$312</f>
        <v>530.99</v>
      </c>
    </row>
    <row r="313" spans="1:52" x14ac:dyDescent="0.25">
      <c r="A313">
        <v>361</v>
      </c>
      <c r="B313" t="s">
        <v>469</v>
      </c>
      <c r="C313" t="s">
        <v>530</v>
      </c>
      <c r="D313">
        <v>47.38</v>
      </c>
      <c r="E313">
        <v>50.22</v>
      </c>
      <c r="F313" t="s">
        <v>275</v>
      </c>
      <c r="G313">
        <v>1.06</v>
      </c>
      <c r="H313">
        <v>60.26</v>
      </c>
      <c r="I313" t="s">
        <v>353</v>
      </c>
      <c r="J313" t="s">
        <v>531</v>
      </c>
      <c r="K313" t="s">
        <v>646</v>
      </c>
      <c r="L313" t="s">
        <v>170</v>
      </c>
      <c r="M313" t="s">
        <v>469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469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60.26</v>
      </c>
      <c r="AN313">
        <f>$H$313*$T$313</f>
        <v>60.26</v>
      </c>
      <c r="AO313">
        <f>$H$313*$U$313</f>
        <v>60.26</v>
      </c>
      <c r="AP313">
        <f>$H$313*$V$313</f>
        <v>60.26</v>
      </c>
      <c r="AQ313">
        <f>$H$313*$W$313</f>
        <v>60.26</v>
      </c>
      <c r="AR313">
        <f>$H$313*$X$313</f>
        <v>60.26</v>
      </c>
      <c r="AS313">
        <f>$H$313*$Y$313</f>
        <v>60.26</v>
      </c>
      <c r="AT313">
        <f>$H$313*$Z$313</f>
        <v>60.26</v>
      </c>
      <c r="AU313">
        <f>$H$313*$AA$313</f>
        <v>60.26</v>
      </c>
      <c r="AV313">
        <f>$H$313*$AB$313</f>
        <v>60.26</v>
      </c>
      <c r="AW313">
        <f>$H$313*$AC$313</f>
        <v>60.26</v>
      </c>
      <c r="AX313">
        <f>$H$313*$AD$313</f>
        <v>60.26</v>
      </c>
      <c r="AY313">
        <f>$H$313*$AE$313</f>
        <v>60.26</v>
      </c>
      <c r="AZ313">
        <f>$H$313*$AF$313</f>
        <v>60.26</v>
      </c>
    </row>
    <row r="314" spans="1:52" x14ac:dyDescent="0.25">
      <c r="A314">
        <v>362</v>
      </c>
      <c r="B314" t="s">
        <v>469</v>
      </c>
      <c r="C314" t="s">
        <v>532</v>
      </c>
      <c r="D314">
        <v>47.38</v>
      </c>
      <c r="E314">
        <v>408.89</v>
      </c>
      <c r="F314" t="s">
        <v>275</v>
      </c>
      <c r="G314">
        <v>8.6300000000000008</v>
      </c>
      <c r="H314">
        <v>490.67</v>
      </c>
      <c r="I314" t="s">
        <v>353</v>
      </c>
      <c r="J314" t="s">
        <v>529</v>
      </c>
      <c r="K314" t="s">
        <v>647</v>
      </c>
      <c r="L314" t="s">
        <v>170</v>
      </c>
      <c r="M314" t="s">
        <v>469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469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490.67</v>
      </c>
      <c r="AN314">
        <f>$H$314*$T$314</f>
        <v>490.67</v>
      </c>
      <c r="AO314">
        <f>$H$314*$U$314</f>
        <v>490.67</v>
      </c>
      <c r="AP314">
        <f>$H$314*$V$314</f>
        <v>490.67</v>
      </c>
      <c r="AQ314">
        <f>$H$314*$W$314</f>
        <v>490.67</v>
      </c>
      <c r="AR314">
        <f>$H$314*$X$314</f>
        <v>490.67</v>
      </c>
      <c r="AS314">
        <f>$H$314*$Y$314</f>
        <v>490.67</v>
      </c>
      <c r="AT314">
        <f>$H$314*$Z$314</f>
        <v>490.67</v>
      </c>
      <c r="AU314">
        <f>$H$314*$AA$314</f>
        <v>490.67</v>
      </c>
      <c r="AV314">
        <f>$H$314*$AB$314</f>
        <v>490.67</v>
      </c>
      <c r="AW314">
        <f>$H$314*$AC$314</f>
        <v>490.67</v>
      </c>
      <c r="AX314">
        <f>$H$314*$AD$314</f>
        <v>490.67</v>
      </c>
      <c r="AY314">
        <f>$H$314*$AE$314</f>
        <v>490.67</v>
      </c>
      <c r="AZ314">
        <f>$H$314*$AF$314</f>
        <v>490.67</v>
      </c>
    </row>
    <row r="315" spans="1:52" x14ac:dyDescent="0.25">
      <c r="A315">
        <v>363</v>
      </c>
      <c r="B315" t="s">
        <v>243</v>
      </c>
      <c r="C315" t="s">
        <v>266</v>
      </c>
      <c r="D315">
        <v>1</v>
      </c>
      <c r="E315">
        <v>94.01</v>
      </c>
      <c r="F315" t="s">
        <v>265</v>
      </c>
      <c r="G315">
        <v>94.01</v>
      </c>
      <c r="H315">
        <v>112.81</v>
      </c>
      <c r="I315" t="s">
        <v>267</v>
      </c>
      <c r="J315" t="s">
        <v>268</v>
      </c>
      <c r="K315" t="s">
        <v>380</v>
      </c>
      <c r="L315" t="s">
        <v>170</v>
      </c>
      <c r="M315" t="s">
        <v>243</v>
      </c>
      <c r="N315" t="s">
        <v>12</v>
      </c>
      <c r="O315" t="s">
        <v>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1</v>
      </c>
      <c r="AF315">
        <v>1</v>
      </c>
      <c r="AG315" t="s">
        <v>243</v>
      </c>
      <c r="AH315" t="s">
        <v>12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0</v>
      </c>
      <c r="AW315">
        <f>$H$315*$AC$315</f>
        <v>0</v>
      </c>
      <c r="AX315">
        <f>$H$315*$AD$315</f>
        <v>112.81</v>
      </c>
      <c r="AY315">
        <f>$H$315*$AE$315</f>
        <v>112.81</v>
      </c>
      <c r="AZ315">
        <f>$H$315*$AF$315</f>
        <v>112.81</v>
      </c>
    </row>
    <row r="316" spans="1:52" x14ac:dyDescent="0.25">
      <c r="A316">
        <v>364</v>
      </c>
      <c r="B316" t="s">
        <v>243</v>
      </c>
      <c r="C316" t="s">
        <v>279</v>
      </c>
      <c r="D316">
        <v>12</v>
      </c>
      <c r="E316">
        <v>92.76</v>
      </c>
      <c r="F316" t="s">
        <v>262</v>
      </c>
      <c r="G316">
        <v>7.73</v>
      </c>
      <c r="H316">
        <v>111.32</v>
      </c>
      <c r="I316" t="s">
        <v>263</v>
      </c>
      <c r="J316" t="s">
        <v>280</v>
      </c>
      <c r="K316" t="s">
        <v>385</v>
      </c>
      <c r="L316" t="s">
        <v>170</v>
      </c>
      <c r="M316" t="s">
        <v>243</v>
      </c>
      <c r="N316" t="s">
        <v>12</v>
      </c>
      <c r="O316" t="s">
        <v>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243</v>
      </c>
      <c r="AH316" t="s">
        <v>12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111.32</v>
      </c>
      <c r="AV316">
        <f>$H$316*$AB$316</f>
        <v>111.32</v>
      </c>
      <c r="AW316">
        <f>$H$316*$AC$316</f>
        <v>111.32</v>
      </c>
      <c r="AX316">
        <f>$H$316*$AD$316</f>
        <v>111.32</v>
      </c>
      <c r="AY316">
        <f>$H$316*$AE$316</f>
        <v>111.32</v>
      </c>
      <c r="AZ316">
        <f>$H$316*$AF$316</f>
        <v>111.32</v>
      </c>
    </row>
    <row r="317" spans="1:52" x14ac:dyDescent="0.25">
      <c r="A317">
        <v>365</v>
      </c>
      <c r="B317" t="s">
        <v>243</v>
      </c>
      <c r="C317" t="s">
        <v>573</v>
      </c>
      <c r="D317">
        <v>6</v>
      </c>
      <c r="E317">
        <v>72.42</v>
      </c>
      <c r="F317" t="s">
        <v>262</v>
      </c>
      <c r="G317">
        <v>12.07</v>
      </c>
      <c r="H317">
        <v>86.9</v>
      </c>
      <c r="I317" t="s">
        <v>264</v>
      </c>
      <c r="J317" t="s">
        <v>574</v>
      </c>
      <c r="K317" t="s">
        <v>668</v>
      </c>
      <c r="L317" t="s">
        <v>170</v>
      </c>
      <c r="M317" t="s">
        <v>243</v>
      </c>
      <c r="N317" t="s">
        <v>12</v>
      </c>
      <c r="O317" t="s">
        <v>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243</v>
      </c>
      <c r="AH317" t="s">
        <v>12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86.9</v>
      </c>
      <c r="AU317">
        <f>$H$317*$AA$317</f>
        <v>86.9</v>
      </c>
      <c r="AV317">
        <f>$H$317*$AB$317</f>
        <v>86.9</v>
      </c>
      <c r="AW317">
        <f>$H$317*$AC$317</f>
        <v>86.9</v>
      </c>
      <c r="AX317">
        <f>$H$317*$AD$317</f>
        <v>86.9</v>
      </c>
      <c r="AY317">
        <f>$H$317*$AE$317</f>
        <v>86.9</v>
      </c>
      <c r="AZ317">
        <f>$H$317*$AF$317</f>
        <v>86.9</v>
      </c>
    </row>
    <row r="318" spans="1:52" x14ac:dyDescent="0.25">
      <c r="A318">
        <v>366</v>
      </c>
      <c r="B318" t="s">
        <v>243</v>
      </c>
      <c r="C318" t="s">
        <v>281</v>
      </c>
      <c r="D318">
        <v>6</v>
      </c>
      <c r="E318">
        <v>76.92</v>
      </c>
      <c r="F318" t="s">
        <v>262</v>
      </c>
      <c r="G318">
        <v>12.82</v>
      </c>
      <c r="H318">
        <v>92.3</v>
      </c>
      <c r="I318" t="s">
        <v>264</v>
      </c>
      <c r="J318" t="s">
        <v>282</v>
      </c>
      <c r="K318" t="s">
        <v>386</v>
      </c>
      <c r="L318" t="s">
        <v>170</v>
      </c>
      <c r="M318" t="s">
        <v>243</v>
      </c>
      <c r="N318" t="s">
        <v>12</v>
      </c>
      <c r="O318" t="s">
        <v>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243</v>
      </c>
      <c r="AH318" t="s">
        <v>12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92.3</v>
      </c>
      <c r="AV318">
        <f>$H$318*$AB$318</f>
        <v>92.3</v>
      </c>
      <c r="AW318">
        <f>$H$318*$AC$318</f>
        <v>92.3</v>
      </c>
      <c r="AX318">
        <f>$H$318*$AD$318</f>
        <v>92.3</v>
      </c>
      <c r="AY318">
        <f>$H$318*$AE$318</f>
        <v>92.3</v>
      </c>
      <c r="AZ318">
        <f>$H$318*$AF$318</f>
        <v>92.3</v>
      </c>
    </row>
    <row r="319" spans="1:52" x14ac:dyDescent="0.25">
      <c r="A319">
        <v>367</v>
      </c>
      <c r="B319" t="s">
        <v>243</v>
      </c>
      <c r="C319" t="s">
        <v>318</v>
      </c>
      <c r="D319">
        <v>6</v>
      </c>
      <c r="E319">
        <v>33.119999999999997</v>
      </c>
      <c r="F319" t="s">
        <v>262</v>
      </c>
      <c r="G319">
        <v>5.52</v>
      </c>
      <c r="H319">
        <v>39.74</v>
      </c>
      <c r="I319" t="s">
        <v>264</v>
      </c>
      <c r="J319" t="s">
        <v>319</v>
      </c>
      <c r="K319" t="s">
        <v>402</v>
      </c>
      <c r="L319" t="s">
        <v>170</v>
      </c>
      <c r="M319" t="s">
        <v>243</v>
      </c>
      <c r="N319" t="s">
        <v>12</v>
      </c>
      <c r="O319" t="s">
        <v>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1</v>
      </c>
      <c r="AF319">
        <v>1</v>
      </c>
      <c r="AG319" t="s">
        <v>243</v>
      </c>
      <c r="AH319" t="s">
        <v>12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0</v>
      </c>
      <c r="AV319">
        <f>$H$319*$AB$319</f>
        <v>0</v>
      </c>
      <c r="AW319">
        <f>$H$319*$AC$319</f>
        <v>39.74</v>
      </c>
      <c r="AX319">
        <f>$H$319*$AD$319</f>
        <v>39.74</v>
      </c>
      <c r="AY319">
        <f>$H$319*$AE$319</f>
        <v>39.74</v>
      </c>
      <c r="AZ319">
        <f>$H$319*$AF$319</f>
        <v>39.74</v>
      </c>
    </row>
    <row r="320" spans="1:52" x14ac:dyDescent="0.25">
      <c r="A320">
        <v>368</v>
      </c>
      <c r="B320" t="s">
        <v>243</v>
      </c>
      <c r="C320" t="s">
        <v>324</v>
      </c>
      <c r="D320">
        <v>8</v>
      </c>
      <c r="E320">
        <v>128.63999999999999</v>
      </c>
      <c r="F320" t="s">
        <v>265</v>
      </c>
      <c r="G320">
        <v>16.079999999999998</v>
      </c>
      <c r="H320">
        <v>154.36000000000001</v>
      </c>
      <c r="I320" t="s">
        <v>267</v>
      </c>
      <c r="J320" t="s">
        <v>325</v>
      </c>
      <c r="K320" t="s">
        <v>404</v>
      </c>
      <c r="L320" t="s">
        <v>170</v>
      </c>
      <c r="M320" t="s">
        <v>243</v>
      </c>
      <c r="N320" t="s">
        <v>12</v>
      </c>
      <c r="O320" t="s">
        <v>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243</v>
      </c>
      <c r="AH320" t="s">
        <v>12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154.36000000000001</v>
      </c>
      <c r="AS320">
        <f>$H$320*$Y$320</f>
        <v>154.36000000000001</v>
      </c>
      <c r="AT320">
        <f>$H$320*$Z$320</f>
        <v>154.36000000000001</v>
      </c>
      <c r="AU320">
        <f>$H$320*$AA$320</f>
        <v>154.36000000000001</v>
      </c>
      <c r="AV320">
        <f>$H$320*$AB$320</f>
        <v>154.36000000000001</v>
      </c>
      <c r="AW320">
        <f>$H$320*$AC$320</f>
        <v>154.36000000000001</v>
      </c>
      <c r="AX320">
        <f>$H$320*$AD$320</f>
        <v>154.36000000000001</v>
      </c>
      <c r="AY320">
        <f>$H$320*$AE$320</f>
        <v>154.36000000000001</v>
      </c>
      <c r="AZ320">
        <f>$H$320*$AF$320</f>
        <v>154.36000000000001</v>
      </c>
    </row>
    <row r="321" spans="1:52" x14ac:dyDescent="0.25">
      <c r="A321">
        <v>369</v>
      </c>
      <c r="B321" t="s">
        <v>243</v>
      </c>
      <c r="C321" t="s">
        <v>525</v>
      </c>
      <c r="D321">
        <v>1</v>
      </c>
      <c r="E321">
        <v>109.28</v>
      </c>
      <c r="F321" t="s">
        <v>265</v>
      </c>
      <c r="G321">
        <v>109.28</v>
      </c>
      <c r="H321">
        <v>131.13999999999999</v>
      </c>
      <c r="I321" t="s">
        <v>270</v>
      </c>
      <c r="J321" t="s">
        <v>293</v>
      </c>
      <c r="K321" t="s">
        <v>643</v>
      </c>
      <c r="L321" t="s">
        <v>170</v>
      </c>
      <c r="M321" t="s">
        <v>243</v>
      </c>
      <c r="N321" t="s">
        <v>12</v>
      </c>
      <c r="O321" t="s">
        <v>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243</v>
      </c>
      <c r="AH321" t="s">
        <v>12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131.13999999999999</v>
      </c>
      <c r="AY321">
        <f>$H$321*$AE$321</f>
        <v>131.13999999999999</v>
      </c>
      <c r="AZ321">
        <f>$H$321*$AF$321</f>
        <v>131.13999999999999</v>
      </c>
    </row>
    <row r="322" spans="1:52" x14ac:dyDescent="0.25">
      <c r="A322">
        <v>370</v>
      </c>
      <c r="B322" t="s">
        <v>243</v>
      </c>
      <c r="C322" t="s">
        <v>288</v>
      </c>
      <c r="D322">
        <v>1</v>
      </c>
      <c r="E322">
        <v>63.54</v>
      </c>
      <c r="F322" t="s">
        <v>265</v>
      </c>
      <c r="G322">
        <v>63.54</v>
      </c>
      <c r="H322">
        <v>76.239999999999995</v>
      </c>
      <c r="I322" t="s">
        <v>289</v>
      </c>
      <c r="J322" t="s">
        <v>290</v>
      </c>
      <c r="K322" t="s">
        <v>389</v>
      </c>
      <c r="L322" t="s">
        <v>170</v>
      </c>
      <c r="M322" t="s">
        <v>243</v>
      </c>
      <c r="N322" t="s">
        <v>12</v>
      </c>
      <c r="O322" t="s">
        <v>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243</v>
      </c>
      <c r="AH322" t="s">
        <v>12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76.239999999999995</v>
      </c>
      <c r="AV322">
        <f>$H$322*$AB$322</f>
        <v>76.239999999999995</v>
      </c>
      <c r="AW322">
        <f>$H$322*$AC$322</f>
        <v>76.239999999999995</v>
      </c>
      <c r="AX322">
        <f>$H$322*$AD$322</f>
        <v>76.239999999999995</v>
      </c>
      <c r="AY322">
        <f>$H$322*$AE$322</f>
        <v>76.239999999999995</v>
      </c>
      <c r="AZ322">
        <f>$H$322*$AF$322</f>
        <v>76.239999999999995</v>
      </c>
    </row>
    <row r="323" spans="1:52" x14ac:dyDescent="0.25">
      <c r="A323">
        <v>371</v>
      </c>
      <c r="B323" t="s">
        <v>243</v>
      </c>
      <c r="C323" t="s">
        <v>355</v>
      </c>
      <c r="D323">
        <v>2</v>
      </c>
      <c r="E323">
        <v>166.64</v>
      </c>
      <c r="F323" t="s">
        <v>265</v>
      </c>
      <c r="G323">
        <v>83.32</v>
      </c>
      <c r="H323">
        <v>199.96</v>
      </c>
      <c r="I323" t="s">
        <v>263</v>
      </c>
      <c r="J323" t="s">
        <v>356</v>
      </c>
      <c r="K323" t="s">
        <v>418</v>
      </c>
      <c r="L323" t="s">
        <v>170</v>
      </c>
      <c r="M323" t="s">
        <v>243</v>
      </c>
      <c r="N323" t="s">
        <v>12</v>
      </c>
      <c r="O323" t="s">
        <v>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243</v>
      </c>
      <c r="AH323" t="s">
        <v>12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199.96</v>
      </c>
      <c r="AN323">
        <f>$H$323*$T$323</f>
        <v>199.96</v>
      </c>
      <c r="AO323">
        <f>$H$323*$U$323</f>
        <v>199.96</v>
      </c>
      <c r="AP323">
        <f>$H$323*$V$323</f>
        <v>199.96</v>
      </c>
      <c r="AQ323">
        <f>$H$323*$W$323</f>
        <v>199.96</v>
      </c>
      <c r="AR323">
        <f>$H$323*$X$323</f>
        <v>199.96</v>
      </c>
      <c r="AS323">
        <f>$H$323*$Y$323</f>
        <v>199.96</v>
      </c>
      <c r="AT323">
        <f>$H$323*$Z$323</f>
        <v>199.96</v>
      </c>
      <c r="AU323">
        <f>$H$323*$AA$323</f>
        <v>199.96</v>
      </c>
      <c r="AV323">
        <f>$H$323*$AB$323</f>
        <v>199.96</v>
      </c>
      <c r="AW323">
        <f>$H$323*$AC$323</f>
        <v>199.96</v>
      </c>
      <c r="AX323">
        <f>$H$323*$AD$323</f>
        <v>199.96</v>
      </c>
      <c r="AY323">
        <f>$H$323*$AE$323</f>
        <v>199.96</v>
      </c>
      <c r="AZ323">
        <f>$H$323*$AF$323</f>
        <v>199.96</v>
      </c>
    </row>
    <row r="324" spans="1:52" x14ac:dyDescent="0.25">
      <c r="A324">
        <v>372</v>
      </c>
      <c r="B324" t="s">
        <v>243</v>
      </c>
      <c r="C324" t="s">
        <v>579</v>
      </c>
      <c r="D324">
        <v>1</v>
      </c>
      <c r="E324">
        <v>462.54</v>
      </c>
      <c r="F324" t="s">
        <v>265</v>
      </c>
      <c r="G324">
        <v>462.54</v>
      </c>
      <c r="H324">
        <v>555.04</v>
      </c>
      <c r="I324" t="s">
        <v>292</v>
      </c>
      <c r="J324" t="s">
        <v>580</v>
      </c>
      <c r="K324" t="s">
        <v>671</v>
      </c>
      <c r="L324" t="s">
        <v>170</v>
      </c>
      <c r="M324" t="s">
        <v>243</v>
      </c>
      <c r="N324" t="s">
        <v>12</v>
      </c>
      <c r="O324" t="s">
        <v>4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243</v>
      </c>
      <c r="AH324" t="s">
        <v>12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555.04</v>
      </c>
      <c r="AO324">
        <f>$H$324*$U$324</f>
        <v>555.04</v>
      </c>
      <c r="AP324">
        <f>$H$324*$V$324</f>
        <v>555.04</v>
      </c>
      <c r="AQ324">
        <f>$H$324*$W$324</f>
        <v>555.04</v>
      </c>
      <c r="AR324">
        <f>$H$324*$X$324</f>
        <v>555.04</v>
      </c>
      <c r="AS324">
        <f>$H$324*$Y$324</f>
        <v>555.04</v>
      </c>
      <c r="AT324">
        <f>$H$324*$Z$324</f>
        <v>555.04</v>
      </c>
      <c r="AU324">
        <f>$H$324*$AA$324</f>
        <v>555.04</v>
      </c>
      <c r="AV324">
        <f>$H$324*$AB$324</f>
        <v>555.04</v>
      </c>
      <c r="AW324">
        <f>$H$324*$AC$324</f>
        <v>555.04</v>
      </c>
      <c r="AX324">
        <f>$H$324*$AD$324</f>
        <v>555.04</v>
      </c>
      <c r="AY324">
        <f>$H$324*$AE$324</f>
        <v>555.04</v>
      </c>
      <c r="AZ324">
        <f>$H$324*$AF$324</f>
        <v>555.04</v>
      </c>
    </row>
    <row r="325" spans="1:52" x14ac:dyDescent="0.25">
      <c r="A325">
        <v>373</v>
      </c>
      <c r="B325" t="s">
        <v>243</v>
      </c>
      <c r="C325" t="s">
        <v>296</v>
      </c>
      <c r="D325">
        <v>2</v>
      </c>
      <c r="E325">
        <v>126.18</v>
      </c>
      <c r="F325" t="s">
        <v>265</v>
      </c>
      <c r="G325">
        <v>63.09</v>
      </c>
      <c r="H325">
        <v>151.41999999999999</v>
      </c>
      <c r="I325" t="s">
        <v>263</v>
      </c>
      <c r="J325" t="s">
        <v>292</v>
      </c>
      <c r="K325" t="s">
        <v>392</v>
      </c>
      <c r="L325" t="s">
        <v>170</v>
      </c>
      <c r="M325" t="s">
        <v>243</v>
      </c>
      <c r="N325" t="s">
        <v>12</v>
      </c>
      <c r="O325" t="s">
        <v>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243</v>
      </c>
      <c r="AH325" t="s">
        <v>12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151.41999999999999</v>
      </c>
      <c r="AN325">
        <f>$H$325*$T$325</f>
        <v>151.41999999999999</v>
      </c>
      <c r="AO325">
        <f>$H$325*$U$325</f>
        <v>151.41999999999999</v>
      </c>
      <c r="AP325">
        <f>$H$325*$V$325</f>
        <v>151.41999999999999</v>
      </c>
      <c r="AQ325">
        <f>$H$325*$W$325</f>
        <v>151.41999999999999</v>
      </c>
      <c r="AR325">
        <f>$H$325*$X$325</f>
        <v>151.41999999999999</v>
      </c>
      <c r="AS325">
        <f>$H$325*$Y$325</f>
        <v>151.41999999999999</v>
      </c>
      <c r="AT325">
        <f>$H$325*$Z$325</f>
        <v>151.41999999999999</v>
      </c>
      <c r="AU325">
        <f>$H$325*$AA$325</f>
        <v>151.41999999999999</v>
      </c>
      <c r="AV325">
        <f>$H$325*$AB$325</f>
        <v>151.41999999999999</v>
      </c>
      <c r="AW325">
        <f>$H$325*$AC$325</f>
        <v>151.41999999999999</v>
      </c>
      <c r="AX325">
        <f>$H$325*$AD$325</f>
        <v>151.41999999999999</v>
      </c>
      <c r="AY325">
        <f>$H$325*$AE$325</f>
        <v>151.41999999999999</v>
      </c>
      <c r="AZ325">
        <f>$H$325*$AF$325</f>
        <v>151.41999999999999</v>
      </c>
    </row>
    <row r="326" spans="1:52" x14ac:dyDescent="0.25">
      <c r="A326">
        <v>374</v>
      </c>
      <c r="B326" t="s">
        <v>243</v>
      </c>
      <c r="C326" t="s">
        <v>294</v>
      </c>
      <c r="D326">
        <v>2</v>
      </c>
      <c r="E326">
        <v>106.22</v>
      </c>
      <c r="F326" t="s">
        <v>265</v>
      </c>
      <c r="G326">
        <v>53.11</v>
      </c>
      <c r="H326">
        <v>127.46</v>
      </c>
      <c r="I326" t="s">
        <v>263</v>
      </c>
      <c r="J326" t="s">
        <v>295</v>
      </c>
      <c r="K326" t="s">
        <v>391</v>
      </c>
      <c r="L326" t="s">
        <v>170</v>
      </c>
      <c r="M326" t="s">
        <v>243</v>
      </c>
      <c r="N326" t="s">
        <v>12</v>
      </c>
      <c r="O326" t="s">
        <v>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243</v>
      </c>
      <c r="AH326" t="s">
        <v>12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127.46</v>
      </c>
      <c r="AN326">
        <f>$H$326*$T$326</f>
        <v>127.46</v>
      </c>
      <c r="AO326">
        <f>$H$326*$U$326</f>
        <v>127.46</v>
      </c>
      <c r="AP326">
        <f>$H$326*$V$326</f>
        <v>127.46</v>
      </c>
      <c r="AQ326">
        <f>$H$326*$W$326</f>
        <v>127.46</v>
      </c>
      <c r="AR326">
        <f>$H$326*$X$326</f>
        <v>127.46</v>
      </c>
      <c r="AS326">
        <f>$H$326*$Y$326</f>
        <v>127.46</v>
      </c>
      <c r="AT326">
        <f>$H$326*$Z$326</f>
        <v>127.46</v>
      </c>
      <c r="AU326">
        <f>$H$326*$AA$326</f>
        <v>127.46</v>
      </c>
      <c r="AV326">
        <f>$H$326*$AB$326</f>
        <v>127.46</v>
      </c>
      <c r="AW326">
        <f>$H$326*$AC$326</f>
        <v>127.46</v>
      </c>
      <c r="AX326">
        <f>$H$326*$AD$326</f>
        <v>127.46</v>
      </c>
      <c r="AY326">
        <f>$H$326*$AE$326</f>
        <v>127.46</v>
      </c>
      <c r="AZ326">
        <f>$H$326*$AF$326</f>
        <v>127.46</v>
      </c>
    </row>
    <row r="327" spans="1:52" x14ac:dyDescent="0.25">
      <c r="A327">
        <v>375</v>
      </c>
      <c r="B327" t="s">
        <v>243</v>
      </c>
      <c r="C327" t="s">
        <v>291</v>
      </c>
      <c r="D327">
        <v>1</v>
      </c>
      <c r="E327">
        <v>410.31</v>
      </c>
      <c r="F327" t="s">
        <v>265</v>
      </c>
      <c r="G327">
        <v>410.31</v>
      </c>
      <c r="H327">
        <v>492.37</v>
      </c>
      <c r="I327" t="s">
        <v>292</v>
      </c>
      <c r="J327" t="s">
        <v>293</v>
      </c>
      <c r="K327" t="s">
        <v>390</v>
      </c>
      <c r="L327" t="s">
        <v>170</v>
      </c>
      <c r="M327" t="s">
        <v>243</v>
      </c>
      <c r="N327" t="s">
        <v>12</v>
      </c>
      <c r="O327" t="s">
        <v>4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243</v>
      </c>
      <c r="AH327" t="s">
        <v>12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492.37</v>
      </c>
      <c r="AO327">
        <f>$H$327*$U$327</f>
        <v>492.37</v>
      </c>
      <c r="AP327">
        <f>$H$327*$V$327</f>
        <v>492.37</v>
      </c>
      <c r="AQ327">
        <f>$H$327*$W$327</f>
        <v>492.37</v>
      </c>
      <c r="AR327">
        <f>$H$327*$X$327</f>
        <v>492.37</v>
      </c>
      <c r="AS327">
        <f>$H$327*$Y$327</f>
        <v>492.37</v>
      </c>
      <c r="AT327">
        <f>$H$327*$Z$327</f>
        <v>492.37</v>
      </c>
      <c r="AU327">
        <f>$H$327*$AA$327</f>
        <v>492.37</v>
      </c>
      <c r="AV327">
        <f>$H$327*$AB$327</f>
        <v>492.37</v>
      </c>
      <c r="AW327">
        <f>$H$327*$AC$327</f>
        <v>492.37</v>
      </c>
      <c r="AX327">
        <f>$H$327*$AD$327</f>
        <v>492.37</v>
      </c>
      <c r="AY327">
        <f>$H$327*$AE$327</f>
        <v>492.37</v>
      </c>
      <c r="AZ327">
        <f>$H$327*$AF$327</f>
        <v>492.37</v>
      </c>
    </row>
    <row r="328" spans="1:52" x14ac:dyDescent="0.25">
      <c r="A328">
        <v>376</v>
      </c>
      <c r="B328" t="s">
        <v>243</v>
      </c>
      <c r="C328" t="s">
        <v>335</v>
      </c>
      <c r="D328">
        <v>17.8</v>
      </c>
      <c r="E328">
        <v>68.17</v>
      </c>
      <c r="F328" t="s">
        <v>262</v>
      </c>
      <c r="G328">
        <v>3.83</v>
      </c>
      <c r="H328">
        <v>81.81</v>
      </c>
      <c r="I328" t="s">
        <v>336</v>
      </c>
      <c r="J328" t="s">
        <v>337</v>
      </c>
      <c r="K328" t="s">
        <v>409</v>
      </c>
      <c r="L328" t="s">
        <v>170</v>
      </c>
      <c r="M328" t="s">
        <v>243</v>
      </c>
      <c r="N328" t="s">
        <v>12</v>
      </c>
      <c r="O328" t="s">
        <v>4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243</v>
      </c>
      <c r="AH328" t="s">
        <v>12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0</v>
      </c>
      <c r="AU328">
        <f>$H$328*$AA$328</f>
        <v>81.81</v>
      </c>
      <c r="AV328">
        <f>$H$328*$AB$328</f>
        <v>81.81</v>
      </c>
      <c r="AW328">
        <f>$H$328*$AC$328</f>
        <v>81.81</v>
      </c>
      <c r="AX328">
        <f>$H$328*$AD$328</f>
        <v>81.81</v>
      </c>
      <c r="AY328">
        <f>$H$328*$AE$328</f>
        <v>81.81</v>
      </c>
      <c r="AZ328">
        <f>$H$328*$AF$328</f>
        <v>81.81</v>
      </c>
    </row>
    <row r="329" spans="1:52" x14ac:dyDescent="0.25">
      <c r="A329">
        <v>377</v>
      </c>
      <c r="B329" t="s">
        <v>243</v>
      </c>
      <c r="C329" t="s">
        <v>338</v>
      </c>
      <c r="D329">
        <v>160.19999999999999</v>
      </c>
      <c r="E329">
        <v>530.26</v>
      </c>
      <c r="F329" t="s">
        <v>275</v>
      </c>
      <c r="G329">
        <v>3.31</v>
      </c>
      <c r="H329">
        <v>636.32000000000005</v>
      </c>
      <c r="I329" t="s">
        <v>336</v>
      </c>
      <c r="J329" t="s">
        <v>339</v>
      </c>
      <c r="K329" t="s">
        <v>410</v>
      </c>
      <c r="L329" t="s">
        <v>170</v>
      </c>
      <c r="M329" t="s">
        <v>243</v>
      </c>
      <c r="N329" t="s">
        <v>12</v>
      </c>
      <c r="O329" t="s">
        <v>4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243</v>
      </c>
      <c r="AH329" t="s">
        <v>12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636.32000000000005</v>
      </c>
      <c r="AN329">
        <f>$H$329*$T$329</f>
        <v>636.32000000000005</v>
      </c>
      <c r="AO329">
        <f>$H$329*$U$329</f>
        <v>636.32000000000005</v>
      </c>
      <c r="AP329">
        <f>$H$329*$V$329</f>
        <v>636.32000000000005</v>
      </c>
      <c r="AQ329">
        <f>$H$329*$W$329</f>
        <v>636.32000000000005</v>
      </c>
      <c r="AR329">
        <f>$H$329*$X$329</f>
        <v>636.32000000000005</v>
      </c>
      <c r="AS329">
        <f>$H$329*$Y$329</f>
        <v>636.32000000000005</v>
      </c>
      <c r="AT329">
        <f>$H$329*$Z$329</f>
        <v>636.32000000000005</v>
      </c>
      <c r="AU329">
        <f>$H$329*$AA$329</f>
        <v>636.32000000000005</v>
      </c>
      <c r="AV329">
        <f>$H$329*$AB$329</f>
        <v>636.32000000000005</v>
      </c>
      <c r="AW329">
        <f>$H$329*$AC$329</f>
        <v>636.32000000000005</v>
      </c>
      <c r="AX329">
        <f>$H$329*$AD$329</f>
        <v>636.32000000000005</v>
      </c>
      <c r="AY329">
        <f>$H$329*$AE$329</f>
        <v>636.32000000000005</v>
      </c>
      <c r="AZ329">
        <f>$H$329*$AF$329</f>
        <v>636.32000000000005</v>
      </c>
    </row>
    <row r="330" spans="1:52" x14ac:dyDescent="0.25">
      <c r="A330">
        <v>378</v>
      </c>
      <c r="B330" t="s">
        <v>243</v>
      </c>
      <c r="C330" t="s">
        <v>340</v>
      </c>
      <c r="D330">
        <v>160.19999999999999</v>
      </c>
      <c r="E330">
        <v>169.81</v>
      </c>
      <c r="F330" t="s">
        <v>275</v>
      </c>
      <c r="G330">
        <v>1.06</v>
      </c>
      <c r="H330">
        <v>203.77</v>
      </c>
      <c r="I330" t="s">
        <v>263</v>
      </c>
      <c r="J330" t="s">
        <v>341</v>
      </c>
      <c r="K330" t="s">
        <v>411</v>
      </c>
      <c r="L330" t="s">
        <v>170</v>
      </c>
      <c r="M330" t="s">
        <v>243</v>
      </c>
      <c r="N330" t="s">
        <v>12</v>
      </c>
      <c r="O330" t="s">
        <v>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1</v>
      </c>
      <c r="AE330">
        <v>1</v>
      </c>
      <c r="AF330">
        <v>1</v>
      </c>
      <c r="AG330" t="s">
        <v>243</v>
      </c>
      <c r="AH330" t="s">
        <v>12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0</v>
      </c>
      <c r="AV330">
        <f>$H$330*$AB$330</f>
        <v>0</v>
      </c>
      <c r="AW330">
        <f>$H$330*$AC$330</f>
        <v>0</v>
      </c>
      <c r="AX330">
        <f>$H$330*$AD$330</f>
        <v>203.77</v>
      </c>
      <c r="AY330">
        <f>$H$330*$AE$330</f>
        <v>203.77</v>
      </c>
      <c r="AZ330">
        <f>$H$330*$AF$330</f>
        <v>203.77</v>
      </c>
    </row>
    <row r="331" spans="1:52" x14ac:dyDescent="0.25">
      <c r="A331">
        <v>379</v>
      </c>
      <c r="B331" t="s">
        <v>243</v>
      </c>
      <c r="C331" t="s">
        <v>283</v>
      </c>
      <c r="D331">
        <v>200.25</v>
      </c>
      <c r="E331">
        <v>324.41000000000003</v>
      </c>
      <c r="F331" t="s">
        <v>275</v>
      </c>
      <c r="G331">
        <v>1.62</v>
      </c>
      <c r="H331">
        <v>389.29</v>
      </c>
      <c r="I331" t="s">
        <v>263</v>
      </c>
      <c r="J331" t="s">
        <v>284</v>
      </c>
      <c r="K331" t="s">
        <v>387</v>
      </c>
      <c r="L331" t="s">
        <v>170</v>
      </c>
      <c r="M331" t="s">
        <v>243</v>
      </c>
      <c r="N331" t="s">
        <v>12</v>
      </c>
      <c r="O331" t="s">
        <v>4</v>
      </c>
      <c r="P331">
        <v>0</v>
      </c>
      <c r="Q331">
        <v>0</v>
      </c>
      <c r="R331">
        <v>0</v>
      </c>
      <c r="S331">
        <v>0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243</v>
      </c>
      <c r="AH331" t="s">
        <v>12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389.29</v>
      </c>
      <c r="AO331">
        <f>$H$331*$U$331</f>
        <v>389.29</v>
      </c>
      <c r="AP331">
        <f>$H$331*$V$331</f>
        <v>389.29</v>
      </c>
      <c r="AQ331">
        <f>$H$331*$W$331</f>
        <v>389.29</v>
      </c>
      <c r="AR331">
        <f>$H$331*$X$331</f>
        <v>389.29</v>
      </c>
      <c r="AS331">
        <f>$H$331*$Y$331</f>
        <v>389.29</v>
      </c>
      <c r="AT331">
        <f>$H$331*$Z$331</f>
        <v>389.29</v>
      </c>
      <c r="AU331">
        <f>$H$331*$AA$331</f>
        <v>389.29</v>
      </c>
      <c r="AV331">
        <f>$H$331*$AB$331</f>
        <v>389.29</v>
      </c>
      <c r="AW331">
        <f>$H$331*$AC$331</f>
        <v>389.29</v>
      </c>
      <c r="AX331">
        <f>$H$331*$AD$331</f>
        <v>389.29</v>
      </c>
      <c r="AY331">
        <f>$H$331*$AE$331</f>
        <v>389.29</v>
      </c>
      <c r="AZ331">
        <f>$H$331*$AF$331</f>
        <v>389.29</v>
      </c>
    </row>
    <row r="332" spans="1:52" x14ac:dyDescent="0.25">
      <c r="A332">
        <v>380</v>
      </c>
      <c r="B332" t="s">
        <v>243</v>
      </c>
      <c r="C332" t="s">
        <v>526</v>
      </c>
      <c r="D332">
        <v>40.049999999999997</v>
      </c>
      <c r="E332">
        <v>169.41</v>
      </c>
      <c r="F332" t="s">
        <v>275</v>
      </c>
      <c r="G332">
        <v>4.2300000000000004</v>
      </c>
      <c r="H332">
        <v>203.29</v>
      </c>
      <c r="I332" t="s">
        <v>527</v>
      </c>
      <c r="J332" t="s">
        <v>309</v>
      </c>
      <c r="K332" t="s">
        <v>644</v>
      </c>
      <c r="L332" t="s">
        <v>170</v>
      </c>
      <c r="M332" t="s">
        <v>243</v>
      </c>
      <c r="N332" t="s">
        <v>12</v>
      </c>
      <c r="O332" t="s">
        <v>4</v>
      </c>
      <c r="P332">
        <v>0</v>
      </c>
      <c r="Q332">
        <v>0</v>
      </c>
      <c r="R332">
        <v>0</v>
      </c>
      <c r="S332">
        <v>0.25</v>
      </c>
      <c r="T332">
        <v>0.25</v>
      </c>
      <c r="U332">
        <v>0.25</v>
      </c>
      <c r="V332">
        <v>0.25</v>
      </c>
      <c r="W332">
        <v>0.25</v>
      </c>
      <c r="X332">
        <v>0.5</v>
      </c>
      <c r="Y332">
        <v>0.5</v>
      </c>
      <c r="Z332">
        <v>0.5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243</v>
      </c>
      <c r="AH332" t="s">
        <v>12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50.822499999999998</v>
      </c>
      <c r="AN332">
        <f>$H$332*$T$332</f>
        <v>50.822499999999998</v>
      </c>
      <c r="AO332">
        <f>$H$332*$U$332</f>
        <v>50.822499999999998</v>
      </c>
      <c r="AP332">
        <f>$H$332*$V$332</f>
        <v>50.822499999999998</v>
      </c>
      <c r="AQ332">
        <f>$H$332*$W$332</f>
        <v>50.822499999999998</v>
      </c>
      <c r="AR332">
        <f>$H$332*$X$332</f>
        <v>101.645</v>
      </c>
      <c r="AS332">
        <f>$H$332*$Y$332</f>
        <v>101.645</v>
      </c>
      <c r="AT332">
        <f>$H$332*$Z$332</f>
        <v>101.645</v>
      </c>
      <c r="AU332">
        <f>$H$332*$AA$332</f>
        <v>203.29</v>
      </c>
      <c r="AV332">
        <f>$H$332*$AB$332</f>
        <v>203.29</v>
      </c>
      <c r="AW332">
        <f>$H$332*$AC$332</f>
        <v>203.29</v>
      </c>
      <c r="AX332">
        <f>$H$332*$AD$332</f>
        <v>203.29</v>
      </c>
      <c r="AY332">
        <f>$H$332*$AE$332</f>
        <v>203.29</v>
      </c>
      <c r="AZ332">
        <f>$H$332*$AF$332</f>
        <v>203.29</v>
      </c>
    </row>
    <row r="333" spans="1:52" x14ac:dyDescent="0.25">
      <c r="A333">
        <v>381</v>
      </c>
      <c r="B333" t="s">
        <v>243</v>
      </c>
      <c r="C333" t="s">
        <v>285</v>
      </c>
      <c r="D333">
        <v>400.5</v>
      </c>
      <c r="E333">
        <v>1654.07</v>
      </c>
      <c r="F333" t="s">
        <v>275</v>
      </c>
      <c r="G333">
        <v>4.13</v>
      </c>
      <c r="H333">
        <v>1984.89</v>
      </c>
      <c r="I333" t="s">
        <v>286</v>
      </c>
      <c r="J333" t="s">
        <v>287</v>
      </c>
      <c r="K333" t="s">
        <v>388</v>
      </c>
      <c r="L333" t="s">
        <v>170</v>
      </c>
      <c r="M333" t="s">
        <v>243</v>
      </c>
      <c r="N333" t="s">
        <v>12</v>
      </c>
      <c r="O333" t="s">
        <v>4</v>
      </c>
      <c r="P333">
        <v>0</v>
      </c>
      <c r="Q333">
        <v>0</v>
      </c>
      <c r="R333">
        <v>0</v>
      </c>
      <c r="S333">
        <v>0.25</v>
      </c>
      <c r="T333">
        <v>0.25</v>
      </c>
      <c r="U333">
        <v>0.25</v>
      </c>
      <c r="V333">
        <v>0.25</v>
      </c>
      <c r="W333">
        <v>0.5</v>
      </c>
      <c r="X333">
        <v>0.5</v>
      </c>
      <c r="Y333">
        <v>0.5</v>
      </c>
      <c r="Z333">
        <v>0.5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243</v>
      </c>
      <c r="AH333" t="s">
        <v>12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496.22250000000003</v>
      </c>
      <c r="AN333">
        <f>$H$333*$T$333</f>
        <v>496.22250000000003</v>
      </c>
      <c r="AO333">
        <f>$H$333*$U$333</f>
        <v>496.22250000000003</v>
      </c>
      <c r="AP333">
        <f>$H$333*$V$333</f>
        <v>496.22250000000003</v>
      </c>
      <c r="AQ333">
        <f>$H$333*$W$333</f>
        <v>992.44500000000005</v>
      </c>
      <c r="AR333">
        <f>$H$333*$X$333</f>
        <v>992.44500000000005</v>
      </c>
      <c r="AS333">
        <f>$H$333*$Y$333</f>
        <v>992.44500000000005</v>
      </c>
      <c r="AT333">
        <f>$H$333*$Z$333</f>
        <v>992.44500000000005</v>
      </c>
      <c r="AU333">
        <f>$H$333*$AA$333</f>
        <v>1984.89</v>
      </c>
      <c r="AV333">
        <f>$H$333*$AB$333</f>
        <v>1984.89</v>
      </c>
      <c r="AW333">
        <f>$H$333*$AC$333</f>
        <v>1984.89</v>
      </c>
      <c r="AX333">
        <f>$H$333*$AD$333</f>
        <v>1984.89</v>
      </c>
      <c r="AY333">
        <f>$H$333*$AE$333</f>
        <v>1984.89</v>
      </c>
      <c r="AZ333">
        <f>$H$333*$AF$333</f>
        <v>1984.89</v>
      </c>
    </row>
    <row r="334" spans="1:52" x14ac:dyDescent="0.25">
      <c r="A334">
        <v>382</v>
      </c>
      <c r="B334" t="s">
        <v>243</v>
      </c>
      <c r="C334" t="s">
        <v>372</v>
      </c>
      <c r="D334">
        <v>44.5</v>
      </c>
      <c r="E334">
        <v>80.55</v>
      </c>
      <c r="F334" t="s">
        <v>262</v>
      </c>
      <c r="G334">
        <v>1.81</v>
      </c>
      <c r="H334">
        <v>96.67</v>
      </c>
      <c r="I334" t="s">
        <v>263</v>
      </c>
      <c r="J334" t="s">
        <v>373</v>
      </c>
      <c r="K334" t="s">
        <v>426</v>
      </c>
      <c r="L334" t="s">
        <v>170</v>
      </c>
      <c r="M334" t="s">
        <v>243</v>
      </c>
      <c r="N334" t="s">
        <v>12</v>
      </c>
      <c r="O334" t="s">
        <v>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243</v>
      </c>
      <c r="AH334" t="s">
        <v>12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96.67</v>
      </c>
      <c r="AV334">
        <f>$H$334*$AB$334</f>
        <v>96.67</v>
      </c>
      <c r="AW334">
        <f>$H$334*$AC$334</f>
        <v>96.67</v>
      </c>
      <c r="AX334">
        <f>$H$334*$AD$334</f>
        <v>96.67</v>
      </c>
      <c r="AY334">
        <f>$H$334*$AE$334</f>
        <v>96.67</v>
      </c>
      <c r="AZ334">
        <f>$H$334*$AF$334</f>
        <v>96.67</v>
      </c>
    </row>
    <row r="335" spans="1:52" x14ac:dyDescent="0.25">
      <c r="A335">
        <v>383</v>
      </c>
      <c r="B335" t="s">
        <v>243</v>
      </c>
      <c r="C335" t="s">
        <v>374</v>
      </c>
      <c r="D335">
        <v>44.5</v>
      </c>
      <c r="E335">
        <v>388.93</v>
      </c>
      <c r="F335" t="s">
        <v>262</v>
      </c>
      <c r="G335">
        <v>8.74</v>
      </c>
      <c r="H335">
        <v>466.71</v>
      </c>
      <c r="I335" t="s">
        <v>264</v>
      </c>
      <c r="J335" t="s">
        <v>375</v>
      </c>
      <c r="K335" t="s">
        <v>427</v>
      </c>
      <c r="L335" t="s">
        <v>170</v>
      </c>
      <c r="M335" t="s">
        <v>243</v>
      </c>
      <c r="N335" t="s">
        <v>12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243</v>
      </c>
      <c r="AH335" t="s">
        <v>12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466.71</v>
      </c>
      <c r="AV335">
        <f>$H$335*$AB$335</f>
        <v>466.71</v>
      </c>
      <c r="AW335">
        <f>$H$335*$AC$335</f>
        <v>466.71</v>
      </c>
      <c r="AX335">
        <f>$H$335*$AD$335</f>
        <v>466.71</v>
      </c>
      <c r="AY335">
        <f>$H$335*$AE$335</f>
        <v>466.71</v>
      </c>
      <c r="AZ335">
        <f>$H$335*$AF$335</f>
        <v>466.71</v>
      </c>
    </row>
    <row r="336" spans="1:52" x14ac:dyDescent="0.25">
      <c r="A336">
        <v>384</v>
      </c>
      <c r="B336" t="s">
        <v>243</v>
      </c>
      <c r="C336" t="s">
        <v>342</v>
      </c>
      <c r="D336">
        <v>44.5</v>
      </c>
      <c r="E336">
        <v>117.48</v>
      </c>
      <c r="F336" t="s">
        <v>262</v>
      </c>
      <c r="G336">
        <v>2.64</v>
      </c>
      <c r="H336">
        <v>140.97999999999999</v>
      </c>
      <c r="I336" t="s">
        <v>263</v>
      </c>
      <c r="J336" t="s">
        <v>343</v>
      </c>
      <c r="K336" t="s">
        <v>412</v>
      </c>
      <c r="L336" t="s">
        <v>170</v>
      </c>
      <c r="M336" t="s">
        <v>243</v>
      </c>
      <c r="N336" t="s">
        <v>12</v>
      </c>
      <c r="O336" t="s">
        <v>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243</v>
      </c>
      <c r="AH336" t="s">
        <v>12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140.97999999999999</v>
      </c>
      <c r="AN336">
        <f>$H$336*$T$336</f>
        <v>140.97999999999999</v>
      </c>
      <c r="AO336">
        <f>$H$336*$U$336</f>
        <v>140.97999999999999</v>
      </c>
      <c r="AP336">
        <f>$H$336*$V$336</f>
        <v>140.97999999999999</v>
      </c>
      <c r="AQ336">
        <f>$H$336*$W$336</f>
        <v>140.97999999999999</v>
      </c>
      <c r="AR336">
        <f>$H$336*$X$336</f>
        <v>140.97999999999999</v>
      </c>
      <c r="AS336">
        <f>$H$336*$Y$336</f>
        <v>140.97999999999999</v>
      </c>
      <c r="AT336">
        <f>$H$336*$Z$336</f>
        <v>140.97999999999999</v>
      </c>
      <c r="AU336">
        <f>$H$336*$AA$336</f>
        <v>140.97999999999999</v>
      </c>
      <c r="AV336">
        <f>$H$336*$AB$336</f>
        <v>140.97999999999999</v>
      </c>
      <c r="AW336">
        <f>$H$336*$AC$336</f>
        <v>140.97999999999999</v>
      </c>
      <c r="AX336">
        <f>$H$336*$AD$336</f>
        <v>140.97999999999999</v>
      </c>
      <c r="AY336">
        <f>$H$336*$AE$336</f>
        <v>140.97999999999999</v>
      </c>
      <c r="AZ336">
        <f>$H$336*$AF$336</f>
        <v>140.97999999999999</v>
      </c>
    </row>
    <row r="337" spans="1:52" x14ac:dyDescent="0.25">
      <c r="A337">
        <v>385</v>
      </c>
      <c r="B337" t="s">
        <v>243</v>
      </c>
      <c r="C337" t="s">
        <v>344</v>
      </c>
      <c r="D337">
        <v>44.5</v>
      </c>
      <c r="E337">
        <v>275.45999999999998</v>
      </c>
      <c r="F337" t="s">
        <v>262</v>
      </c>
      <c r="G337">
        <v>6.19</v>
      </c>
      <c r="H337">
        <v>330.56</v>
      </c>
      <c r="I337" t="s">
        <v>264</v>
      </c>
      <c r="J337" t="s">
        <v>345</v>
      </c>
      <c r="K337" t="s">
        <v>413</v>
      </c>
      <c r="L337" t="s">
        <v>170</v>
      </c>
      <c r="M337" t="s">
        <v>243</v>
      </c>
      <c r="N337" t="s">
        <v>12</v>
      </c>
      <c r="O337" t="s">
        <v>4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243</v>
      </c>
      <c r="AH337" t="s">
        <v>12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330.56</v>
      </c>
      <c r="AN337">
        <f>$H$337*$T$337</f>
        <v>330.56</v>
      </c>
      <c r="AO337">
        <f>$H$337*$U$337</f>
        <v>330.56</v>
      </c>
      <c r="AP337">
        <f>$H$337*$V$337</f>
        <v>330.56</v>
      </c>
      <c r="AQ337">
        <f>$H$337*$W$337</f>
        <v>330.56</v>
      </c>
      <c r="AR337">
        <f>$H$337*$X$337</f>
        <v>330.56</v>
      </c>
      <c r="AS337">
        <f>$H$337*$Y$337</f>
        <v>330.56</v>
      </c>
      <c r="AT337">
        <f>$H$337*$Z$337</f>
        <v>330.56</v>
      </c>
      <c r="AU337">
        <f>$H$337*$AA$337</f>
        <v>330.56</v>
      </c>
      <c r="AV337">
        <f>$H$337*$AB$337</f>
        <v>330.56</v>
      </c>
      <c r="AW337">
        <f>$H$337*$AC$337</f>
        <v>330.56</v>
      </c>
      <c r="AX337">
        <f>$H$337*$AD$337</f>
        <v>330.56</v>
      </c>
      <c r="AY337">
        <f>$H$337*$AE$337</f>
        <v>330.56</v>
      </c>
      <c r="AZ337">
        <f>$H$337*$AF$337</f>
        <v>330.56</v>
      </c>
    </row>
    <row r="338" spans="1:52" x14ac:dyDescent="0.25">
      <c r="A338">
        <v>386</v>
      </c>
      <c r="B338" t="s">
        <v>243</v>
      </c>
      <c r="C338" t="s">
        <v>285</v>
      </c>
      <c r="D338">
        <v>173.92</v>
      </c>
      <c r="E338">
        <v>718.29</v>
      </c>
      <c r="F338" t="s">
        <v>275</v>
      </c>
      <c r="G338">
        <v>4.13</v>
      </c>
      <c r="H338">
        <v>861.95</v>
      </c>
      <c r="I338" t="s">
        <v>286</v>
      </c>
      <c r="J338" t="s">
        <v>287</v>
      </c>
      <c r="K338" t="s">
        <v>388</v>
      </c>
      <c r="L338" t="s">
        <v>170</v>
      </c>
      <c r="M338" t="s">
        <v>243</v>
      </c>
      <c r="N338" t="s">
        <v>12</v>
      </c>
      <c r="O338" t="s">
        <v>4</v>
      </c>
      <c r="P338">
        <v>0</v>
      </c>
      <c r="Q338">
        <v>0</v>
      </c>
      <c r="R338">
        <v>0</v>
      </c>
      <c r="S338">
        <v>0.25</v>
      </c>
      <c r="T338">
        <v>0.25</v>
      </c>
      <c r="U338">
        <v>0.25</v>
      </c>
      <c r="V338">
        <v>0.25</v>
      </c>
      <c r="W338">
        <v>0.5</v>
      </c>
      <c r="X338">
        <v>0.5</v>
      </c>
      <c r="Y338">
        <v>0.5</v>
      </c>
      <c r="Z338">
        <v>0.5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243</v>
      </c>
      <c r="AH338" t="s">
        <v>12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215.48750000000001</v>
      </c>
      <c r="AN338">
        <f>$H$338*$T$338</f>
        <v>215.48750000000001</v>
      </c>
      <c r="AO338">
        <f>$H$338*$U$338</f>
        <v>215.48750000000001</v>
      </c>
      <c r="AP338">
        <f>$H$338*$V$338</f>
        <v>215.48750000000001</v>
      </c>
      <c r="AQ338">
        <f>$H$338*$W$338</f>
        <v>430.97500000000002</v>
      </c>
      <c r="AR338">
        <f>$H$338*$X$338</f>
        <v>430.97500000000002</v>
      </c>
      <c r="AS338">
        <f>$H$338*$Y$338</f>
        <v>430.97500000000002</v>
      </c>
      <c r="AT338">
        <f>$H$338*$Z$338</f>
        <v>430.97500000000002</v>
      </c>
      <c r="AU338">
        <f>$H$338*$AA$338</f>
        <v>861.95</v>
      </c>
      <c r="AV338">
        <f>$H$338*$AB$338</f>
        <v>861.95</v>
      </c>
      <c r="AW338">
        <f>$H$338*$AC$338</f>
        <v>861.95</v>
      </c>
      <c r="AX338">
        <f>$H$338*$AD$338</f>
        <v>861.95</v>
      </c>
      <c r="AY338">
        <f>$H$338*$AE$338</f>
        <v>861.95</v>
      </c>
      <c r="AZ338">
        <f>$H$338*$AF$338</f>
        <v>861.95</v>
      </c>
    </row>
    <row r="339" spans="1:52" x14ac:dyDescent="0.25">
      <c r="A339">
        <v>387</v>
      </c>
      <c r="B339" t="s">
        <v>243</v>
      </c>
      <c r="C339" t="s">
        <v>340</v>
      </c>
      <c r="D339">
        <v>173.92</v>
      </c>
      <c r="E339">
        <v>184.36</v>
      </c>
      <c r="F339" t="s">
        <v>275</v>
      </c>
      <c r="G339">
        <v>1.06</v>
      </c>
      <c r="H339">
        <v>221.24</v>
      </c>
      <c r="I339" t="s">
        <v>263</v>
      </c>
      <c r="J339" t="s">
        <v>341</v>
      </c>
      <c r="K339" t="s">
        <v>411</v>
      </c>
      <c r="L339" t="s">
        <v>170</v>
      </c>
      <c r="M339" t="s">
        <v>243</v>
      </c>
      <c r="N339" t="s">
        <v>12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1</v>
      </c>
      <c r="AF339">
        <v>1</v>
      </c>
      <c r="AG339" t="s">
        <v>243</v>
      </c>
      <c r="AH339" t="s">
        <v>12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0</v>
      </c>
      <c r="AX339">
        <f>$H$339*$AD$339</f>
        <v>221.24</v>
      </c>
      <c r="AY339">
        <f>$H$339*$AE$339</f>
        <v>221.24</v>
      </c>
      <c r="AZ339">
        <f>$H$339*$AF$339</f>
        <v>221.24</v>
      </c>
    </row>
    <row r="340" spans="1:52" x14ac:dyDescent="0.25">
      <c r="A340">
        <v>388</v>
      </c>
      <c r="B340" t="s">
        <v>243</v>
      </c>
      <c r="C340" t="s">
        <v>346</v>
      </c>
      <c r="D340">
        <v>173.92</v>
      </c>
      <c r="E340">
        <v>194.79</v>
      </c>
      <c r="F340" t="s">
        <v>275</v>
      </c>
      <c r="G340">
        <v>1.1200000000000001</v>
      </c>
      <c r="H340">
        <v>233.75</v>
      </c>
      <c r="I340" t="s">
        <v>263</v>
      </c>
      <c r="J340" t="s">
        <v>347</v>
      </c>
      <c r="K340" t="s">
        <v>414</v>
      </c>
      <c r="L340" t="s">
        <v>170</v>
      </c>
      <c r="M340" t="s">
        <v>243</v>
      </c>
      <c r="N340" t="s">
        <v>12</v>
      </c>
      <c r="O340" t="s">
        <v>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243</v>
      </c>
      <c r="AH340" t="s">
        <v>12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233.75</v>
      </c>
      <c r="AN340">
        <f>$H$340*$T$340</f>
        <v>233.75</v>
      </c>
      <c r="AO340">
        <f>$H$340*$U$340</f>
        <v>233.75</v>
      </c>
      <c r="AP340">
        <f>$H$340*$V$340</f>
        <v>233.75</v>
      </c>
      <c r="AQ340">
        <f>$H$340*$W$340</f>
        <v>233.75</v>
      </c>
      <c r="AR340">
        <f>$H$340*$X$340</f>
        <v>233.75</v>
      </c>
      <c r="AS340">
        <f>$H$340*$Y$340</f>
        <v>233.75</v>
      </c>
      <c r="AT340">
        <f>$H$340*$Z$340</f>
        <v>233.75</v>
      </c>
      <c r="AU340">
        <f>$H$340*$AA$340</f>
        <v>233.75</v>
      </c>
      <c r="AV340">
        <f>$H$340*$AB$340</f>
        <v>233.75</v>
      </c>
      <c r="AW340">
        <f>$H$340*$AC$340</f>
        <v>233.75</v>
      </c>
      <c r="AX340">
        <f>$H$340*$AD$340</f>
        <v>233.75</v>
      </c>
      <c r="AY340">
        <f>$H$340*$AE$340</f>
        <v>233.75</v>
      </c>
      <c r="AZ340">
        <f>$H$340*$AF$340</f>
        <v>233.75</v>
      </c>
    </row>
    <row r="341" spans="1:52" x14ac:dyDescent="0.25">
      <c r="A341">
        <v>389</v>
      </c>
      <c r="B341" t="s">
        <v>243</v>
      </c>
      <c r="C341" t="s">
        <v>528</v>
      </c>
      <c r="D341">
        <v>24.6</v>
      </c>
      <c r="E341">
        <v>515.37</v>
      </c>
      <c r="F341" t="s">
        <v>275</v>
      </c>
      <c r="G341">
        <v>20.95</v>
      </c>
      <c r="H341">
        <v>618.45000000000005</v>
      </c>
      <c r="I341" t="s">
        <v>348</v>
      </c>
      <c r="J341" t="s">
        <v>529</v>
      </c>
      <c r="K341" t="s">
        <v>645</v>
      </c>
      <c r="L341" t="s">
        <v>170</v>
      </c>
      <c r="M341" t="s">
        <v>243</v>
      </c>
      <c r="N341" t="s">
        <v>12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243</v>
      </c>
      <c r="AH341" t="s">
        <v>12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618.45000000000005</v>
      </c>
      <c r="AT341">
        <f>$H$341*$Z$341</f>
        <v>618.45000000000005</v>
      </c>
      <c r="AU341">
        <f>$H$341*$AA$341</f>
        <v>618.45000000000005</v>
      </c>
      <c r="AV341">
        <f>$H$341*$AB$341</f>
        <v>618.45000000000005</v>
      </c>
      <c r="AW341">
        <f>$H$341*$AC$341</f>
        <v>618.45000000000005</v>
      </c>
      <c r="AX341">
        <f>$H$341*$AD$341</f>
        <v>618.45000000000005</v>
      </c>
      <c r="AY341">
        <f>$H$341*$AE$341</f>
        <v>618.45000000000005</v>
      </c>
      <c r="AZ341">
        <f>$H$341*$AF$341</f>
        <v>618.45000000000005</v>
      </c>
    </row>
    <row r="342" spans="1:52" x14ac:dyDescent="0.25">
      <c r="A342">
        <v>390</v>
      </c>
      <c r="B342" t="s">
        <v>243</v>
      </c>
      <c r="C342" t="s">
        <v>349</v>
      </c>
      <c r="D342">
        <v>49.2</v>
      </c>
      <c r="E342">
        <v>209.59</v>
      </c>
      <c r="F342" t="s">
        <v>275</v>
      </c>
      <c r="G342">
        <v>4.26</v>
      </c>
      <c r="H342">
        <v>251.51</v>
      </c>
      <c r="I342" t="s">
        <v>350</v>
      </c>
      <c r="J342" t="s">
        <v>351</v>
      </c>
      <c r="K342" t="s">
        <v>415</v>
      </c>
      <c r="L342" t="s">
        <v>170</v>
      </c>
      <c r="M342" t="s">
        <v>243</v>
      </c>
      <c r="N342" t="s">
        <v>12</v>
      </c>
      <c r="O342" t="s">
        <v>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243</v>
      </c>
      <c r="AH342" t="s">
        <v>12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251.51</v>
      </c>
      <c r="AN342">
        <f>$H$342*$T$342</f>
        <v>251.51</v>
      </c>
      <c r="AO342">
        <f>$H$342*$U$342</f>
        <v>251.51</v>
      </c>
      <c r="AP342">
        <f>$H$342*$V$342</f>
        <v>251.51</v>
      </c>
      <c r="AQ342">
        <f>$H$342*$W$342</f>
        <v>251.51</v>
      </c>
      <c r="AR342">
        <f>$H$342*$X$342</f>
        <v>251.51</v>
      </c>
      <c r="AS342">
        <f>$H$342*$Y$342</f>
        <v>251.51</v>
      </c>
      <c r="AT342">
        <f>$H$342*$Z$342</f>
        <v>251.51</v>
      </c>
      <c r="AU342">
        <f>$H$342*$AA$342</f>
        <v>251.51</v>
      </c>
      <c r="AV342">
        <f>$H$342*$AB$342</f>
        <v>251.51</v>
      </c>
      <c r="AW342">
        <f>$H$342*$AC$342</f>
        <v>251.51</v>
      </c>
      <c r="AX342">
        <f>$H$342*$AD$342</f>
        <v>251.51</v>
      </c>
      <c r="AY342">
        <f>$H$342*$AE$342</f>
        <v>251.51</v>
      </c>
      <c r="AZ342">
        <f>$H$342*$AF$342</f>
        <v>251.51</v>
      </c>
    </row>
    <row r="343" spans="1:52" x14ac:dyDescent="0.25">
      <c r="A343">
        <v>391</v>
      </c>
      <c r="B343" t="s">
        <v>243</v>
      </c>
      <c r="C343" t="s">
        <v>352</v>
      </c>
      <c r="D343">
        <v>49.2</v>
      </c>
      <c r="E343">
        <v>528.41</v>
      </c>
      <c r="F343" t="s">
        <v>275</v>
      </c>
      <c r="G343">
        <v>10.74</v>
      </c>
      <c r="H343">
        <v>634.09</v>
      </c>
      <c r="I343" t="s">
        <v>350</v>
      </c>
      <c r="J343" t="s">
        <v>293</v>
      </c>
      <c r="K343" t="s">
        <v>416</v>
      </c>
      <c r="L343" t="s">
        <v>170</v>
      </c>
      <c r="M343" t="s">
        <v>243</v>
      </c>
      <c r="N343" t="s">
        <v>12</v>
      </c>
      <c r="O343" t="s">
        <v>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243</v>
      </c>
      <c r="AH343" t="s">
        <v>12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634.09</v>
      </c>
      <c r="AN343">
        <f>$H$343*$T$343</f>
        <v>634.09</v>
      </c>
      <c r="AO343">
        <f>$H$343*$U$343</f>
        <v>634.09</v>
      </c>
      <c r="AP343">
        <f>$H$343*$V$343</f>
        <v>634.09</v>
      </c>
      <c r="AQ343">
        <f>$H$343*$W$343</f>
        <v>634.09</v>
      </c>
      <c r="AR343">
        <f>$H$343*$X$343</f>
        <v>634.09</v>
      </c>
      <c r="AS343">
        <f>$H$343*$Y$343</f>
        <v>634.09</v>
      </c>
      <c r="AT343">
        <f>$H$343*$Z$343</f>
        <v>634.09</v>
      </c>
      <c r="AU343">
        <f>$H$343*$AA$343</f>
        <v>634.09</v>
      </c>
      <c r="AV343">
        <f>$H$343*$AB$343</f>
        <v>634.09</v>
      </c>
      <c r="AW343">
        <f>$H$343*$AC$343</f>
        <v>634.09</v>
      </c>
      <c r="AX343">
        <f>$H$343*$AD$343</f>
        <v>634.09</v>
      </c>
      <c r="AY343">
        <f>$H$343*$AE$343</f>
        <v>634.09</v>
      </c>
      <c r="AZ343">
        <f>$H$343*$AF$343</f>
        <v>634.09</v>
      </c>
    </row>
    <row r="344" spans="1:52" x14ac:dyDescent="0.25">
      <c r="A344">
        <v>392</v>
      </c>
      <c r="B344" t="s">
        <v>243</v>
      </c>
      <c r="C344" t="s">
        <v>530</v>
      </c>
      <c r="D344">
        <v>56.58</v>
      </c>
      <c r="E344">
        <v>59.97</v>
      </c>
      <c r="F344" t="s">
        <v>275</v>
      </c>
      <c r="G344">
        <v>1.06</v>
      </c>
      <c r="H344">
        <v>71.97</v>
      </c>
      <c r="I344" t="s">
        <v>353</v>
      </c>
      <c r="J344" t="s">
        <v>531</v>
      </c>
      <c r="K344" t="s">
        <v>646</v>
      </c>
      <c r="L344" t="s">
        <v>170</v>
      </c>
      <c r="M344" t="s">
        <v>243</v>
      </c>
      <c r="N344" t="s">
        <v>12</v>
      </c>
      <c r="O344" t="s">
        <v>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243</v>
      </c>
      <c r="AH344" t="s">
        <v>12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71.97</v>
      </c>
      <c r="AN344">
        <f>$H$344*$T$344</f>
        <v>71.97</v>
      </c>
      <c r="AO344">
        <f>$H$344*$U$344</f>
        <v>71.97</v>
      </c>
      <c r="AP344">
        <f>$H$344*$V$344</f>
        <v>71.97</v>
      </c>
      <c r="AQ344">
        <f>$H$344*$W$344</f>
        <v>71.97</v>
      </c>
      <c r="AR344">
        <f>$H$344*$X$344</f>
        <v>71.97</v>
      </c>
      <c r="AS344">
        <f>$H$344*$Y$344</f>
        <v>71.97</v>
      </c>
      <c r="AT344">
        <f>$H$344*$Z$344</f>
        <v>71.97</v>
      </c>
      <c r="AU344">
        <f>$H$344*$AA$344</f>
        <v>71.97</v>
      </c>
      <c r="AV344">
        <f>$H$344*$AB$344</f>
        <v>71.97</v>
      </c>
      <c r="AW344">
        <f>$H$344*$AC$344</f>
        <v>71.97</v>
      </c>
      <c r="AX344">
        <f>$H$344*$AD$344</f>
        <v>71.97</v>
      </c>
      <c r="AY344">
        <f>$H$344*$AE$344</f>
        <v>71.97</v>
      </c>
      <c r="AZ344">
        <f>$H$344*$AF$344</f>
        <v>71.97</v>
      </c>
    </row>
    <row r="345" spans="1:52" x14ac:dyDescent="0.25">
      <c r="A345">
        <v>393</v>
      </c>
      <c r="B345" t="s">
        <v>243</v>
      </c>
      <c r="C345" t="s">
        <v>532</v>
      </c>
      <c r="D345">
        <v>56.58</v>
      </c>
      <c r="E345">
        <v>488.29</v>
      </c>
      <c r="F345" t="s">
        <v>275</v>
      </c>
      <c r="G345">
        <v>8.6300000000000008</v>
      </c>
      <c r="H345">
        <v>585.95000000000005</v>
      </c>
      <c r="I345" t="s">
        <v>353</v>
      </c>
      <c r="J345" t="s">
        <v>529</v>
      </c>
      <c r="K345" t="s">
        <v>647</v>
      </c>
      <c r="L345" t="s">
        <v>170</v>
      </c>
      <c r="M345" t="s">
        <v>243</v>
      </c>
      <c r="N345" t="s">
        <v>12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243</v>
      </c>
      <c r="AH345" t="s">
        <v>12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585.95000000000005</v>
      </c>
      <c r="AN345">
        <f>$H$345*$T$345</f>
        <v>585.95000000000005</v>
      </c>
      <c r="AO345">
        <f>$H$345*$U$345</f>
        <v>585.95000000000005</v>
      </c>
      <c r="AP345">
        <f>$H$345*$V$345</f>
        <v>585.95000000000005</v>
      </c>
      <c r="AQ345">
        <f>$H$345*$W$345</f>
        <v>585.95000000000005</v>
      </c>
      <c r="AR345">
        <f>$H$345*$X$345</f>
        <v>585.95000000000005</v>
      </c>
      <c r="AS345">
        <f>$H$345*$Y$345</f>
        <v>585.95000000000005</v>
      </c>
      <c r="AT345">
        <f>$H$345*$Z$345</f>
        <v>585.95000000000005</v>
      </c>
      <c r="AU345">
        <f>$H$345*$AA$345</f>
        <v>585.95000000000005</v>
      </c>
      <c r="AV345">
        <f>$H$345*$AB$345</f>
        <v>585.95000000000005</v>
      </c>
      <c r="AW345">
        <f>$H$345*$AC$345</f>
        <v>585.95000000000005</v>
      </c>
      <c r="AX345">
        <f>$H$345*$AD$345</f>
        <v>585.95000000000005</v>
      </c>
      <c r="AY345">
        <f>$H$345*$AE$345</f>
        <v>585.95000000000005</v>
      </c>
      <c r="AZ345">
        <f>$H$345*$AF$345</f>
        <v>585.95000000000005</v>
      </c>
    </row>
    <row r="346" spans="1:52" x14ac:dyDescent="0.25">
      <c r="A346">
        <v>394</v>
      </c>
      <c r="B346" t="s">
        <v>7</v>
      </c>
      <c r="C346" t="s">
        <v>581</v>
      </c>
      <c r="D346">
        <v>10</v>
      </c>
      <c r="E346">
        <v>843.2</v>
      </c>
      <c r="F346" t="s">
        <v>265</v>
      </c>
      <c r="G346">
        <v>84.32</v>
      </c>
      <c r="H346">
        <v>1011.84</v>
      </c>
      <c r="I346" t="s">
        <v>332</v>
      </c>
      <c r="J346" t="s">
        <v>582</v>
      </c>
      <c r="K346" t="s">
        <v>672</v>
      </c>
      <c r="L346" t="s">
        <v>170</v>
      </c>
      <c r="M346" t="s">
        <v>7</v>
      </c>
      <c r="N346" t="s">
        <v>12</v>
      </c>
      <c r="O346" t="s">
        <v>7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7</v>
      </c>
      <c r="AH346" t="s">
        <v>12</v>
      </c>
      <c r="AI346" t="s">
        <v>7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1011.84</v>
      </c>
      <c r="AW346">
        <f>$H$346*$AC$346</f>
        <v>1011.84</v>
      </c>
      <c r="AX346">
        <f>$H$346*$AD$346</f>
        <v>1011.84</v>
      </c>
      <c r="AY346">
        <f>$H$346*$AE$346</f>
        <v>1011.84</v>
      </c>
      <c r="AZ346">
        <f>$H$346*$AF$346</f>
        <v>1011.84</v>
      </c>
    </row>
    <row r="347" spans="1:52" x14ac:dyDescent="0.25">
      <c r="A347">
        <v>395</v>
      </c>
      <c r="B347" t="s">
        <v>7</v>
      </c>
      <c r="C347" t="s">
        <v>357</v>
      </c>
      <c r="D347">
        <v>1</v>
      </c>
      <c r="E347">
        <v>37.78</v>
      </c>
      <c r="F347" t="s">
        <v>265</v>
      </c>
      <c r="G347">
        <v>37.78</v>
      </c>
      <c r="H347">
        <v>45.34</v>
      </c>
      <c r="I347" t="s">
        <v>267</v>
      </c>
      <c r="J347" t="s">
        <v>358</v>
      </c>
      <c r="K347" t="s">
        <v>419</v>
      </c>
      <c r="L347" t="s">
        <v>170</v>
      </c>
      <c r="M347" t="s">
        <v>7</v>
      </c>
      <c r="N347" t="s">
        <v>12</v>
      </c>
      <c r="O347" t="s">
        <v>7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7</v>
      </c>
      <c r="AH347" t="s">
        <v>12</v>
      </c>
      <c r="AI347" t="s">
        <v>7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45.34</v>
      </c>
      <c r="AQ347">
        <f>$H$347*$W$347</f>
        <v>45.34</v>
      </c>
      <c r="AR347">
        <f>$H$347*$X$347</f>
        <v>45.34</v>
      </c>
      <c r="AS347">
        <f>$H$347*$Y$347</f>
        <v>45.34</v>
      </c>
      <c r="AT347">
        <f>$H$347*$Z$347</f>
        <v>45.34</v>
      </c>
      <c r="AU347">
        <f>$H$347*$AA$347</f>
        <v>45.34</v>
      </c>
      <c r="AV347">
        <f>$H$347*$AB$347</f>
        <v>45.34</v>
      </c>
      <c r="AW347">
        <f>$H$347*$AC$347</f>
        <v>45.34</v>
      </c>
      <c r="AX347">
        <f>$H$347*$AD$347</f>
        <v>45.34</v>
      </c>
      <c r="AY347">
        <f>$H$347*$AE$347</f>
        <v>45.34</v>
      </c>
      <c r="AZ347">
        <f>$H$347*$AF$347</f>
        <v>45.34</v>
      </c>
    </row>
    <row r="348" spans="1:52" x14ac:dyDescent="0.25">
      <c r="A348">
        <v>396</v>
      </c>
      <c r="B348" t="s">
        <v>7</v>
      </c>
      <c r="C348" t="s">
        <v>330</v>
      </c>
      <c r="D348">
        <v>2</v>
      </c>
      <c r="E348">
        <v>74.56</v>
      </c>
      <c r="F348" t="s">
        <v>265</v>
      </c>
      <c r="G348">
        <v>37.28</v>
      </c>
      <c r="H348">
        <v>89.48</v>
      </c>
      <c r="I348" t="s">
        <v>267</v>
      </c>
      <c r="J348" t="s">
        <v>331</v>
      </c>
      <c r="K348" t="s">
        <v>407</v>
      </c>
      <c r="L348" t="s">
        <v>170</v>
      </c>
      <c r="M348" t="s">
        <v>7</v>
      </c>
      <c r="N348" t="s">
        <v>12</v>
      </c>
      <c r="O348" t="s">
        <v>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0.6</v>
      </c>
      <c r="Y348">
        <v>0.6</v>
      </c>
      <c r="Z348">
        <v>0.6</v>
      </c>
      <c r="AA348">
        <v>0.6</v>
      </c>
      <c r="AB348">
        <v>0.6</v>
      </c>
      <c r="AC348">
        <v>0.6</v>
      </c>
      <c r="AD348">
        <v>1</v>
      </c>
      <c r="AE348">
        <v>1</v>
      </c>
      <c r="AF348">
        <v>1</v>
      </c>
      <c r="AG348" t="s">
        <v>7</v>
      </c>
      <c r="AH348" t="s">
        <v>12</v>
      </c>
      <c r="AI348" t="s">
        <v>7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53.688000000000002</v>
      </c>
      <c r="AS348">
        <f>$H$348*$Y$348</f>
        <v>53.688000000000002</v>
      </c>
      <c r="AT348">
        <f>$H$348*$Z$348</f>
        <v>53.688000000000002</v>
      </c>
      <c r="AU348">
        <f>$H$348*$AA$348</f>
        <v>53.688000000000002</v>
      </c>
      <c r="AV348">
        <f>$H$348*$AB$348</f>
        <v>53.688000000000002</v>
      </c>
      <c r="AW348">
        <f>$H$348*$AC$348</f>
        <v>53.688000000000002</v>
      </c>
      <c r="AX348">
        <f>$H$348*$AD$348</f>
        <v>89.48</v>
      </c>
      <c r="AY348">
        <f>$H$348*$AE$348</f>
        <v>89.48</v>
      </c>
      <c r="AZ348">
        <f>$H$348*$AF$348</f>
        <v>89.48</v>
      </c>
    </row>
    <row r="349" spans="1:52" x14ac:dyDescent="0.25">
      <c r="A349">
        <v>397</v>
      </c>
      <c r="B349" t="s">
        <v>7</v>
      </c>
      <c r="C349" t="s">
        <v>324</v>
      </c>
      <c r="D349">
        <v>4</v>
      </c>
      <c r="E349">
        <v>64.319999999999993</v>
      </c>
      <c r="F349" t="s">
        <v>265</v>
      </c>
      <c r="G349">
        <v>16.079999999999998</v>
      </c>
      <c r="H349">
        <v>77.180000000000007</v>
      </c>
      <c r="I349" t="s">
        <v>267</v>
      </c>
      <c r="J349" t="s">
        <v>325</v>
      </c>
      <c r="K349" t="s">
        <v>404</v>
      </c>
      <c r="L349" t="s">
        <v>170</v>
      </c>
      <c r="M349" t="s">
        <v>7</v>
      </c>
      <c r="N349" t="s">
        <v>12</v>
      </c>
      <c r="O349" t="s">
        <v>7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7</v>
      </c>
      <c r="AH349" t="s">
        <v>12</v>
      </c>
      <c r="AI349" t="s">
        <v>7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77.180000000000007</v>
      </c>
      <c r="AS349">
        <f>$H$349*$Y$349</f>
        <v>77.180000000000007</v>
      </c>
      <c r="AT349">
        <f>$H$349*$Z$349</f>
        <v>77.180000000000007</v>
      </c>
      <c r="AU349">
        <f>$H$349*$AA$349</f>
        <v>77.180000000000007</v>
      </c>
      <c r="AV349">
        <f>$H$349*$AB$349</f>
        <v>77.180000000000007</v>
      </c>
      <c r="AW349">
        <f>$H$349*$AC$349</f>
        <v>77.180000000000007</v>
      </c>
      <c r="AX349">
        <f>$H$349*$AD$349</f>
        <v>77.180000000000007</v>
      </c>
      <c r="AY349">
        <f>$H$349*$AE$349</f>
        <v>77.180000000000007</v>
      </c>
      <c r="AZ349">
        <f>$H$349*$AF$349</f>
        <v>77.180000000000007</v>
      </c>
    </row>
    <row r="350" spans="1:52" x14ac:dyDescent="0.25">
      <c r="A350">
        <v>398</v>
      </c>
      <c r="B350" t="s">
        <v>7</v>
      </c>
      <c r="C350" t="s">
        <v>324</v>
      </c>
      <c r="D350">
        <v>2</v>
      </c>
      <c r="E350">
        <v>32.159999999999997</v>
      </c>
      <c r="F350" t="s">
        <v>265</v>
      </c>
      <c r="G350">
        <v>16.079999999999998</v>
      </c>
      <c r="H350">
        <v>38.6</v>
      </c>
      <c r="I350" t="s">
        <v>267</v>
      </c>
      <c r="J350" t="s">
        <v>325</v>
      </c>
      <c r="K350" t="s">
        <v>404</v>
      </c>
      <c r="L350" t="s">
        <v>170</v>
      </c>
      <c r="M350" t="s">
        <v>7</v>
      </c>
      <c r="N350" t="s">
        <v>12</v>
      </c>
      <c r="O350" t="s">
        <v>7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7</v>
      </c>
      <c r="AH350" t="s">
        <v>12</v>
      </c>
      <c r="AI350" t="s">
        <v>7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38.6</v>
      </c>
      <c r="AS350">
        <f>$H$350*$Y$350</f>
        <v>38.6</v>
      </c>
      <c r="AT350">
        <f>$H$350*$Z$350</f>
        <v>38.6</v>
      </c>
      <c r="AU350">
        <f>$H$350*$AA$350</f>
        <v>38.6</v>
      </c>
      <c r="AV350">
        <f>$H$350*$AB$350</f>
        <v>38.6</v>
      </c>
      <c r="AW350">
        <f>$H$350*$AC$350</f>
        <v>38.6</v>
      </c>
      <c r="AX350">
        <f>$H$350*$AD$350</f>
        <v>38.6</v>
      </c>
      <c r="AY350">
        <f>$H$350*$AE$350</f>
        <v>38.6</v>
      </c>
      <c r="AZ350">
        <f>$H$350*$AF$350</f>
        <v>38.6</v>
      </c>
    </row>
    <row r="351" spans="1:52" x14ac:dyDescent="0.25">
      <c r="A351">
        <v>399</v>
      </c>
      <c r="B351" t="s">
        <v>7</v>
      </c>
      <c r="C351" t="s">
        <v>508</v>
      </c>
      <c r="D351">
        <v>1</v>
      </c>
      <c r="E351">
        <v>743.56</v>
      </c>
      <c r="F351" t="s">
        <v>265</v>
      </c>
      <c r="G351">
        <v>743.56</v>
      </c>
      <c r="H351">
        <v>892.28</v>
      </c>
      <c r="I351" t="s">
        <v>276</v>
      </c>
      <c r="J351" t="s">
        <v>509</v>
      </c>
      <c r="K351" t="s">
        <v>634</v>
      </c>
      <c r="L351" t="s">
        <v>170</v>
      </c>
      <c r="M351" t="s">
        <v>7</v>
      </c>
      <c r="N351" t="s">
        <v>12</v>
      </c>
      <c r="O351" t="s">
        <v>7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7</v>
      </c>
      <c r="AH351" t="s">
        <v>12</v>
      </c>
      <c r="AI351" t="s">
        <v>7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892.28</v>
      </c>
      <c r="AT351">
        <f>$H$351*$Z$351</f>
        <v>892.28</v>
      </c>
      <c r="AU351">
        <f>$H$351*$AA$351</f>
        <v>892.28</v>
      </c>
      <c r="AV351">
        <f>$H$351*$AB$351</f>
        <v>892.28</v>
      </c>
      <c r="AW351">
        <f>$H$351*$AC$351</f>
        <v>892.28</v>
      </c>
      <c r="AX351">
        <f>$H$351*$AD$351</f>
        <v>892.28</v>
      </c>
      <c r="AY351">
        <f>$H$351*$AE$351</f>
        <v>892.28</v>
      </c>
      <c r="AZ351">
        <f>$H$351*$AF$351</f>
        <v>892.28</v>
      </c>
    </row>
    <row r="352" spans="1:52" x14ac:dyDescent="0.25">
      <c r="A352">
        <v>400</v>
      </c>
      <c r="B352" t="s">
        <v>7</v>
      </c>
      <c r="C352" t="s">
        <v>583</v>
      </c>
      <c r="D352">
        <v>1</v>
      </c>
      <c r="E352">
        <v>567.97</v>
      </c>
      <c r="F352" t="s">
        <v>265</v>
      </c>
      <c r="G352">
        <v>567.97</v>
      </c>
      <c r="H352">
        <v>681.57</v>
      </c>
      <c r="I352" t="s">
        <v>276</v>
      </c>
      <c r="J352" t="s">
        <v>584</v>
      </c>
      <c r="K352" t="s">
        <v>673</v>
      </c>
      <c r="L352" t="s">
        <v>170</v>
      </c>
      <c r="M352" t="s">
        <v>7</v>
      </c>
      <c r="N352" t="s">
        <v>12</v>
      </c>
      <c r="O352" t="s">
        <v>7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7</v>
      </c>
      <c r="AH352" t="s">
        <v>12</v>
      </c>
      <c r="AI352" t="s">
        <v>7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681.57</v>
      </c>
      <c r="AV352">
        <f>$H$352*$AB$352</f>
        <v>681.57</v>
      </c>
      <c r="AW352">
        <f>$H$352*$AC$352</f>
        <v>681.57</v>
      </c>
      <c r="AX352">
        <f>$H$352*$AD$352</f>
        <v>681.57</v>
      </c>
      <c r="AY352">
        <f>$H$352*$AE$352</f>
        <v>681.57</v>
      </c>
      <c r="AZ352">
        <f>$H$352*$AF$352</f>
        <v>681.57</v>
      </c>
    </row>
    <row r="353" spans="1:52" x14ac:dyDescent="0.25">
      <c r="A353">
        <v>401</v>
      </c>
      <c r="B353" t="s">
        <v>7</v>
      </c>
      <c r="C353" t="s">
        <v>585</v>
      </c>
      <c r="D353">
        <v>1</v>
      </c>
      <c r="E353">
        <v>812.28</v>
      </c>
      <c r="F353" t="s">
        <v>265</v>
      </c>
      <c r="G353">
        <v>812.28</v>
      </c>
      <c r="H353">
        <v>974.74</v>
      </c>
      <c r="I353" t="s">
        <v>276</v>
      </c>
      <c r="J353" t="s">
        <v>586</v>
      </c>
      <c r="K353" t="s">
        <v>674</v>
      </c>
      <c r="L353" t="s">
        <v>170</v>
      </c>
      <c r="M353" t="s">
        <v>7</v>
      </c>
      <c r="N353" t="s">
        <v>12</v>
      </c>
      <c r="O353" t="s">
        <v>7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7</v>
      </c>
      <c r="AH353" t="s">
        <v>12</v>
      </c>
      <c r="AI353" t="s">
        <v>7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974.74</v>
      </c>
      <c r="AV353">
        <f>$H$353*$AB$353</f>
        <v>974.74</v>
      </c>
      <c r="AW353">
        <f>$H$353*$AC$353</f>
        <v>974.74</v>
      </c>
      <c r="AX353">
        <f>$H$353*$AD$353</f>
        <v>974.74</v>
      </c>
      <c r="AY353">
        <f>$H$353*$AE$353</f>
        <v>974.74</v>
      </c>
      <c r="AZ353">
        <f>$H$353*$AF$353</f>
        <v>974.74</v>
      </c>
    </row>
    <row r="354" spans="1:52" x14ac:dyDescent="0.25">
      <c r="A354">
        <v>402</v>
      </c>
      <c r="B354" t="s">
        <v>7</v>
      </c>
      <c r="C354" t="s">
        <v>587</v>
      </c>
      <c r="D354">
        <v>1</v>
      </c>
      <c r="E354">
        <v>151.68</v>
      </c>
      <c r="F354" t="s">
        <v>265</v>
      </c>
      <c r="G354">
        <v>151.68</v>
      </c>
      <c r="H354">
        <v>182.02</v>
      </c>
      <c r="I354" t="s">
        <v>270</v>
      </c>
      <c r="J354" t="s">
        <v>588</v>
      </c>
      <c r="K354" t="s">
        <v>675</v>
      </c>
      <c r="L354" t="s">
        <v>170</v>
      </c>
      <c r="M354" t="s">
        <v>7</v>
      </c>
      <c r="N354" t="s">
        <v>12</v>
      </c>
      <c r="O354" t="s">
        <v>7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1</v>
      </c>
      <c r="AF354">
        <v>1</v>
      </c>
      <c r="AG354" t="s">
        <v>7</v>
      </c>
      <c r="AH354" t="s">
        <v>12</v>
      </c>
      <c r="AI354" t="s">
        <v>7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0</v>
      </c>
      <c r="AV354">
        <f>$H$354*$AB$354</f>
        <v>0</v>
      </c>
      <c r="AW354">
        <f>$H$354*$AC$354</f>
        <v>0</v>
      </c>
      <c r="AX354">
        <f>$H$354*$AD$354</f>
        <v>182.02</v>
      </c>
      <c r="AY354">
        <f>$H$354*$AE$354</f>
        <v>182.02</v>
      </c>
      <c r="AZ354">
        <f>$H$354*$AF$354</f>
        <v>182.02</v>
      </c>
    </row>
    <row r="355" spans="1:52" x14ac:dyDescent="0.25">
      <c r="A355">
        <v>403</v>
      </c>
      <c r="B355" t="s">
        <v>7</v>
      </c>
      <c r="C355" t="s">
        <v>589</v>
      </c>
      <c r="D355">
        <v>4</v>
      </c>
      <c r="E355">
        <v>2213.64</v>
      </c>
      <c r="F355" t="s">
        <v>262</v>
      </c>
      <c r="G355">
        <v>553.41</v>
      </c>
      <c r="H355">
        <v>2656.36</v>
      </c>
      <c r="I355" t="s">
        <v>332</v>
      </c>
      <c r="J355" t="s">
        <v>590</v>
      </c>
      <c r="K355" t="s">
        <v>676</v>
      </c>
      <c r="L355" t="s">
        <v>170</v>
      </c>
      <c r="M355" t="s">
        <v>7</v>
      </c>
      <c r="N355" t="s">
        <v>12</v>
      </c>
      <c r="O355" t="s">
        <v>7</v>
      </c>
      <c r="P355">
        <v>0</v>
      </c>
      <c r="Q355">
        <v>0</v>
      </c>
      <c r="R355">
        <v>0</v>
      </c>
      <c r="S355">
        <v>0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7</v>
      </c>
      <c r="AH355" t="s">
        <v>12</v>
      </c>
      <c r="AI355" t="s">
        <v>7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2656.36</v>
      </c>
      <c r="AO355">
        <f>$H$355*$U$355</f>
        <v>2656.36</v>
      </c>
      <c r="AP355">
        <f>$H$355*$V$355</f>
        <v>2656.36</v>
      </c>
      <c r="AQ355">
        <f>$H$355*$W$355</f>
        <v>2656.36</v>
      </c>
      <c r="AR355">
        <f>$H$355*$X$355</f>
        <v>2656.36</v>
      </c>
      <c r="AS355">
        <f>$H$355*$Y$355</f>
        <v>2656.36</v>
      </c>
      <c r="AT355">
        <f>$H$355*$Z$355</f>
        <v>2656.36</v>
      </c>
      <c r="AU355">
        <f>$H$355*$AA$355</f>
        <v>2656.36</v>
      </c>
      <c r="AV355">
        <f>$H$355*$AB$355</f>
        <v>2656.36</v>
      </c>
      <c r="AW355">
        <f>$H$355*$AC$355</f>
        <v>2656.36</v>
      </c>
      <c r="AX355">
        <f>$H$355*$AD$355</f>
        <v>2656.36</v>
      </c>
      <c r="AY355">
        <f>$H$355*$AE$355</f>
        <v>2656.36</v>
      </c>
      <c r="AZ355">
        <f>$H$355*$AF$355</f>
        <v>2656.36</v>
      </c>
    </row>
    <row r="356" spans="1:52" x14ac:dyDescent="0.25">
      <c r="A356">
        <v>404</v>
      </c>
      <c r="B356" t="s">
        <v>7</v>
      </c>
      <c r="C356" t="s">
        <v>591</v>
      </c>
      <c r="D356">
        <v>6</v>
      </c>
      <c r="E356">
        <v>2492.2800000000002</v>
      </c>
      <c r="F356" t="s">
        <v>262</v>
      </c>
      <c r="G356">
        <v>415.38</v>
      </c>
      <c r="H356">
        <v>2990.74</v>
      </c>
      <c r="I356" t="s">
        <v>332</v>
      </c>
      <c r="J356" t="s">
        <v>592</v>
      </c>
      <c r="K356" t="s">
        <v>677</v>
      </c>
      <c r="L356" t="s">
        <v>170</v>
      </c>
      <c r="M356" t="s">
        <v>7</v>
      </c>
      <c r="N356" t="s">
        <v>12</v>
      </c>
      <c r="O356" t="s">
        <v>7</v>
      </c>
      <c r="P356">
        <v>0</v>
      </c>
      <c r="Q356">
        <v>0</v>
      </c>
      <c r="R356">
        <v>0</v>
      </c>
      <c r="S356">
        <v>0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7</v>
      </c>
      <c r="AH356" t="s">
        <v>12</v>
      </c>
      <c r="AI356" t="s">
        <v>7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2990.74</v>
      </c>
      <c r="AO356">
        <f>$H$356*$U$356</f>
        <v>2990.74</v>
      </c>
      <c r="AP356">
        <f>$H$356*$V$356</f>
        <v>2990.74</v>
      </c>
      <c r="AQ356">
        <f>$H$356*$W$356</f>
        <v>2990.74</v>
      </c>
      <c r="AR356">
        <f>$H$356*$X$356</f>
        <v>2990.74</v>
      </c>
      <c r="AS356">
        <f>$H$356*$Y$356</f>
        <v>2990.74</v>
      </c>
      <c r="AT356">
        <f>$H$356*$Z$356</f>
        <v>2990.74</v>
      </c>
      <c r="AU356">
        <f>$H$356*$AA$356</f>
        <v>2990.74</v>
      </c>
      <c r="AV356">
        <f>$H$356*$AB$356</f>
        <v>2990.74</v>
      </c>
      <c r="AW356">
        <f>$H$356*$AC$356</f>
        <v>2990.74</v>
      </c>
      <c r="AX356">
        <f>$H$356*$AD$356</f>
        <v>2990.74</v>
      </c>
      <c r="AY356">
        <f>$H$356*$AE$356</f>
        <v>2990.74</v>
      </c>
      <c r="AZ356">
        <f>$H$356*$AF$356</f>
        <v>2990.74</v>
      </c>
    </row>
    <row r="357" spans="1:52" x14ac:dyDescent="0.25">
      <c r="A357">
        <v>405</v>
      </c>
      <c r="B357" t="s">
        <v>7</v>
      </c>
      <c r="C357" t="s">
        <v>593</v>
      </c>
      <c r="D357">
        <v>1</v>
      </c>
      <c r="E357">
        <v>153.44</v>
      </c>
      <c r="F357" t="s">
        <v>265</v>
      </c>
      <c r="G357">
        <v>153.44</v>
      </c>
      <c r="H357">
        <v>184.12</v>
      </c>
      <c r="I357" t="s">
        <v>276</v>
      </c>
      <c r="J357" t="s">
        <v>594</v>
      </c>
      <c r="K357" t="s">
        <v>678</v>
      </c>
      <c r="L357" t="s">
        <v>170</v>
      </c>
      <c r="M357" t="s">
        <v>7</v>
      </c>
      <c r="N357" t="s">
        <v>12</v>
      </c>
      <c r="O357" t="s">
        <v>7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7</v>
      </c>
      <c r="AH357" t="s">
        <v>12</v>
      </c>
      <c r="AI357" t="s">
        <v>7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184.12</v>
      </c>
      <c r="AT357">
        <f>$H$357*$Z$357</f>
        <v>184.12</v>
      </c>
      <c r="AU357">
        <f>$H$357*$AA$357</f>
        <v>184.12</v>
      </c>
      <c r="AV357">
        <f>$H$357*$AB$357</f>
        <v>184.12</v>
      </c>
      <c r="AW357">
        <f>$H$357*$AC$357</f>
        <v>184.12</v>
      </c>
      <c r="AX357">
        <f>$H$357*$AD$357</f>
        <v>184.12</v>
      </c>
      <c r="AY357">
        <f>$H$357*$AE$357</f>
        <v>184.12</v>
      </c>
      <c r="AZ357">
        <f>$H$357*$AF$357</f>
        <v>184.12</v>
      </c>
    </row>
    <row r="358" spans="1:52" x14ac:dyDescent="0.25">
      <c r="A358">
        <v>406</v>
      </c>
      <c r="B358" t="s">
        <v>7</v>
      </c>
      <c r="C358" t="s">
        <v>359</v>
      </c>
      <c r="D358">
        <v>1</v>
      </c>
      <c r="E358">
        <v>73.290000000000006</v>
      </c>
      <c r="F358" t="s">
        <v>265</v>
      </c>
      <c r="G358">
        <v>73.290000000000006</v>
      </c>
      <c r="H358">
        <v>87.95</v>
      </c>
      <c r="I358" t="s">
        <v>360</v>
      </c>
      <c r="J358" t="s">
        <v>361</v>
      </c>
      <c r="K358" t="s">
        <v>420</v>
      </c>
      <c r="L358" t="s">
        <v>170</v>
      </c>
      <c r="M358" t="s">
        <v>7</v>
      </c>
      <c r="N358" t="s">
        <v>12</v>
      </c>
      <c r="O358" t="s">
        <v>7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7</v>
      </c>
      <c r="AH358" t="s">
        <v>12</v>
      </c>
      <c r="AI358" t="s">
        <v>7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87.95</v>
      </c>
      <c r="AQ358">
        <f>$H$358*$W$358</f>
        <v>87.95</v>
      </c>
      <c r="AR358">
        <f>$H$358*$X$358</f>
        <v>87.95</v>
      </c>
      <c r="AS358">
        <f>$H$358*$Y$358</f>
        <v>87.95</v>
      </c>
      <c r="AT358">
        <f>$H$358*$Z$358</f>
        <v>87.95</v>
      </c>
      <c r="AU358">
        <f>$H$358*$AA$358</f>
        <v>87.95</v>
      </c>
      <c r="AV358">
        <f>$H$358*$AB$358</f>
        <v>87.95</v>
      </c>
      <c r="AW358">
        <f>$H$358*$AC$358</f>
        <v>87.95</v>
      </c>
      <c r="AX358">
        <f>$H$358*$AD$358</f>
        <v>87.95</v>
      </c>
      <c r="AY358">
        <f>$H$358*$AE$358</f>
        <v>87.95</v>
      </c>
      <c r="AZ358">
        <f>$H$358*$AF$358</f>
        <v>87.95</v>
      </c>
    </row>
    <row r="359" spans="1:52" x14ac:dyDescent="0.25">
      <c r="A359">
        <v>407</v>
      </c>
      <c r="B359" t="s">
        <v>7</v>
      </c>
      <c r="C359" t="s">
        <v>362</v>
      </c>
      <c r="D359">
        <v>28</v>
      </c>
      <c r="E359">
        <v>303.52</v>
      </c>
      <c r="F359" t="s">
        <v>265</v>
      </c>
      <c r="G359">
        <v>10.84</v>
      </c>
      <c r="H359">
        <v>364.22</v>
      </c>
      <c r="I359" t="s">
        <v>332</v>
      </c>
      <c r="J359" t="s">
        <v>363</v>
      </c>
      <c r="K359" t="s">
        <v>421</v>
      </c>
      <c r="L359" t="s">
        <v>170</v>
      </c>
      <c r="M359" t="s">
        <v>7</v>
      </c>
      <c r="N359" t="s">
        <v>12</v>
      </c>
      <c r="O359" t="s">
        <v>7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7</v>
      </c>
      <c r="AH359" t="s">
        <v>12</v>
      </c>
      <c r="AI359" t="s">
        <v>7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364.22</v>
      </c>
      <c r="AU359">
        <f>$H$359*$AA$359</f>
        <v>364.22</v>
      </c>
      <c r="AV359">
        <f>$H$359*$AB$359</f>
        <v>364.22</v>
      </c>
      <c r="AW359">
        <f>$H$359*$AC$359</f>
        <v>364.22</v>
      </c>
      <c r="AX359">
        <f>$H$359*$AD$359</f>
        <v>364.22</v>
      </c>
      <c r="AY359">
        <f>$H$359*$AE$359</f>
        <v>364.22</v>
      </c>
      <c r="AZ359">
        <f>$H$359*$AF$359</f>
        <v>364.22</v>
      </c>
    </row>
    <row r="360" spans="1:52" x14ac:dyDescent="0.25">
      <c r="A360">
        <v>408</v>
      </c>
      <c r="B360" t="s">
        <v>7</v>
      </c>
      <c r="C360" t="s">
        <v>595</v>
      </c>
      <c r="D360">
        <v>14</v>
      </c>
      <c r="E360">
        <v>4130.5600000000004</v>
      </c>
      <c r="F360" t="s">
        <v>262</v>
      </c>
      <c r="G360">
        <v>295.04000000000002</v>
      </c>
      <c r="H360">
        <v>4956.68</v>
      </c>
      <c r="I360" t="s">
        <v>332</v>
      </c>
      <c r="J360" t="s">
        <v>596</v>
      </c>
      <c r="K360" t="s">
        <v>679</v>
      </c>
      <c r="L360" t="s">
        <v>170</v>
      </c>
      <c r="M360" t="s">
        <v>7</v>
      </c>
      <c r="N360" t="s">
        <v>12</v>
      </c>
      <c r="O360" t="s">
        <v>7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7</v>
      </c>
      <c r="AH360" t="s">
        <v>12</v>
      </c>
      <c r="AI360" t="s">
        <v>7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0</v>
      </c>
      <c r="AV360">
        <f>$H$360*$AB$360</f>
        <v>4956.68</v>
      </c>
      <c r="AW360">
        <f>$H$360*$AC$360</f>
        <v>4956.68</v>
      </c>
      <c r="AX360">
        <f>$H$360*$AD$360</f>
        <v>4956.68</v>
      </c>
      <c r="AY360">
        <f>$H$360*$AE$360</f>
        <v>4956.68</v>
      </c>
      <c r="AZ360">
        <f>$H$360*$AF$360</f>
        <v>4956.68</v>
      </c>
    </row>
    <row r="361" spans="1:52" x14ac:dyDescent="0.25">
      <c r="A361">
        <v>409</v>
      </c>
      <c r="B361" t="s">
        <v>7</v>
      </c>
      <c r="C361" t="s">
        <v>364</v>
      </c>
      <c r="D361">
        <v>16</v>
      </c>
      <c r="E361">
        <v>5062.24</v>
      </c>
      <c r="F361" t="s">
        <v>262</v>
      </c>
      <c r="G361">
        <v>316.39</v>
      </c>
      <c r="H361">
        <v>6074.68</v>
      </c>
      <c r="I361" t="s">
        <v>332</v>
      </c>
      <c r="J361" t="s">
        <v>365</v>
      </c>
      <c r="K361" t="s">
        <v>422</v>
      </c>
      <c r="L361" t="s">
        <v>170</v>
      </c>
      <c r="M361" t="s">
        <v>7</v>
      </c>
      <c r="N361" t="s">
        <v>12</v>
      </c>
      <c r="O361" t="s">
        <v>7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7</v>
      </c>
      <c r="AH361" t="s">
        <v>12</v>
      </c>
      <c r="AI361" t="s">
        <v>7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6074.68</v>
      </c>
      <c r="AO361">
        <f>$H$361*$U$361</f>
        <v>6074.68</v>
      </c>
      <c r="AP361">
        <f>$H$361*$V$361</f>
        <v>6074.68</v>
      </c>
      <c r="AQ361">
        <f>$H$361*$W$361</f>
        <v>6074.68</v>
      </c>
      <c r="AR361">
        <f>$H$361*$X$361</f>
        <v>6074.68</v>
      </c>
      <c r="AS361">
        <f>$H$361*$Y$361</f>
        <v>6074.68</v>
      </c>
      <c r="AT361">
        <f>$H$361*$Z$361</f>
        <v>6074.68</v>
      </c>
      <c r="AU361">
        <f>$H$361*$AA$361</f>
        <v>6074.68</v>
      </c>
      <c r="AV361">
        <f>$H$361*$AB$361</f>
        <v>6074.68</v>
      </c>
      <c r="AW361">
        <f>$H$361*$AC$361</f>
        <v>6074.68</v>
      </c>
      <c r="AX361">
        <f>$H$361*$AD$361</f>
        <v>6074.68</v>
      </c>
      <c r="AY361">
        <f>$H$361*$AE$361</f>
        <v>6074.68</v>
      </c>
      <c r="AZ361">
        <f>$H$361*$AF$361</f>
        <v>6074.68</v>
      </c>
    </row>
    <row r="362" spans="1:52" x14ac:dyDescent="0.25">
      <c r="A362">
        <v>410</v>
      </c>
      <c r="B362" t="s">
        <v>7</v>
      </c>
      <c r="C362" t="s">
        <v>366</v>
      </c>
      <c r="D362">
        <v>1</v>
      </c>
      <c r="E362">
        <v>543.4</v>
      </c>
      <c r="F362" t="s">
        <v>265</v>
      </c>
      <c r="G362">
        <v>543.4</v>
      </c>
      <c r="H362">
        <v>652.08000000000004</v>
      </c>
      <c r="I362" t="s">
        <v>360</v>
      </c>
      <c r="J362" t="s">
        <v>367</v>
      </c>
      <c r="K362" t="s">
        <v>423</v>
      </c>
      <c r="L362" t="s">
        <v>170</v>
      </c>
      <c r="M362" t="s">
        <v>7</v>
      </c>
      <c r="N362" t="s">
        <v>12</v>
      </c>
      <c r="O362" t="s">
        <v>7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1</v>
      </c>
      <c r="AE362">
        <v>1</v>
      </c>
      <c r="AF362">
        <v>1</v>
      </c>
      <c r="AG362" t="s">
        <v>7</v>
      </c>
      <c r="AH362" t="s">
        <v>12</v>
      </c>
      <c r="AI362" t="s">
        <v>7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0</v>
      </c>
      <c r="AV362">
        <f>$H$362*$AB$362</f>
        <v>0</v>
      </c>
      <c r="AW362">
        <f>$H$362*$AC$362</f>
        <v>652.08000000000004</v>
      </c>
      <c r="AX362">
        <f>$H$362*$AD$362</f>
        <v>652.08000000000004</v>
      </c>
      <c r="AY362">
        <f>$H$362*$AE$362</f>
        <v>652.08000000000004</v>
      </c>
      <c r="AZ362">
        <f>$H$362*$AF$362</f>
        <v>652.08000000000004</v>
      </c>
    </row>
    <row r="363" spans="1:52" x14ac:dyDescent="0.25">
      <c r="A363">
        <v>411</v>
      </c>
      <c r="B363" t="s">
        <v>7</v>
      </c>
      <c r="C363" t="s">
        <v>333</v>
      </c>
      <c r="D363">
        <v>36</v>
      </c>
      <c r="E363">
        <v>3664.08</v>
      </c>
      <c r="F363" t="s">
        <v>275</v>
      </c>
      <c r="G363">
        <v>101.78</v>
      </c>
      <c r="H363">
        <v>4396.8999999999996</v>
      </c>
      <c r="I363" t="s">
        <v>332</v>
      </c>
      <c r="J363" t="s">
        <v>334</v>
      </c>
      <c r="K363" t="s">
        <v>408</v>
      </c>
      <c r="L363" t="s">
        <v>170</v>
      </c>
      <c r="M363" t="s">
        <v>7</v>
      </c>
      <c r="N363" t="s">
        <v>12</v>
      </c>
      <c r="O363" t="s">
        <v>7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7</v>
      </c>
      <c r="AH363" t="s">
        <v>12</v>
      </c>
      <c r="AI363" t="s">
        <v>7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0</v>
      </c>
      <c r="AO363">
        <f>$H$363*$U$363</f>
        <v>0</v>
      </c>
      <c r="AP363">
        <f>$H$363*$V$363</f>
        <v>0</v>
      </c>
      <c r="AQ363">
        <f>$H$363*$W$363</f>
        <v>0</v>
      </c>
      <c r="AR363">
        <f>$H$363*$X$363</f>
        <v>0</v>
      </c>
      <c r="AS363">
        <f>$H$363*$Y$363</f>
        <v>0</v>
      </c>
      <c r="AT363">
        <f>$H$363*$Z$363</f>
        <v>4396.8999999999996</v>
      </c>
      <c r="AU363">
        <f>$H$363*$AA$363</f>
        <v>4396.8999999999996</v>
      </c>
      <c r="AV363">
        <f>$H$363*$AB$363</f>
        <v>4396.8999999999996</v>
      </c>
      <c r="AW363">
        <f>$H$363*$AC$363</f>
        <v>4396.8999999999996</v>
      </c>
      <c r="AX363">
        <f>$H$363*$AD$363</f>
        <v>4396.8999999999996</v>
      </c>
      <c r="AY363">
        <f>$H$363*$AE$363</f>
        <v>4396.8999999999996</v>
      </c>
      <c r="AZ363">
        <f>$H$363*$AF$363</f>
        <v>4396.8999999999996</v>
      </c>
    </row>
    <row r="364" spans="1:52" x14ac:dyDescent="0.25">
      <c r="A364">
        <v>412</v>
      </c>
      <c r="B364" t="s">
        <v>7</v>
      </c>
      <c r="C364" t="s">
        <v>333</v>
      </c>
      <c r="D364">
        <v>12</v>
      </c>
      <c r="E364">
        <v>1221.3599999999999</v>
      </c>
      <c r="F364" t="s">
        <v>275</v>
      </c>
      <c r="G364">
        <v>101.78</v>
      </c>
      <c r="H364">
        <v>1465.64</v>
      </c>
      <c r="I364" t="s">
        <v>332</v>
      </c>
      <c r="J364" t="s">
        <v>334</v>
      </c>
      <c r="K364" t="s">
        <v>408</v>
      </c>
      <c r="L364" t="s">
        <v>170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1465.64</v>
      </c>
      <c r="AU364">
        <f>$H$364*$AA$364</f>
        <v>1465.64</v>
      </c>
      <c r="AV364">
        <f>$H$364*$AB$364</f>
        <v>1465.64</v>
      </c>
      <c r="AW364">
        <f>$H$364*$AC$364</f>
        <v>1465.64</v>
      </c>
      <c r="AX364">
        <f>$H$364*$AD$364</f>
        <v>1465.64</v>
      </c>
      <c r="AY364">
        <f>$H$364*$AE$364</f>
        <v>1465.64</v>
      </c>
      <c r="AZ364">
        <f>$H$364*$AF$364</f>
        <v>1465.64</v>
      </c>
    </row>
    <row r="365" spans="1:52" x14ac:dyDescent="0.25">
      <c r="A365">
        <v>413</v>
      </c>
      <c r="B365" t="s">
        <v>7</v>
      </c>
      <c r="C365" t="s">
        <v>597</v>
      </c>
      <c r="D365">
        <v>2.5</v>
      </c>
      <c r="E365">
        <v>1048.8</v>
      </c>
      <c r="F365" t="s">
        <v>262</v>
      </c>
      <c r="G365">
        <v>419.52</v>
      </c>
      <c r="H365">
        <v>1258.56</v>
      </c>
      <c r="I365" t="s">
        <v>332</v>
      </c>
      <c r="J365" t="s">
        <v>598</v>
      </c>
      <c r="K365" t="s">
        <v>680</v>
      </c>
      <c r="L365" t="s">
        <v>170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1258.56</v>
      </c>
      <c r="AO365">
        <f>$H$365*$U$365</f>
        <v>1258.56</v>
      </c>
      <c r="AP365">
        <f>$H$365*$V$365</f>
        <v>1258.56</v>
      </c>
      <c r="AQ365">
        <f>$H$365*$W$365</f>
        <v>1258.56</v>
      </c>
      <c r="AR365">
        <f>$H$365*$X$365</f>
        <v>1258.56</v>
      </c>
      <c r="AS365">
        <f>$H$365*$Y$365</f>
        <v>1258.56</v>
      </c>
      <c r="AT365">
        <f>$H$365*$Z$365</f>
        <v>1258.56</v>
      </c>
      <c r="AU365">
        <f>$H$365*$AA$365</f>
        <v>1258.56</v>
      </c>
      <c r="AV365">
        <f>$H$365*$AB$365</f>
        <v>1258.56</v>
      </c>
      <c r="AW365">
        <f>$H$365*$AC$365</f>
        <v>1258.56</v>
      </c>
      <c r="AX365">
        <f>$H$365*$AD$365</f>
        <v>1258.56</v>
      </c>
      <c r="AY365">
        <f>$H$365*$AE$365</f>
        <v>1258.56</v>
      </c>
      <c r="AZ365">
        <f>$H$365*$AF$365</f>
        <v>1258.56</v>
      </c>
    </row>
    <row r="366" spans="1:52" x14ac:dyDescent="0.25">
      <c r="A366">
        <v>414</v>
      </c>
      <c r="B366" t="s">
        <v>7</v>
      </c>
      <c r="C366" t="s">
        <v>599</v>
      </c>
      <c r="D366">
        <v>1</v>
      </c>
      <c r="E366">
        <v>5953.78</v>
      </c>
      <c r="F366" t="s">
        <v>265</v>
      </c>
      <c r="G366">
        <v>5953.78</v>
      </c>
      <c r="H366">
        <v>7144.54</v>
      </c>
      <c r="I366" t="s">
        <v>360</v>
      </c>
      <c r="J366" t="s">
        <v>600</v>
      </c>
      <c r="K366" t="s">
        <v>681</v>
      </c>
      <c r="L366" t="s">
        <v>170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7144.54</v>
      </c>
      <c r="AQ366">
        <f>$H$366*$W$366</f>
        <v>7144.54</v>
      </c>
      <c r="AR366">
        <f>$H$366*$X$366</f>
        <v>7144.54</v>
      </c>
      <c r="AS366">
        <f>$H$366*$Y$366</f>
        <v>7144.54</v>
      </c>
      <c r="AT366">
        <f>$H$366*$Z$366</f>
        <v>7144.54</v>
      </c>
      <c r="AU366">
        <f>$H$366*$AA$366</f>
        <v>7144.54</v>
      </c>
      <c r="AV366">
        <f>$H$366*$AB$366</f>
        <v>7144.54</v>
      </c>
      <c r="AW366">
        <f>$H$366*$AC$366</f>
        <v>7144.54</v>
      </c>
      <c r="AX366">
        <f>$H$366*$AD$366</f>
        <v>7144.54</v>
      </c>
      <c r="AY366">
        <f>$H$366*$AE$366</f>
        <v>7144.54</v>
      </c>
      <c r="AZ366">
        <f>$H$366*$AF$366</f>
        <v>7144.54</v>
      </c>
    </row>
    <row r="367" spans="1:52" x14ac:dyDescent="0.25">
      <c r="A367">
        <v>415</v>
      </c>
      <c r="B367" t="s">
        <v>7</v>
      </c>
      <c r="C367" t="s">
        <v>368</v>
      </c>
      <c r="D367">
        <v>1</v>
      </c>
      <c r="E367">
        <v>87.99</v>
      </c>
      <c r="F367" t="s">
        <v>265</v>
      </c>
      <c r="G367">
        <v>87.99</v>
      </c>
      <c r="H367">
        <v>105.59</v>
      </c>
      <c r="I367" t="s">
        <v>267</v>
      </c>
      <c r="J367" t="s">
        <v>369</v>
      </c>
      <c r="K367" t="s">
        <v>424</v>
      </c>
      <c r="L367" t="s">
        <v>170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0.6</v>
      </c>
      <c r="Y367">
        <v>0.6</v>
      </c>
      <c r="Z367">
        <v>0.6</v>
      </c>
      <c r="AA367">
        <v>0.6</v>
      </c>
      <c r="AB367">
        <v>0.6</v>
      </c>
      <c r="AC367">
        <v>0.6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63.353999999999999</v>
      </c>
      <c r="AS367">
        <f>$H$367*$Y$367</f>
        <v>63.353999999999999</v>
      </c>
      <c r="AT367">
        <f>$H$367*$Z$367</f>
        <v>63.353999999999999</v>
      </c>
      <c r="AU367">
        <f>$H$367*$AA$367</f>
        <v>63.353999999999999</v>
      </c>
      <c r="AV367">
        <f>$H$367*$AB$367</f>
        <v>63.353999999999999</v>
      </c>
      <c r="AW367">
        <f>$H$367*$AC$367</f>
        <v>63.353999999999999</v>
      </c>
      <c r="AX367">
        <f>$H$367*$AD$367</f>
        <v>105.59</v>
      </c>
      <c r="AY367">
        <f>$H$367*$AE$367</f>
        <v>105.59</v>
      </c>
      <c r="AZ367">
        <f>$H$367*$AF$367</f>
        <v>105.59</v>
      </c>
    </row>
    <row r="368" spans="1:52" x14ac:dyDescent="0.25">
      <c r="A368">
        <v>416</v>
      </c>
      <c r="B368" t="s">
        <v>7</v>
      </c>
      <c r="C368" t="s">
        <v>368</v>
      </c>
      <c r="D368">
        <v>1</v>
      </c>
      <c r="E368">
        <v>87.99</v>
      </c>
      <c r="F368" t="s">
        <v>265</v>
      </c>
      <c r="G368">
        <v>87.99</v>
      </c>
      <c r="H368">
        <v>105.59</v>
      </c>
      <c r="I368" t="s">
        <v>267</v>
      </c>
      <c r="J368" t="s">
        <v>369</v>
      </c>
      <c r="K368" t="s">
        <v>424</v>
      </c>
      <c r="L368" t="s">
        <v>170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0.6</v>
      </c>
      <c r="Y368">
        <v>0.6</v>
      </c>
      <c r="Z368">
        <v>0.6</v>
      </c>
      <c r="AA368">
        <v>0.6</v>
      </c>
      <c r="AB368">
        <v>0.6</v>
      </c>
      <c r="AC368">
        <v>0.6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63.353999999999999</v>
      </c>
      <c r="AS368">
        <f>$H$368*$Y$368</f>
        <v>63.353999999999999</v>
      </c>
      <c r="AT368">
        <f>$H$368*$Z$368</f>
        <v>63.353999999999999</v>
      </c>
      <c r="AU368">
        <f>$H$368*$AA$368</f>
        <v>63.353999999999999</v>
      </c>
      <c r="AV368">
        <f>$H$368*$AB$368</f>
        <v>63.353999999999999</v>
      </c>
      <c r="AW368">
        <f>$H$368*$AC$368</f>
        <v>63.353999999999999</v>
      </c>
      <c r="AX368">
        <f>$H$368*$AD$368</f>
        <v>105.59</v>
      </c>
      <c r="AY368">
        <f>$H$368*$AE$368</f>
        <v>105.59</v>
      </c>
      <c r="AZ368">
        <f>$H$368*$AF$368</f>
        <v>105.59</v>
      </c>
    </row>
    <row r="369" spans="1:52" x14ac:dyDescent="0.25">
      <c r="A369">
        <v>417</v>
      </c>
      <c r="B369" t="s">
        <v>7</v>
      </c>
      <c r="C369" t="s">
        <v>370</v>
      </c>
      <c r="D369">
        <v>1</v>
      </c>
      <c r="E369">
        <v>221.6</v>
      </c>
      <c r="F369" t="s">
        <v>265</v>
      </c>
      <c r="G369">
        <v>221.6</v>
      </c>
      <c r="H369">
        <v>265.92</v>
      </c>
      <c r="I369" t="s">
        <v>267</v>
      </c>
      <c r="J369" t="s">
        <v>371</v>
      </c>
      <c r="K369" t="s">
        <v>425</v>
      </c>
      <c r="L369" t="s">
        <v>170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265.92</v>
      </c>
      <c r="AQ369">
        <f>$H$369*$W$369</f>
        <v>265.92</v>
      </c>
      <c r="AR369">
        <f>$H$369*$X$369</f>
        <v>265.92</v>
      </c>
      <c r="AS369">
        <f>$H$369*$Y$369</f>
        <v>265.92</v>
      </c>
      <c r="AT369">
        <f>$H$369*$Z$369</f>
        <v>265.92</v>
      </c>
      <c r="AU369">
        <f>$H$369*$AA$369</f>
        <v>265.92</v>
      </c>
      <c r="AV369">
        <f>$H$369*$AB$369</f>
        <v>265.92</v>
      </c>
      <c r="AW369">
        <f>$H$369*$AC$369</f>
        <v>265.92</v>
      </c>
      <c r="AX369">
        <f>$H$369*$AD$369</f>
        <v>265.92</v>
      </c>
      <c r="AY369">
        <f>$H$369*$AE$369</f>
        <v>265.92</v>
      </c>
      <c r="AZ369">
        <f>$H$369*$AF$369</f>
        <v>265.92</v>
      </c>
    </row>
    <row r="370" spans="1:52" x14ac:dyDescent="0.25">
      <c r="A370">
        <v>418</v>
      </c>
      <c r="B370" t="s">
        <v>7</v>
      </c>
      <c r="C370" t="s">
        <v>368</v>
      </c>
      <c r="D370">
        <v>1</v>
      </c>
      <c r="E370">
        <v>87.99</v>
      </c>
      <c r="F370" t="s">
        <v>265</v>
      </c>
      <c r="G370">
        <v>87.99</v>
      </c>
      <c r="H370">
        <v>105.59</v>
      </c>
      <c r="I370" t="s">
        <v>267</v>
      </c>
      <c r="J370" t="s">
        <v>369</v>
      </c>
      <c r="K370" t="s">
        <v>424</v>
      </c>
      <c r="L370" t="s">
        <v>170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0.6</v>
      </c>
      <c r="Y370">
        <v>0.6</v>
      </c>
      <c r="Z370">
        <v>0.6</v>
      </c>
      <c r="AA370">
        <v>0.6</v>
      </c>
      <c r="AB370">
        <v>0.6</v>
      </c>
      <c r="AC370">
        <v>0.6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63.353999999999999</v>
      </c>
      <c r="AS370">
        <f>$H$370*$Y$370</f>
        <v>63.353999999999999</v>
      </c>
      <c r="AT370">
        <f>$H$370*$Z$370</f>
        <v>63.353999999999999</v>
      </c>
      <c r="AU370">
        <f>$H$370*$AA$370</f>
        <v>63.353999999999999</v>
      </c>
      <c r="AV370">
        <f>$H$370*$AB$370</f>
        <v>63.353999999999999</v>
      </c>
      <c r="AW370">
        <f>$H$370*$AC$370</f>
        <v>63.353999999999999</v>
      </c>
      <c r="AX370">
        <f>$H$370*$AD$370</f>
        <v>105.59</v>
      </c>
      <c r="AY370">
        <f>$H$370*$AE$370</f>
        <v>105.59</v>
      </c>
      <c r="AZ370">
        <f>$H$370*$AF$370</f>
        <v>105.59</v>
      </c>
    </row>
    <row r="371" spans="1:52" x14ac:dyDescent="0.25">
      <c r="A371">
        <v>419</v>
      </c>
      <c r="B371" t="s">
        <v>7</v>
      </c>
      <c r="C371" t="s">
        <v>601</v>
      </c>
      <c r="D371">
        <v>1</v>
      </c>
      <c r="E371">
        <v>7688.52</v>
      </c>
      <c r="F371" t="s">
        <v>265</v>
      </c>
      <c r="G371">
        <v>7688.52</v>
      </c>
      <c r="H371">
        <v>9226.2199999999993</v>
      </c>
      <c r="I371" t="s">
        <v>360</v>
      </c>
      <c r="J371" t="s">
        <v>602</v>
      </c>
      <c r="K371" t="s">
        <v>682</v>
      </c>
      <c r="L371" t="s">
        <v>170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9226.2199999999993</v>
      </c>
      <c r="AQ371">
        <f>$H$371*$W$371</f>
        <v>9226.2199999999993</v>
      </c>
      <c r="AR371">
        <f>$H$371*$X$371</f>
        <v>9226.2199999999993</v>
      </c>
      <c r="AS371">
        <f>$H$371*$Y$371</f>
        <v>9226.2199999999993</v>
      </c>
      <c r="AT371">
        <f>$H$371*$Z$371</f>
        <v>9226.2199999999993</v>
      </c>
      <c r="AU371">
        <f>$H$371*$AA$371</f>
        <v>9226.2199999999993</v>
      </c>
      <c r="AV371">
        <f>$H$371*$AB$371</f>
        <v>9226.2199999999993</v>
      </c>
      <c r="AW371">
        <f>$H$371*$AC$371</f>
        <v>9226.2199999999993</v>
      </c>
      <c r="AX371">
        <f>$H$371*$AD$371</f>
        <v>9226.2199999999993</v>
      </c>
      <c r="AY371">
        <f>$H$371*$AE$371</f>
        <v>9226.2199999999993</v>
      </c>
      <c r="AZ371">
        <f>$H$371*$AF$371</f>
        <v>9226.2199999999993</v>
      </c>
    </row>
    <row r="372" spans="1:52" x14ac:dyDescent="0.25">
      <c r="A372">
        <v>420</v>
      </c>
      <c r="B372" t="s">
        <v>7</v>
      </c>
      <c r="C372" t="s">
        <v>370</v>
      </c>
      <c r="D372">
        <v>1</v>
      </c>
      <c r="E372">
        <v>221.6</v>
      </c>
      <c r="F372" t="s">
        <v>265</v>
      </c>
      <c r="G372">
        <v>221.6</v>
      </c>
      <c r="H372">
        <v>265.92</v>
      </c>
      <c r="I372" t="s">
        <v>267</v>
      </c>
      <c r="J372" t="s">
        <v>371</v>
      </c>
      <c r="K372" t="s">
        <v>425</v>
      </c>
      <c r="L372" t="s">
        <v>170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265.92</v>
      </c>
      <c r="AQ372">
        <f>$H$372*$W$372</f>
        <v>265.92</v>
      </c>
      <c r="AR372">
        <f>$H$372*$X$372</f>
        <v>265.92</v>
      </c>
      <c r="AS372">
        <f>$H$372*$Y$372</f>
        <v>265.92</v>
      </c>
      <c r="AT372">
        <f>$H$372*$Z$372</f>
        <v>265.92</v>
      </c>
      <c r="AU372">
        <f>$H$372*$AA$372</f>
        <v>265.92</v>
      </c>
      <c r="AV372">
        <f>$H$372*$AB$372</f>
        <v>265.92</v>
      </c>
      <c r="AW372">
        <f>$H$372*$AC$372</f>
        <v>265.92</v>
      </c>
      <c r="AX372">
        <f>$H$372*$AD$372</f>
        <v>265.92</v>
      </c>
      <c r="AY372">
        <f>$H$372*$AE$372</f>
        <v>265.92</v>
      </c>
      <c r="AZ372">
        <f>$H$372*$AF$372</f>
        <v>265.92</v>
      </c>
    </row>
    <row r="373" spans="1:52" x14ac:dyDescent="0.25">
      <c r="A373">
        <v>421</v>
      </c>
      <c r="B373" t="s">
        <v>7</v>
      </c>
      <c r="C373" t="s">
        <v>603</v>
      </c>
      <c r="D373">
        <v>1</v>
      </c>
      <c r="E373">
        <v>1591.97</v>
      </c>
      <c r="F373" t="s">
        <v>265</v>
      </c>
      <c r="G373">
        <v>1591.97</v>
      </c>
      <c r="H373">
        <v>1910.37</v>
      </c>
      <c r="I373" t="s">
        <v>360</v>
      </c>
      <c r="J373" t="s">
        <v>604</v>
      </c>
      <c r="K373" t="s">
        <v>683</v>
      </c>
      <c r="L373" t="s">
        <v>170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1910.37</v>
      </c>
      <c r="AT373">
        <f>$H$373*$Z$373</f>
        <v>1910.37</v>
      </c>
      <c r="AU373">
        <f>$H$373*$AA$373</f>
        <v>1910.37</v>
      </c>
      <c r="AV373">
        <f>$H$373*$AB$373</f>
        <v>1910.37</v>
      </c>
      <c r="AW373">
        <f>$H$373*$AC$373</f>
        <v>1910.37</v>
      </c>
      <c r="AX373">
        <f>$H$373*$AD$373</f>
        <v>1910.37</v>
      </c>
      <c r="AY373">
        <f>$H$373*$AE$373</f>
        <v>1910.37</v>
      </c>
      <c r="AZ373">
        <f>$H$373*$AF$373</f>
        <v>1910.37</v>
      </c>
    </row>
    <row r="374" spans="1:52" x14ac:dyDescent="0.25">
      <c r="A374">
        <v>422</v>
      </c>
      <c r="B374" t="s">
        <v>7</v>
      </c>
      <c r="C374" t="s">
        <v>605</v>
      </c>
      <c r="D374">
        <v>1</v>
      </c>
      <c r="E374">
        <v>409.78</v>
      </c>
      <c r="F374" t="s">
        <v>265</v>
      </c>
      <c r="G374">
        <v>409.78</v>
      </c>
      <c r="H374">
        <v>491.74</v>
      </c>
      <c r="I374" t="s">
        <v>360</v>
      </c>
      <c r="J374" t="s">
        <v>606</v>
      </c>
      <c r="K374" t="s">
        <v>684</v>
      </c>
      <c r="L374" t="s">
        <v>170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491.74</v>
      </c>
      <c r="AT374">
        <f>$H$374*$Z$374</f>
        <v>491.74</v>
      </c>
      <c r="AU374">
        <f>$H$374*$AA$374</f>
        <v>491.74</v>
      </c>
      <c r="AV374">
        <f>$H$374*$AB$374</f>
        <v>491.74</v>
      </c>
      <c r="AW374">
        <f>$H$374*$AC$374</f>
        <v>491.74</v>
      </c>
      <c r="AX374">
        <f>$H$374*$AD$374</f>
        <v>491.74</v>
      </c>
      <c r="AY374">
        <f>$H$374*$AE$374</f>
        <v>491.74</v>
      </c>
      <c r="AZ374">
        <f>$H$374*$AF$374</f>
        <v>491.74</v>
      </c>
    </row>
    <row r="375" spans="1:52" x14ac:dyDescent="0.25">
      <c r="A375">
        <v>423</v>
      </c>
      <c r="B375" t="s">
        <v>7</v>
      </c>
      <c r="C375" t="s">
        <v>607</v>
      </c>
      <c r="D375">
        <v>1</v>
      </c>
      <c r="E375">
        <v>2248.6799999999998</v>
      </c>
      <c r="F375" t="s">
        <v>265</v>
      </c>
      <c r="G375">
        <v>2248.6799999999998</v>
      </c>
      <c r="H375">
        <v>2698.42</v>
      </c>
      <c r="I375" t="s">
        <v>332</v>
      </c>
      <c r="J375" t="s">
        <v>608</v>
      </c>
      <c r="K375" t="s">
        <v>685</v>
      </c>
      <c r="L375" t="s">
        <v>170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1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0</v>
      </c>
      <c r="AW375">
        <f>$H$375*$AC$375</f>
        <v>2698.42</v>
      </c>
      <c r="AX375">
        <f>$H$375*$AD$375</f>
        <v>2698.42</v>
      </c>
      <c r="AY375">
        <f>$H$375*$AE$375</f>
        <v>2698.42</v>
      </c>
      <c r="AZ375">
        <f>$H$375*$AF$375</f>
        <v>2698.42</v>
      </c>
    </row>
    <row r="376" spans="1:52" x14ac:dyDescent="0.25">
      <c r="A376">
        <v>424</v>
      </c>
      <c r="B376" t="s">
        <v>7</v>
      </c>
      <c r="C376" t="s">
        <v>609</v>
      </c>
      <c r="D376">
        <v>1</v>
      </c>
      <c r="E376">
        <v>1028.83</v>
      </c>
      <c r="F376" t="s">
        <v>265</v>
      </c>
      <c r="G376">
        <v>1028.83</v>
      </c>
      <c r="H376">
        <v>1234.5899999999999</v>
      </c>
      <c r="I376" t="s">
        <v>360</v>
      </c>
      <c r="J376" t="s">
        <v>610</v>
      </c>
      <c r="K376" t="s">
        <v>686</v>
      </c>
      <c r="L376" t="s">
        <v>170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1234.5899999999999</v>
      </c>
      <c r="AU376">
        <f>$H$376*$AA$376</f>
        <v>1234.5899999999999</v>
      </c>
      <c r="AV376">
        <f>$H$376*$AB$376</f>
        <v>1234.5899999999999</v>
      </c>
      <c r="AW376">
        <f>$H$376*$AC$376</f>
        <v>1234.5899999999999</v>
      </c>
      <c r="AX376">
        <f>$H$376*$AD$376</f>
        <v>1234.5899999999999</v>
      </c>
      <c r="AY376">
        <f>$H$376*$AE$376</f>
        <v>1234.5899999999999</v>
      </c>
      <c r="AZ376">
        <f>$H$376*$AF$376</f>
        <v>1234.5899999999999</v>
      </c>
    </row>
    <row r="377" spans="1:52" x14ac:dyDescent="0.25">
      <c r="A377">
        <v>425</v>
      </c>
      <c r="B377" t="s">
        <v>7</v>
      </c>
      <c r="C377" t="s">
        <v>611</v>
      </c>
      <c r="D377">
        <v>1</v>
      </c>
      <c r="E377">
        <v>158.28</v>
      </c>
      <c r="F377" t="s">
        <v>265</v>
      </c>
      <c r="G377">
        <v>158.28</v>
      </c>
      <c r="H377">
        <v>189.94</v>
      </c>
      <c r="I377" t="s">
        <v>276</v>
      </c>
      <c r="J377" t="s">
        <v>612</v>
      </c>
      <c r="K377" t="s">
        <v>687</v>
      </c>
      <c r="L377" t="s">
        <v>170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189.94</v>
      </c>
      <c r="AT377">
        <f>$H$377*$Z$377</f>
        <v>189.94</v>
      </c>
      <c r="AU377">
        <f>$H$377*$AA$377</f>
        <v>189.94</v>
      </c>
      <c r="AV377">
        <f>$H$377*$AB$377</f>
        <v>189.94</v>
      </c>
      <c r="AW377">
        <f>$H$377*$AC$377</f>
        <v>189.94</v>
      </c>
      <c r="AX377">
        <f>$H$377*$AD$377</f>
        <v>189.94</v>
      </c>
      <c r="AY377">
        <f>$H$377*$AE$377</f>
        <v>189.94</v>
      </c>
      <c r="AZ377">
        <f>$H$377*$AF$377</f>
        <v>189.94</v>
      </c>
    </row>
    <row r="378" spans="1:52" x14ac:dyDescent="0.25">
      <c r="A378">
        <v>426</v>
      </c>
      <c r="B378" t="s">
        <v>7</v>
      </c>
      <c r="C378" t="s">
        <v>613</v>
      </c>
      <c r="D378">
        <v>1</v>
      </c>
      <c r="E378">
        <v>1546.9</v>
      </c>
      <c r="F378" t="s">
        <v>265</v>
      </c>
      <c r="G378">
        <v>1546.9</v>
      </c>
      <c r="H378">
        <v>1856.28</v>
      </c>
      <c r="I378" t="s">
        <v>360</v>
      </c>
      <c r="J378" t="s">
        <v>614</v>
      </c>
      <c r="K378" t="s">
        <v>688</v>
      </c>
      <c r="L378" t="s">
        <v>170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1856.28</v>
      </c>
      <c r="AQ378">
        <f>$H$378*$W$378</f>
        <v>1856.28</v>
      </c>
      <c r="AR378">
        <f>$H$378*$X$378</f>
        <v>1856.28</v>
      </c>
      <c r="AS378">
        <f>$H$378*$Y$378</f>
        <v>1856.28</v>
      </c>
      <c r="AT378">
        <f>$H$378*$Z$378</f>
        <v>1856.28</v>
      </c>
      <c r="AU378">
        <f>$H$378*$AA$378</f>
        <v>1856.28</v>
      </c>
      <c r="AV378">
        <f>$H$378*$AB$378</f>
        <v>1856.28</v>
      </c>
      <c r="AW378">
        <f>$H$378*$AC$378</f>
        <v>1856.28</v>
      </c>
      <c r="AX378">
        <f>$H$378*$AD$378</f>
        <v>1856.28</v>
      </c>
      <c r="AY378">
        <f>$H$378*$AE$378</f>
        <v>1856.28</v>
      </c>
      <c r="AZ378">
        <f>$H$378*$AF$378</f>
        <v>1856.28</v>
      </c>
    </row>
    <row r="379" spans="1:52" x14ac:dyDescent="0.25">
      <c r="A379">
        <v>427</v>
      </c>
      <c r="B379" t="s">
        <v>7</v>
      </c>
      <c r="C379" t="s">
        <v>335</v>
      </c>
      <c r="D379">
        <v>14.4</v>
      </c>
      <c r="E379">
        <v>55.15</v>
      </c>
      <c r="F379" t="s">
        <v>262</v>
      </c>
      <c r="G379">
        <v>3.83</v>
      </c>
      <c r="H379">
        <v>66.19</v>
      </c>
      <c r="I379" t="s">
        <v>336</v>
      </c>
      <c r="J379" t="s">
        <v>337</v>
      </c>
      <c r="K379" t="s">
        <v>409</v>
      </c>
      <c r="L379" t="s">
        <v>170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0</v>
      </c>
      <c r="AU379">
        <f>$H$379*$AA$379</f>
        <v>66.19</v>
      </c>
      <c r="AV379">
        <f>$H$379*$AB$379</f>
        <v>66.19</v>
      </c>
      <c r="AW379">
        <f>$H$379*$AC$379</f>
        <v>66.19</v>
      </c>
      <c r="AX379">
        <f>$H$379*$AD$379</f>
        <v>66.19</v>
      </c>
      <c r="AY379">
        <f>$H$379*$AE$379</f>
        <v>66.19</v>
      </c>
      <c r="AZ379">
        <f>$H$379*$AF$379</f>
        <v>66.19</v>
      </c>
    </row>
    <row r="380" spans="1:52" x14ac:dyDescent="0.25">
      <c r="A380">
        <v>428</v>
      </c>
      <c r="B380" t="s">
        <v>7</v>
      </c>
      <c r="C380" t="s">
        <v>338</v>
      </c>
      <c r="D380">
        <v>129.6</v>
      </c>
      <c r="E380">
        <v>428.98</v>
      </c>
      <c r="F380" t="s">
        <v>275</v>
      </c>
      <c r="G380">
        <v>3.31</v>
      </c>
      <c r="H380">
        <v>514.78</v>
      </c>
      <c r="I380" t="s">
        <v>336</v>
      </c>
      <c r="J380" t="s">
        <v>339</v>
      </c>
      <c r="K380" t="s">
        <v>410</v>
      </c>
      <c r="L380" t="s">
        <v>170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514.78</v>
      </c>
      <c r="AN380">
        <f>$H$380*$T$380</f>
        <v>514.78</v>
      </c>
      <c r="AO380">
        <f>$H$380*$U$380</f>
        <v>514.78</v>
      </c>
      <c r="AP380">
        <f>$H$380*$V$380</f>
        <v>514.78</v>
      </c>
      <c r="AQ380">
        <f>$H$380*$W$380</f>
        <v>514.78</v>
      </c>
      <c r="AR380">
        <f>$H$380*$X$380</f>
        <v>514.78</v>
      </c>
      <c r="AS380">
        <f>$H$380*$Y$380</f>
        <v>514.78</v>
      </c>
      <c r="AT380">
        <f>$H$380*$Z$380</f>
        <v>514.78</v>
      </c>
      <c r="AU380">
        <f>$H$380*$AA$380</f>
        <v>514.78</v>
      </c>
      <c r="AV380">
        <f>$H$380*$AB$380</f>
        <v>514.78</v>
      </c>
      <c r="AW380">
        <f>$H$380*$AC$380</f>
        <v>514.78</v>
      </c>
      <c r="AX380">
        <f>$H$380*$AD$380</f>
        <v>514.78</v>
      </c>
      <c r="AY380">
        <f>$H$380*$AE$380</f>
        <v>514.78</v>
      </c>
      <c r="AZ380">
        <f>$H$380*$AF$380</f>
        <v>514.78</v>
      </c>
    </row>
    <row r="381" spans="1:52" x14ac:dyDescent="0.25">
      <c r="A381">
        <v>429</v>
      </c>
      <c r="B381" t="s">
        <v>7</v>
      </c>
      <c r="C381" t="s">
        <v>340</v>
      </c>
      <c r="D381">
        <v>129.6</v>
      </c>
      <c r="E381">
        <v>137.38</v>
      </c>
      <c r="F381" t="s">
        <v>275</v>
      </c>
      <c r="G381">
        <v>1.06</v>
      </c>
      <c r="H381">
        <v>164.86</v>
      </c>
      <c r="I381" t="s">
        <v>263</v>
      </c>
      <c r="J381" t="s">
        <v>341</v>
      </c>
      <c r="K381" t="s">
        <v>411</v>
      </c>
      <c r="L381" t="s">
        <v>170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164.86</v>
      </c>
      <c r="AY381">
        <f>$H$381*$AE$381</f>
        <v>164.86</v>
      </c>
      <c r="AZ381">
        <f>$H$381*$AF$381</f>
        <v>164.86</v>
      </c>
    </row>
    <row r="382" spans="1:52" x14ac:dyDescent="0.25">
      <c r="A382">
        <v>430</v>
      </c>
      <c r="B382" t="s">
        <v>7</v>
      </c>
      <c r="C382" t="s">
        <v>283</v>
      </c>
      <c r="D382">
        <v>162</v>
      </c>
      <c r="E382">
        <v>262.44</v>
      </c>
      <c r="F382" t="s">
        <v>275</v>
      </c>
      <c r="G382">
        <v>1.62</v>
      </c>
      <c r="H382">
        <v>314.92</v>
      </c>
      <c r="I382" t="s">
        <v>263</v>
      </c>
      <c r="J382" t="s">
        <v>284</v>
      </c>
      <c r="K382" t="s">
        <v>387</v>
      </c>
      <c r="L382" t="s">
        <v>170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314.92</v>
      </c>
      <c r="AO382">
        <f>$H$382*$U$382</f>
        <v>314.92</v>
      </c>
      <c r="AP382">
        <f>$H$382*$V$382</f>
        <v>314.92</v>
      </c>
      <c r="AQ382">
        <f>$H$382*$W$382</f>
        <v>314.92</v>
      </c>
      <c r="AR382">
        <f>$H$382*$X$382</f>
        <v>314.92</v>
      </c>
      <c r="AS382">
        <f>$H$382*$Y$382</f>
        <v>314.92</v>
      </c>
      <c r="AT382">
        <f>$H$382*$Z$382</f>
        <v>314.92</v>
      </c>
      <c r="AU382">
        <f>$H$382*$AA$382</f>
        <v>314.92</v>
      </c>
      <c r="AV382">
        <f>$H$382*$AB$382</f>
        <v>314.92</v>
      </c>
      <c r="AW382">
        <f>$H$382*$AC$382</f>
        <v>314.92</v>
      </c>
      <c r="AX382">
        <f>$H$382*$AD$382</f>
        <v>314.92</v>
      </c>
      <c r="AY382">
        <f>$H$382*$AE$382</f>
        <v>314.92</v>
      </c>
      <c r="AZ382">
        <f>$H$382*$AF$382</f>
        <v>314.92</v>
      </c>
    </row>
    <row r="383" spans="1:52" x14ac:dyDescent="0.25">
      <c r="A383">
        <v>431</v>
      </c>
      <c r="B383" t="s">
        <v>7</v>
      </c>
      <c r="C383" t="s">
        <v>526</v>
      </c>
      <c r="D383">
        <v>32.4</v>
      </c>
      <c r="E383">
        <v>137.05000000000001</v>
      </c>
      <c r="F383" t="s">
        <v>275</v>
      </c>
      <c r="G383">
        <v>4.2300000000000004</v>
      </c>
      <c r="H383">
        <v>164.47</v>
      </c>
      <c r="I383" t="s">
        <v>527</v>
      </c>
      <c r="J383" t="s">
        <v>309</v>
      </c>
      <c r="K383" t="s">
        <v>644</v>
      </c>
      <c r="L383" t="s">
        <v>170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0.25</v>
      </c>
      <c r="T383">
        <v>0.25</v>
      </c>
      <c r="U383">
        <v>0.25</v>
      </c>
      <c r="V383">
        <v>0.25</v>
      </c>
      <c r="W383">
        <v>0.25</v>
      </c>
      <c r="X383">
        <v>0.5</v>
      </c>
      <c r="Y383">
        <v>0.5</v>
      </c>
      <c r="Z383">
        <v>0.5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41.1175</v>
      </c>
      <c r="AN383">
        <f>$H$383*$T$383</f>
        <v>41.1175</v>
      </c>
      <c r="AO383">
        <f>$H$383*$U$383</f>
        <v>41.1175</v>
      </c>
      <c r="AP383">
        <f>$H$383*$V$383</f>
        <v>41.1175</v>
      </c>
      <c r="AQ383">
        <f>$H$383*$W$383</f>
        <v>41.1175</v>
      </c>
      <c r="AR383">
        <f>$H$383*$X$383</f>
        <v>82.234999999999999</v>
      </c>
      <c r="AS383">
        <f>$H$383*$Y$383</f>
        <v>82.234999999999999</v>
      </c>
      <c r="AT383">
        <f>$H$383*$Z$383</f>
        <v>82.234999999999999</v>
      </c>
      <c r="AU383">
        <f>$H$383*$AA$383</f>
        <v>164.47</v>
      </c>
      <c r="AV383">
        <f>$H$383*$AB$383</f>
        <v>164.47</v>
      </c>
      <c r="AW383">
        <f>$H$383*$AC$383</f>
        <v>164.47</v>
      </c>
      <c r="AX383">
        <f>$H$383*$AD$383</f>
        <v>164.47</v>
      </c>
      <c r="AY383">
        <f>$H$383*$AE$383</f>
        <v>164.47</v>
      </c>
      <c r="AZ383">
        <f>$H$383*$AF$383</f>
        <v>164.47</v>
      </c>
    </row>
    <row r="384" spans="1:52" x14ac:dyDescent="0.25">
      <c r="A384">
        <v>432</v>
      </c>
      <c r="B384" t="s">
        <v>7</v>
      </c>
      <c r="C384" t="s">
        <v>285</v>
      </c>
      <c r="D384">
        <v>324</v>
      </c>
      <c r="E384">
        <v>1338.12</v>
      </c>
      <c r="F384" t="s">
        <v>275</v>
      </c>
      <c r="G384">
        <v>4.13</v>
      </c>
      <c r="H384">
        <v>1605.74</v>
      </c>
      <c r="I384" t="s">
        <v>286</v>
      </c>
      <c r="J384" t="s">
        <v>287</v>
      </c>
      <c r="K384" t="s">
        <v>388</v>
      </c>
      <c r="L384" t="s">
        <v>170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0.25</v>
      </c>
      <c r="T384">
        <v>0.25</v>
      </c>
      <c r="U384">
        <v>0.25</v>
      </c>
      <c r="V384">
        <v>0.25</v>
      </c>
      <c r="W384">
        <v>0.5</v>
      </c>
      <c r="X384">
        <v>0.5</v>
      </c>
      <c r="Y384">
        <v>0.5</v>
      </c>
      <c r="Z384">
        <v>0.5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401.435</v>
      </c>
      <c r="AN384">
        <f>$H$384*$T$384</f>
        <v>401.435</v>
      </c>
      <c r="AO384">
        <f>$H$384*$U$384</f>
        <v>401.435</v>
      </c>
      <c r="AP384">
        <f>$H$384*$V$384</f>
        <v>401.435</v>
      </c>
      <c r="AQ384">
        <f>$H$384*$W$384</f>
        <v>802.87</v>
      </c>
      <c r="AR384">
        <f>$H$384*$X$384</f>
        <v>802.87</v>
      </c>
      <c r="AS384">
        <f>$H$384*$Y$384</f>
        <v>802.87</v>
      </c>
      <c r="AT384">
        <f>$H$384*$Z$384</f>
        <v>802.87</v>
      </c>
      <c r="AU384">
        <f>$H$384*$AA$384</f>
        <v>1605.74</v>
      </c>
      <c r="AV384">
        <f>$H$384*$AB$384</f>
        <v>1605.74</v>
      </c>
      <c r="AW384">
        <f>$H$384*$AC$384</f>
        <v>1605.74</v>
      </c>
      <c r="AX384">
        <f>$H$384*$AD$384</f>
        <v>1605.74</v>
      </c>
      <c r="AY384">
        <f>$H$384*$AE$384</f>
        <v>1605.74</v>
      </c>
      <c r="AZ384">
        <f>$H$384*$AF$384</f>
        <v>1605.74</v>
      </c>
    </row>
    <row r="385" spans="1:52" x14ac:dyDescent="0.25">
      <c r="A385">
        <v>433</v>
      </c>
      <c r="B385" t="s">
        <v>7</v>
      </c>
      <c r="C385" t="s">
        <v>615</v>
      </c>
      <c r="D385">
        <v>36</v>
      </c>
      <c r="E385">
        <v>95.04</v>
      </c>
      <c r="F385" t="s">
        <v>262</v>
      </c>
      <c r="G385">
        <v>2.64</v>
      </c>
      <c r="H385">
        <v>114.04</v>
      </c>
      <c r="I385" t="s">
        <v>263</v>
      </c>
      <c r="J385" t="s">
        <v>616</v>
      </c>
      <c r="K385" t="s">
        <v>689</v>
      </c>
      <c r="L385" t="s">
        <v>170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114.04</v>
      </c>
      <c r="AU385">
        <f>$H$385*$AA$385</f>
        <v>114.04</v>
      </c>
      <c r="AV385">
        <f>$H$385*$AB$385</f>
        <v>114.04</v>
      </c>
      <c r="AW385">
        <f>$H$385*$AC$385</f>
        <v>114.04</v>
      </c>
      <c r="AX385">
        <f>$H$385*$AD$385</f>
        <v>114.04</v>
      </c>
      <c r="AY385">
        <f>$H$385*$AE$385</f>
        <v>114.04</v>
      </c>
      <c r="AZ385">
        <f>$H$385*$AF$385</f>
        <v>114.04</v>
      </c>
    </row>
    <row r="386" spans="1:52" x14ac:dyDescent="0.25">
      <c r="A386">
        <v>434</v>
      </c>
      <c r="B386" t="s">
        <v>7</v>
      </c>
      <c r="C386" t="s">
        <v>617</v>
      </c>
      <c r="D386">
        <v>36</v>
      </c>
      <c r="E386">
        <v>285.12</v>
      </c>
      <c r="F386" t="s">
        <v>262</v>
      </c>
      <c r="G386">
        <v>7.92</v>
      </c>
      <c r="H386">
        <v>342.14</v>
      </c>
      <c r="I386" t="s">
        <v>264</v>
      </c>
      <c r="J386" t="s">
        <v>618</v>
      </c>
      <c r="K386" t="s">
        <v>690</v>
      </c>
      <c r="L386" t="s">
        <v>170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342.14</v>
      </c>
      <c r="AU386">
        <f>$H$386*$AA$386</f>
        <v>342.14</v>
      </c>
      <c r="AV386">
        <f>$H$386*$AB$386</f>
        <v>342.14</v>
      </c>
      <c r="AW386">
        <f>$H$386*$AC$386</f>
        <v>342.14</v>
      </c>
      <c r="AX386">
        <f>$H$386*$AD$386</f>
        <v>342.14</v>
      </c>
      <c r="AY386">
        <f>$H$386*$AE$386</f>
        <v>342.14</v>
      </c>
      <c r="AZ386">
        <f>$H$386*$AF$386</f>
        <v>342.14</v>
      </c>
    </row>
    <row r="387" spans="1:52" x14ac:dyDescent="0.25">
      <c r="A387">
        <v>435</v>
      </c>
      <c r="B387" t="s">
        <v>7</v>
      </c>
      <c r="C387" t="s">
        <v>342</v>
      </c>
      <c r="D387">
        <v>36</v>
      </c>
      <c r="E387">
        <v>95.04</v>
      </c>
      <c r="F387" t="s">
        <v>262</v>
      </c>
      <c r="G387">
        <v>2.64</v>
      </c>
      <c r="H387">
        <v>114.04</v>
      </c>
      <c r="I387" t="s">
        <v>263</v>
      </c>
      <c r="J387" t="s">
        <v>343</v>
      </c>
      <c r="K387" t="s">
        <v>412</v>
      </c>
      <c r="L387" t="s">
        <v>170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114.04</v>
      </c>
      <c r="AN387">
        <f>$H$387*$T$387</f>
        <v>114.04</v>
      </c>
      <c r="AO387">
        <f>$H$387*$U$387</f>
        <v>114.04</v>
      </c>
      <c r="AP387">
        <f>$H$387*$V$387</f>
        <v>114.04</v>
      </c>
      <c r="AQ387">
        <f>$H$387*$W$387</f>
        <v>114.04</v>
      </c>
      <c r="AR387">
        <f>$H$387*$X$387</f>
        <v>114.04</v>
      </c>
      <c r="AS387">
        <f>$H$387*$Y$387</f>
        <v>114.04</v>
      </c>
      <c r="AT387">
        <f>$H$387*$Z$387</f>
        <v>114.04</v>
      </c>
      <c r="AU387">
        <f>$H$387*$AA$387</f>
        <v>114.04</v>
      </c>
      <c r="AV387">
        <f>$H$387*$AB$387</f>
        <v>114.04</v>
      </c>
      <c r="AW387">
        <f>$H$387*$AC$387</f>
        <v>114.04</v>
      </c>
      <c r="AX387">
        <f>$H$387*$AD$387</f>
        <v>114.04</v>
      </c>
      <c r="AY387">
        <f>$H$387*$AE$387</f>
        <v>114.04</v>
      </c>
      <c r="AZ387">
        <f>$H$387*$AF$387</f>
        <v>114.04</v>
      </c>
    </row>
    <row r="388" spans="1:52" x14ac:dyDescent="0.25">
      <c r="A388">
        <v>436</v>
      </c>
      <c r="B388" t="s">
        <v>7</v>
      </c>
      <c r="C388" t="s">
        <v>344</v>
      </c>
      <c r="D388">
        <v>36</v>
      </c>
      <c r="E388">
        <v>222.84</v>
      </c>
      <c r="F388" t="s">
        <v>262</v>
      </c>
      <c r="G388">
        <v>6.19</v>
      </c>
      <c r="H388">
        <v>267.39999999999998</v>
      </c>
      <c r="I388" t="s">
        <v>264</v>
      </c>
      <c r="J388" t="s">
        <v>345</v>
      </c>
      <c r="K388" t="s">
        <v>413</v>
      </c>
      <c r="L388" t="s">
        <v>170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267.39999999999998</v>
      </c>
      <c r="AN388">
        <f>$H$388*$T$388</f>
        <v>267.39999999999998</v>
      </c>
      <c r="AO388">
        <f>$H$388*$U$388</f>
        <v>267.39999999999998</v>
      </c>
      <c r="AP388">
        <f>$H$388*$V$388</f>
        <v>267.39999999999998</v>
      </c>
      <c r="AQ388">
        <f>$H$388*$W$388</f>
        <v>267.39999999999998</v>
      </c>
      <c r="AR388">
        <f>$H$388*$X$388</f>
        <v>267.39999999999998</v>
      </c>
      <c r="AS388">
        <f>$H$388*$Y$388</f>
        <v>267.39999999999998</v>
      </c>
      <c r="AT388">
        <f>$H$388*$Z$388</f>
        <v>267.39999999999998</v>
      </c>
      <c r="AU388">
        <f>$H$388*$AA$388</f>
        <v>267.39999999999998</v>
      </c>
      <c r="AV388">
        <f>$H$388*$AB$388</f>
        <v>267.39999999999998</v>
      </c>
      <c r="AW388">
        <f>$H$388*$AC$388</f>
        <v>267.39999999999998</v>
      </c>
      <c r="AX388">
        <f>$H$388*$AD$388</f>
        <v>267.39999999999998</v>
      </c>
      <c r="AY388">
        <f>$H$388*$AE$388</f>
        <v>267.39999999999998</v>
      </c>
      <c r="AZ388">
        <f>$H$388*$AF$388</f>
        <v>267.39999999999998</v>
      </c>
    </row>
    <row r="389" spans="1:52" x14ac:dyDescent="0.25">
      <c r="A389">
        <v>437</v>
      </c>
      <c r="B389" t="s">
        <v>7</v>
      </c>
      <c r="C389" t="s">
        <v>285</v>
      </c>
      <c r="D389">
        <v>80.83</v>
      </c>
      <c r="E389">
        <v>333.83</v>
      </c>
      <c r="F389" t="s">
        <v>275</v>
      </c>
      <c r="G389">
        <v>4.13</v>
      </c>
      <c r="H389">
        <v>400.59</v>
      </c>
      <c r="I389" t="s">
        <v>286</v>
      </c>
      <c r="J389" t="s">
        <v>287</v>
      </c>
      <c r="K389" t="s">
        <v>388</v>
      </c>
      <c r="L389" t="s">
        <v>170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100.14749999999999</v>
      </c>
      <c r="AN389">
        <f>$H$389*$T$389</f>
        <v>100.14749999999999</v>
      </c>
      <c r="AO389">
        <f>$H$389*$U$389</f>
        <v>100.14749999999999</v>
      </c>
      <c r="AP389">
        <f>$H$389*$V$389</f>
        <v>100.14749999999999</v>
      </c>
      <c r="AQ389">
        <f>$H$389*$W$389</f>
        <v>200.29499999999999</v>
      </c>
      <c r="AR389">
        <f>$H$389*$X$389</f>
        <v>200.29499999999999</v>
      </c>
      <c r="AS389">
        <f>$H$389*$Y$389</f>
        <v>200.29499999999999</v>
      </c>
      <c r="AT389">
        <f>$H$389*$Z$389</f>
        <v>200.29499999999999</v>
      </c>
      <c r="AU389">
        <f>$H$389*$AA$389</f>
        <v>400.59</v>
      </c>
      <c r="AV389">
        <f>$H$389*$AB$389</f>
        <v>400.59</v>
      </c>
      <c r="AW389">
        <f>$H$389*$AC$389</f>
        <v>400.59</v>
      </c>
      <c r="AX389">
        <f>$H$389*$AD$389</f>
        <v>400.59</v>
      </c>
      <c r="AY389">
        <f>$H$389*$AE$389</f>
        <v>400.59</v>
      </c>
      <c r="AZ389">
        <f>$H$389*$AF$389</f>
        <v>400.59</v>
      </c>
    </row>
    <row r="390" spans="1:52" x14ac:dyDescent="0.25">
      <c r="A390">
        <v>438</v>
      </c>
      <c r="B390" t="s">
        <v>7</v>
      </c>
      <c r="C390" t="s">
        <v>340</v>
      </c>
      <c r="D390">
        <v>80.83</v>
      </c>
      <c r="E390">
        <v>85.68</v>
      </c>
      <c r="F390" t="s">
        <v>275</v>
      </c>
      <c r="G390">
        <v>1.06</v>
      </c>
      <c r="H390">
        <v>102.82</v>
      </c>
      <c r="I390" t="s">
        <v>263</v>
      </c>
      <c r="J390" t="s">
        <v>341</v>
      </c>
      <c r="K390" t="s">
        <v>411</v>
      </c>
      <c r="L390" t="s">
        <v>170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0</v>
      </c>
      <c r="AV390">
        <f>$H$390*$AB$390</f>
        <v>0</v>
      </c>
      <c r="AW390">
        <f>$H$390*$AC$390</f>
        <v>0</v>
      </c>
      <c r="AX390">
        <f>$H$390*$AD$390</f>
        <v>102.82</v>
      </c>
      <c r="AY390">
        <f>$H$390*$AE$390</f>
        <v>102.82</v>
      </c>
      <c r="AZ390">
        <f>$H$390*$AF$390</f>
        <v>102.82</v>
      </c>
    </row>
    <row r="391" spans="1:52" x14ac:dyDescent="0.25">
      <c r="A391">
        <v>439</v>
      </c>
      <c r="B391" t="s">
        <v>7</v>
      </c>
      <c r="C391" t="s">
        <v>346</v>
      </c>
      <c r="D391">
        <v>80.83</v>
      </c>
      <c r="E391">
        <v>90.53</v>
      </c>
      <c r="F391" t="s">
        <v>275</v>
      </c>
      <c r="G391">
        <v>1.1200000000000001</v>
      </c>
      <c r="H391">
        <v>108.63</v>
      </c>
      <c r="I391" t="s">
        <v>263</v>
      </c>
      <c r="J391" t="s">
        <v>347</v>
      </c>
      <c r="K391" t="s">
        <v>414</v>
      </c>
      <c r="L391" t="s">
        <v>170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108.63</v>
      </c>
      <c r="AN391">
        <f>$H$391*$T$391</f>
        <v>108.63</v>
      </c>
      <c r="AO391">
        <f>$H$391*$U$391</f>
        <v>108.63</v>
      </c>
      <c r="AP391">
        <f>$H$391*$V$391</f>
        <v>108.63</v>
      </c>
      <c r="AQ391">
        <f>$H$391*$W$391</f>
        <v>108.63</v>
      </c>
      <c r="AR391">
        <f>$H$391*$X$391</f>
        <v>108.63</v>
      </c>
      <c r="AS391">
        <f>$H$391*$Y$391</f>
        <v>108.63</v>
      </c>
      <c r="AT391">
        <f>$H$391*$Z$391</f>
        <v>108.63</v>
      </c>
      <c r="AU391">
        <f>$H$391*$AA$391</f>
        <v>108.63</v>
      </c>
      <c r="AV391">
        <f>$H$391*$AB$391</f>
        <v>108.63</v>
      </c>
      <c r="AW391">
        <f>$H$391*$AC$391</f>
        <v>108.63</v>
      </c>
      <c r="AX391">
        <f>$H$391*$AD$391</f>
        <v>108.63</v>
      </c>
      <c r="AY391">
        <f>$H$391*$AE$391</f>
        <v>108.63</v>
      </c>
      <c r="AZ391">
        <f>$H$391*$AF$391</f>
        <v>108.63</v>
      </c>
    </row>
    <row r="392" spans="1:52" x14ac:dyDescent="0.25">
      <c r="A392">
        <v>440</v>
      </c>
      <c r="B392" t="s">
        <v>7</v>
      </c>
      <c r="C392" t="s">
        <v>528</v>
      </c>
      <c r="D392">
        <v>16.170000000000002</v>
      </c>
      <c r="E392">
        <v>338.76</v>
      </c>
      <c r="F392" t="s">
        <v>275</v>
      </c>
      <c r="G392">
        <v>20.95</v>
      </c>
      <c r="H392">
        <v>406.52</v>
      </c>
      <c r="I392" t="s">
        <v>348</v>
      </c>
      <c r="J392" t="s">
        <v>529</v>
      </c>
      <c r="K392" t="s">
        <v>645</v>
      </c>
      <c r="L392" t="s">
        <v>170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406.52</v>
      </c>
      <c r="AT392">
        <f>$H$392*$Z$392</f>
        <v>406.52</v>
      </c>
      <c r="AU392">
        <f>$H$392*$AA$392</f>
        <v>406.52</v>
      </c>
      <c r="AV392">
        <f>$H$392*$AB$392</f>
        <v>406.52</v>
      </c>
      <c r="AW392">
        <f>$H$392*$AC$392</f>
        <v>406.52</v>
      </c>
      <c r="AX392">
        <f>$H$392*$AD$392</f>
        <v>406.52</v>
      </c>
      <c r="AY392">
        <f>$H$392*$AE$392</f>
        <v>406.52</v>
      </c>
      <c r="AZ392">
        <f>$H$392*$AF$392</f>
        <v>406.52</v>
      </c>
    </row>
    <row r="393" spans="1:52" x14ac:dyDescent="0.25">
      <c r="A393">
        <v>441</v>
      </c>
      <c r="B393" t="s">
        <v>7</v>
      </c>
      <c r="C393" t="s">
        <v>349</v>
      </c>
      <c r="D393">
        <v>32.33</v>
      </c>
      <c r="E393">
        <v>137.72999999999999</v>
      </c>
      <c r="F393" t="s">
        <v>275</v>
      </c>
      <c r="G393">
        <v>4.26</v>
      </c>
      <c r="H393">
        <v>165.27</v>
      </c>
      <c r="I393" t="s">
        <v>350</v>
      </c>
      <c r="J393" t="s">
        <v>351</v>
      </c>
      <c r="K393" t="s">
        <v>415</v>
      </c>
      <c r="L393" t="s">
        <v>170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165.27</v>
      </c>
      <c r="AN393">
        <f>$H$393*$T$393</f>
        <v>165.27</v>
      </c>
      <c r="AO393">
        <f>$H$393*$U$393</f>
        <v>165.27</v>
      </c>
      <c r="AP393">
        <f>$H$393*$V$393</f>
        <v>165.27</v>
      </c>
      <c r="AQ393">
        <f>$H$393*$W$393</f>
        <v>165.27</v>
      </c>
      <c r="AR393">
        <f>$H$393*$X$393</f>
        <v>165.27</v>
      </c>
      <c r="AS393">
        <f>$H$393*$Y$393</f>
        <v>165.27</v>
      </c>
      <c r="AT393">
        <f>$H$393*$Z$393</f>
        <v>165.27</v>
      </c>
      <c r="AU393">
        <f>$H$393*$AA$393</f>
        <v>165.27</v>
      </c>
      <c r="AV393">
        <f>$H$393*$AB$393</f>
        <v>165.27</v>
      </c>
      <c r="AW393">
        <f>$H$393*$AC$393</f>
        <v>165.27</v>
      </c>
      <c r="AX393">
        <f>$H$393*$AD$393</f>
        <v>165.27</v>
      </c>
      <c r="AY393">
        <f>$H$393*$AE$393</f>
        <v>165.27</v>
      </c>
      <c r="AZ393">
        <f>$H$393*$AF$393</f>
        <v>165.27</v>
      </c>
    </row>
    <row r="394" spans="1:52" x14ac:dyDescent="0.25">
      <c r="A394">
        <v>442</v>
      </c>
      <c r="B394" t="s">
        <v>7</v>
      </c>
      <c r="C394" t="s">
        <v>352</v>
      </c>
      <c r="D394">
        <v>32.33</v>
      </c>
      <c r="E394">
        <v>347.22</v>
      </c>
      <c r="F394" t="s">
        <v>275</v>
      </c>
      <c r="G394">
        <v>10.74</v>
      </c>
      <c r="H394">
        <v>416.66</v>
      </c>
      <c r="I394" t="s">
        <v>350</v>
      </c>
      <c r="J394" t="s">
        <v>293</v>
      </c>
      <c r="K394" t="s">
        <v>416</v>
      </c>
      <c r="L394" t="s">
        <v>170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416.66</v>
      </c>
      <c r="AN394">
        <f>$H$394*$T$394</f>
        <v>416.66</v>
      </c>
      <c r="AO394">
        <f>$H$394*$U$394</f>
        <v>416.66</v>
      </c>
      <c r="AP394">
        <f>$H$394*$V$394</f>
        <v>416.66</v>
      </c>
      <c r="AQ394">
        <f>$H$394*$W$394</f>
        <v>416.66</v>
      </c>
      <c r="AR394">
        <f>$H$394*$X$394</f>
        <v>416.66</v>
      </c>
      <c r="AS394">
        <f>$H$394*$Y$394</f>
        <v>416.66</v>
      </c>
      <c r="AT394">
        <f>$H$394*$Z$394</f>
        <v>416.66</v>
      </c>
      <c r="AU394">
        <f>$H$394*$AA$394</f>
        <v>416.66</v>
      </c>
      <c r="AV394">
        <f>$H$394*$AB$394</f>
        <v>416.66</v>
      </c>
      <c r="AW394">
        <f>$H$394*$AC$394</f>
        <v>416.66</v>
      </c>
      <c r="AX394">
        <f>$H$394*$AD$394</f>
        <v>416.66</v>
      </c>
      <c r="AY394">
        <f>$H$394*$AE$394</f>
        <v>416.66</v>
      </c>
      <c r="AZ394">
        <f>$H$394*$AF$394</f>
        <v>416.66</v>
      </c>
    </row>
    <row r="395" spans="1:52" x14ac:dyDescent="0.25">
      <c r="A395">
        <v>443</v>
      </c>
      <c r="B395" t="s">
        <v>7</v>
      </c>
      <c r="C395" t="s">
        <v>530</v>
      </c>
      <c r="D395">
        <v>37.18</v>
      </c>
      <c r="E395">
        <v>39.409999999999997</v>
      </c>
      <c r="F395" t="s">
        <v>275</v>
      </c>
      <c r="G395">
        <v>1.06</v>
      </c>
      <c r="H395">
        <v>47.29</v>
      </c>
      <c r="I395" t="s">
        <v>353</v>
      </c>
      <c r="J395" t="s">
        <v>531</v>
      </c>
      <c r="K395" t="s">
        <v>646</v>
      </c>
      <c r="L395" t="s">
        <v>170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47.29</v>
      </c>
      <c r="AN395">
        <f>$H$395*$T$395</f>
        <v>47.29</v>
      </c>
      <c r="AO395">
        <f>$H$395*$U$395</f>
        <v>47.29</v>
      </c>
      <c r="AP395">
        <f>$H$395*$V$395</f>
        <v>47.29</v>
      </c>
      <c r="AQ395">
        <f>$H$395*$W$395</f>
        <v>47.29</v>
      </c>
      <c r="AR395">
        <f>$H$395*$X$395</f>
        <v>47.29</v>
      </c>
      <c r="AS395">
        <f>$H$395*$Y$395</f>
        <v>47.29</v>
      </c>
      <c r="AT395">
        <f>$H$395*$Z$395</f>
        <v>47.29</v>
      </c>
      <c r="AU395">
        <f>$H$395*$AA$395</f>
        <v>47.29</v>
      </c>
      <c r="AV395">
        <f>$H$395*$AB$395</f>
        <v>47.29</v>
      </c>
      <c r="AW395">
        <f>$H$395*$AC$395</f>
        <v>47.29</v>
      </c>
      <c r="AX395">
        <f>$H$395*$AD$395</f>
        <v>47.29</v>
      </c>
      <c r="AY395">
        <f>$H$395*$AE$395</f>
        <v>47.29</v>
      </c>
      <c r="AZ395">
        <f>$H$395*$AF$395</f>
        <v>47.29</v>
      </c>
    </row>
    <row r="396" spans="1:52" x14ac:dyDescent="0.25">
      <c r="A396">
        <v>444</v>
      </c>
      <c r="B396" t="s">
        <v>7</v>
      </c>
      <c r="C396" t="s">
        <v>532</v>
      </c>
      <c r="D396">
        <v>37.18</v>
      </c>
      <c r="E396">
        <v>320.86</v>
      </c>
      <c r="F396" t="s">
        <v>275</v>
      </c>
      <c r="G396">
        <v>8.6300000000000008</v>
      </c>
      <c r="H396">
        <v>385.04</v>
      </c>
      <c r="I396" t="s">
        <v>353</v>
      </c>
      <c r="J396" t="s">
        <v>529</v>
      </c>
      <c r="K396" t="s">
        <v>647</v>
      </c>
      <c r="L396" t="s">
        <v>170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385.04</v>
      </c>
      <c r="AN396">
        <f>$H$396*$T$396</f>
        <v>385.04</v>
      </c>
      <c r="AO396">
        <f>$H$396*$U$396</f>
        <v>385.04</v>
      </c>
      <c r="AP396">
        <f>$H$396*$V$396</f>
        <v>385.04</v>
      </c>
      <c r="AQ396">
        <f>$H$396*$W$396</f>
        <v>385.04</v>
      </c>
      <c r="AR396">
        <f>$H$396*$X$396</f>
        <v>385.04</v>
      </c>
      <c r="AS396">
        <f>$H$396*$Y$396</f>
        <v>385.04</v>
      </c>
      <c r="AT396">
        <f>$H$396*$Z$396</f>
        <v>385.04</v>
      </c>
      <c r="AU396">
        <f>$H$396*$AA$396</f>
        <v>385.04</v>
      </c>
      <c r="AV396">
        <f>$H$396*$AB$396</f>
        <v>385.04</v>
      </c>
      <c r="AW396">
        <f>$H$396*$AC$396</f>
        <v>385.04</v>
      </c>
      <c r="AX396">
        <f>$H$396*$AD$396</f>
        <v>385.04</v>
      </c>
      <c r="AY396">
        <f>$H$396*$AE$396</f>
        <v>385.04</v>
      </c>
      <c r="AZ396">
        <f>$H$396*$AF$396</f>
        <v>385.04</v>
      </c>
    </row>
    <row r="397" spans="1:52" x14ac:dyDescent="0.25">
      <c r="A397">
        <v>445</v>
      </c>
      <c r="B397" t="s">
        <v>245</v>
      </c>
      <c r="C397" t="s">
        <v>266</v>
      </c>
      <c r="D397">
        <v>1</v>
      </c>
      <c r="E397">
        <v>94.01</v>
      </c>
      <c r="F397" t="s">
        <v>265</v>
      </c>
      <c r="G397">
        <v>94.01</v>
      </c>
      <c r="H397">
        <v>112.81</v>
      </c>
      <c r="I397" t="s">
        <v>267</v>
      </c>
      <c r="J397" t="s">
        <v>268</v>
      </c>
      <c r="K397" t="s">
        <v>380</v>
      </c>
      <c r="L397" t="s">
        <v>170</v>
      </c>
      <c r="M397" t="s">
        <v>245</v>
      </c>
      <c r="N397" t="s">
        <v>12</v>
      </c>
      <c r="O397" t="s">
        <v>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1</v>
      </c>
      <c r="AE397">
        <v>1</v>
      </c>
      <c r="AF397">
        <v>1</v>
      </c>
      <c r="AG397" t="s">
        <v>245</v>
      </c>
      <c r="AH397" t="s">
        <v>12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0</v>
      </c>
      <c r="AT397">
        <f>$H$397*$Z$397</f>
        <v>0</v>
      </c>
      <c r="AU397">
        <f>$H$397*$AA$397</f>
        <v>0</v>
      </c>
      <c r="AV397">
        <f>$H$397*$AB$397</f>
        <v>0</v>
      </c>
      <c r="AW397">
        <f>$H$397*$AC$397</f>
        <v>0</v>
      </c>
      <c r="AX397">
        <f>$H$397*$AD$397</f>
        <v>112.81</v>
      </c>
      <c r="AY397">
        <f>$H$397*$AE$397</f>
        <v>112.81</v>
      </c>
      <c r="AZ397">
        <f>$H$397*$AF$397</f>
        <v>112.81</v>
      </c>
    </row>
    <row r="398" spans="1:52" x14ac:dyDescent="0.25">
      <c r="A398">
        <v>446</v>
      </c>
      <c r="B398" t="s">
        <v>245</v>
      </c>
      <c r="C398" t="s">
        <v>279</v>
      </c>
      <c r="D398">
        <v>12</v>
      </c>
      <c r="E398">
        <v>92.76</v>
      </c>
      <c r="F398" t="s">
        <v>262</v>
      </c>
      <c r="G398">
        <v>7.73</v>
      </c>
      <c r="H398">
        <v>111.32</v>
      </c>
      <c r="I398" t="s">
        <v>263</v>
      </c>
      <c r="J398" t="s">
        <v>280</v>
      </c>
      <c r="K398" t="s">
        <v>385</v>
      </c>
      <c r="L398" t="s">
        <v>170</v>
      </c>
      <c r="M398" t="s">
        <v>245</v>
      </c>
      <c r="N398" t="s">
        <v>12</v>
      </c>
      <c r="O398" t="s">
        <v>4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245</v>
      </c>
      <c r="AH398" t="s">
        <v>12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111.32</v>
      </c>
      <c r="AV398">
        <f>$H$398*$AB$398</f>
        <v>111.32</v>
      </c>
      <c r="AW398">
        <f>$H$398*$AC$398</f>
        <v>111.32</v>
      </c>
      <c r="AX398">
        <f>$H$398*$AD$398</f>
        <v>111.32</v>
      </c>
      <c r="AY398">
        <f>$H$398*$AE$398</f>
        <v>111.32</v>
      </c>
      <c r="AZ398">
        <f>$H$398*$AF$398</f>
        <v>111.32</v>
      </c>
    </row>
    <row r="399" spans="1:52" x14ac:dyDescent="0.25">
      <c r="A399">
        <v>447</v>
      </c>
      <c r="B399" t="s">
        <v>245</v>
      </c>
      <c r="C399" t="s">
        <v>573</v>
      </c>
      <c r="D399">
        <v>6</v>
      </c>
      <c r="E399">
        <v>72.42</v>
      </c>
      <c r="F399" t="s">
        <v>262</v>
      </c>
      <c r="G399">
        <v>12.07</v>
      </c>
      <c r="H399">
        <v>86.9</v>
      </c>
      <c r="I399" t="s">
        <v>264</v>
      </c>
      <c r="J399" t="s">
        <v>574</v>
      </c>
      <c r="K399" t="s">
        <v>668</v>
      </c>
      <c r="L399" t="s">
        <v>170</v>
      </c>
      <c r="M399" t="s">
        <v>245</v>
      </c>
      <c r="N399" t="s">
        <v>12</v>
      </c>
      <c r="O399" t="s">
        <v>4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245</v>
      </c>
      <c r="AH399" t="s">
        <v>12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86.9</v>
      </c>
      <c r="AU399">
        <f>$H$399*$AA$399</f>
        <v>86.9</v>
      </c>
      <c r="AV399">
        <f>$H$399*$AB$399</f>
        <v>86.9</v>
      </c>
      <c r="AW399">
        <f>$H$399*$AC$399</f>
        <v>86.9</v>
      </c>
      <c r="AX399">
        <f>$H$399*$AD$399</f>
        <v>86.9</v>
      </c>
      <c r="AY399">
        <f>$H$399*$AE$399</f>
        <v>86.9</v>
      </c>
      <c r="AZ399">
        <f>$H$399*$AF$399</f>
        <v>86.9</v>
      </c>
    </row>
    <row r="400" spans="1:52" x14ac:dyDescent="0.25">
      <c r="A400">
        <v>448</v>
      </c>
      <c r="B400" t="s">
        <v>245</v>
      </c>
      <c r="C400" t="s">
        <v>281</v>
      </c>
      <c r="D400">
        <v>6</v>
      </c>
      <c r="E400">
        <v>76.92</v>
      </c>
      <c r="F400" t="s">
        <v>262</v>
      </c>
      <c r="G400">
        <v>12.82</v>
      </c>
      <c r="H400">
        <v>92.3</v>
      </c>
      <c r="I400" t="s">
        <v>264</v>
      </c>
      <c r="J400" t="s">
        <v>282</v>
      </c>
      <c r="K400" t="s">
        <v>386</v>
      </c>
      <c r="L400" t="s">
        <v>170</v>
      </c>
      <c r="M400" t="s">
        <v>245</v>
      </c>
      <c r="N400" t="s">
        <v>12</v>
      </c>
      <c r="O400" t="s">
        <v>4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245</v>
      </c>
      <c r="AH400" t="s">
        <v>12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92.3</v>
      </c>
      <c r="AV400">
        <f>$H$400*$AB$400</f>
        <v>92.3</v>
      </c>
      <c r="AW400">
        <f>$H$400*$AC$400</f>
        <v>92.3</v>
      </c>
      <c r="AX400">
        <f>$H$400*$AD$400</f>
        <v>92.3</v>
      </c>
      <c r="AY400">
        <f>$H$400*$AE$400</f>
        <v>92.3</v>
      </c>
      <c r="AZ400">
        <f>$H$400*$AF$400</f>
        <v>92.3</v>
      </c>
    </row>
    <row r="401" spans="1:52" x14ac:dyDescent="0.25">
      <c r="A401">
        <v>449</v>
      </c>
      <c r="B401" t="s">
        <v>245</v>
      </c>
      <c r="C401" t="s">
        <v>318</v>
      </c>
      <c r="D401">
        <v>6</v>
      </c>
      <c r="E401">
        <v>33.119999999999997</v>
      </c>
      <c r="F401" t="s">
        <v>262</v>
      </c>
      <c r="G401">
        <v>5.52</v>
      </c>
      <c r="H401">
        <v>39.74</v>
      </c>
      <c r="I401" t="s">
        <v>264</v>
      </c>
      <c r="J401" t="s">
        <v>319</v>
      </c>
      <c r="K401" t="s">
        <v>402</v>
      </c>
      <c r="L401" t="s">
        <v>170</v>
      </c>
      <c r="M401" t="s">
        <v>245</v>
      </c>
      <c r="N401" t="s">
        <v>12</v>
      </c>
      <c r="O401" t="s">
        <v>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1</v>
      </c>
      <c r="AD401">
        <v>1</v>
      </c>
      <c r="AE401">
        <v>1</v>
      </c>
      <c r="AF401">
        <v>1</v>
      </c>
      <c r="AG401" t="s">
        <v>245</v>
      </c>
      <c r="AH401" t="s">
        <v>12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39.74</v>
      </c>
      <c r="AX401">
        <f>$H$401*$AD$401</f>
        <v>39.74</v>
      </c>
      <c r="AY401">
        <f>$H$401*$AE$401</f>
        <v>39.74</v>
      </c>
      <c r="AZ401">
        <f>$H$401*$AF$401</f>
        <v>39.74</v>
      </c>
    </row>
    <row r="402" spans="1:52" x14ac:dyDescent="0.25">
      <c r="A402">
        <v>450</v>
      </c>
      <c r="B402" t="s">
        <v>245</v>
      </c>
      <c r="C402" t="s">
        <v>324</v>
      </c>
      <c r="D402">
        <v>8</v>
      </c>
      <c r="E402">
        <v>128.63999999999999</v>
      </c>
      <c r="F402" t="s">
        <v>265</v>
      </c>
      <c r="G402">
        <v>16.079999999999998</v>
      </c>
      <c r="H402">
        <v>154.36000000000001</v>
      </c>
      <c r="I402" t="s">
        <v>267</v>
      </c>
      <c r="J402" t="s">
        <v>325</v>
      </c>
      <c r="K402" t="s">
        <v>404</v>
      </c>
      <c r="L402" t="s">
        <v>170</v>
      </c>
      <c r="M402" t="s">
        <v>245</v>
      </c>
      <c r="N402" t="s">
        <v>12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245</v>
      </c>
      <c r="AH402" t="s">
        <v>12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154.36000000000001</v>
      </c>
      <c r="AS402">
        <f>$H$402*$Y$402</f>
        <v>154.36000000000001</v>
      </c>
      <c r="AT402">
        <f>$H$402*$Z$402</f>
        <v>154.36000000000001</v>
      </c>
      <c r="AU402">
        <f>$H$402*$AA$402</f>
        <v>154.36000000000001</v>
      </c>
      <c r="AV402">
        <f>$H$402*$AB$402</f>
        <v>154.36000000000001</v>
      </c>
      <c r="AW402">
        <f>$H$402*$AC$402</f>
        <v>154.36000000000001</v>
      </c>
      <c r="AX402">
        <f>$H$402*$AD$402</f>
        <v>154.36000000000001</v>
      </c>
      <c r="AY402">
        <f>$H$402*$AE$402</f>
        <v>154.36000000000001</v>
      </c>
      <c r="AZ402">
        <f>$H$402*$AF$402</f>
        <v>154.36000000000001</v>
      </c>
    </row>
    <row r="403" spans="1:52" x14ac:dyDescent="0.25">
      <c r="A403">
        <v>451</v>
      </c>
      <c r="B403" t="s">
        <v>245</v>
      </c>
      <c r="C403" t="s">
        <v>525</v>
      </c>
      <c r="D403">
        <v>1</v>
      </c>
      <c r="E403">
        <v>109.28</v>
      </c>
      <c r="F403" t="s">
        <v>265</v>
      </c>
      <c r="G403">
        <v>109.28</v>
      </c>
      <c r="H403">
        <v>131.13999999999999</v>
      </c>
      <c r="I403" t="s">
        <v>270</v>
      </c>
      <c r="J403" t="s">
        <v>293</v>
      </c>
      <c r="K403" t="s">
        <v>643</v>
      </c>
      <c r="L403" t="s">
        <v>170</v>
      </c>
      <c r="M403" t="s">
        <v>245</v>
      </c>
      <c r="N403" t="s">
        <v>12</v>
      </c>
      <c r="O403" t="s">
        <v>4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1</v>
      </c>
      <c r="AF403">
        <v>1</v>
      </c>
      <c r="AG403" t="s">
        <v>245</v>
      </c>
      <c r="AH403" t="s">
        <v>12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0</v>
      </c>
      <c r="AV403">
        <f>$H$403*$AB$403</f>
        <v>0</v>
      </c>
      <c r="AW403">
        <f>$H$403*$AC$403</f>
        <v>0</v>
      </c>
      <c r="AX403">
        <f>$H$403*$AD$403</f>
        <v>131.13999999999999</v>
      </c>
      <c r="AY403">
        <f>$H$403*$AE$403</f>
        <v>131.13999999999999</v>
      </c>
      <c r="AZ403">
        <f>$H$403*$AF$403</f>
        <v>131.13999999999999</v>
      </c>
    </row>
    <row r="404" spans="1:52" x14ac:dyDescent="0.25">
      <c r="A404">
        <v>452</v>
      </c>
      <c r="B404" t="s">
        <v>245</v>
      </c>
      <c r="C404" t="s">
        <v>288</v>
      </c>
      <c r="D404">
        <v>1</v>
      </c>
      <c r="E404">
        <v>63.54</v>
      </c>
      <c r="F404" t="s">
        <v>265</v>
      </c>
      <c r="G404">
        <v>63.54</v>
      </c>
      <c r="H404">
        <v>76.239999999999995</v>
      </c>
      <c r="I404" t="s">
        <v>289</v>
      </c>
      <c r="J404" t="s">
        <v>290</v>
      </c>
      <c r="K404" t="s">
        <v>389</v>
      </c>
      <c r="L404" t="s">
        <v>170</v>
      </c>
      <c r="M404" t="s">
        <v>245</v>
      </c>
      <c r="N404" t="s">
        <v>12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245</v>
      </c>
      <c r="AH404" t="s">
        <v>12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76.239999999999995</v>
      </c>
      <c r="AV404">
        <f>$H$404*$AB$404</f>
        <v>76.239999999999995</v>
      </c>
      <c r="AW404">
        <f>$H$404*$AC$404</f>
        <v>76.239999999999995</v>
      </c>
      <c r="AX404">
        <f>$H$404*$AD$404</f>
        <v>76.239999999999995</v>
      </c>
      <c r="AY404">
        <f>$H$404*$AE$404</f>
        <v>76.239999999999995</v>
      </c>
      <c r="AZ404">
        <f>$H$404*$AF$404</f>
        <v>76.239999999999995</v>
      </c>
    </row>
    <row r="405" spans="1:52" x14ac:dyDescent="0.25">
      <c r="A405">
        <v>453</v>
      </c>
      <c r="B405" t="s">
        <v>245</v>
      </c>
      <c r="C405" t="s">
        <v>355</v>
      </c>
      <c r="D405">
        <v>2</v>
      </c>
      <c r="E405">
        <v>166.64</v>
      </c>
      <c r="F405" t="s">
        <v>265</v>
      </c>
      <c r="G405">
        <v>83.32</v>
      </c>
      <c r="H405">
        <v>199.96</v>
      </c>
      <c r="I405" t="s">
        <v>263</v>
      </c>
      <c r="J405" t="s">
        <v>356</v>
      </c>
      <c r="K405" t="s">
        <v>418</v>
      </c>
      <c r="L405" t="s">
        <v>170</v>
      </c>
      <c r="M405" t="s">
        <v>245</v>
      </c>
      <c r="N405" t="s">
        <v>12</v>
      </c>
      <c r="O405" t="s">
        <v>4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245</v>
      </c>
      <c r="AH405" t="s">
        <v>12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199.96</v>
      </c>
      <c r="AN405">
        <f>$H$405*$T$405</f>
        <v>199.96</v>
      </c>
      <c r="AO405">
        <f>$H$405*$U$405</f>
        <v>199.96</v>
      </c>
      <c r="AP405">
        <f>$H$405*$V$405</f>
        <v>199.96</v>
      </c>
      <c r="AQ405">
        <f>$H$405*$W$405</f>
        <v>199.96</v>
      </c>
      <c r="AR405">
        <f>$H$405*$X$405</f>
        <v>199.96</v>
      </c>
      <c r="AS405">
        <f>$H$405*$Y$405</f>
        <v>199.96</v>
      </c>
      <c r="AT405">
        <f>$H$405*$Z$405</f>
        <v>199.96</v>
      </c>
      <c r="AU405">
        <f>$H$405*$AA$405</f>
        <v>199.96</v>
      </c>
      <c r="AV405">
        <f>$H$405*$AB$405</f>
        <v>199.96</v>
      </c>
      <c r="AW405">
        <f>$H$405*$AC$405</f>
        <v>199.96</v>
      </c>
      <c r="AX405">
        <f>$H$405*$AD$405</f>
        <v>199.96</v>
      </c>
      <c r="AY405">
        <f>$H$405*$AE$405</f>
        <v>199.96</v>
      </c>
      <c r="AZ405">
        <f>$H$405*$AF$405</f>
        <v>199.96</v>
      </c>
    </row>
    <row r="406" spans="1:52" x14ac:dyDescent="0.25">
      <c r="A406">
        <v>454</v>
      </c>
      <c r="B406" t="s">
        <v>245</v>
      </c>
      <c r="C406" t="s">
        <v>579</v>
      </c>
      <c r="D406">
        <v>1</v>
      </c>
      <c r="E406">
        <v>462.54</v>
      </c>
      <c r="F406" t="s">
        <v>265</v>
      </c>
      <c r="G406">
        <v>462.54</v>
      </c>
      <c r="H406">
        <v>555.04</v>
      </c>
      <c r="I406" t="s">
        <v>292</v>
      </c>
      <c r="J406" t="s">
        <v>580</v>
      </c>
      <c r="K406" t="s">
        <v>671</v>
      </c>
      <c r="L406" t="s">
        <v>170</v>
      </c>
      <c r="M406" t="s">
        <v>245</v>
      </c>
      <c r="N406" t="s">
        <v>12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245</v>
      </c>
      <c r="AH406" t="s">
        <v>12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555.04</v>
      </c>
      <c r="AO406">
        <f>$H$406*$U$406</f>
        <v>555.04</v>
      </c>
      <c r="AP406">
        <f>$H$406*$V$406</f>
        <v>555.04</v>
      </c>
      <c r="AQ406">
        <f>$H$406*$W$406</f>
        <v>555.04</v>
      </c>
      <c r="AR406">
        <f>$H$406*$X$406</f>
        <v>555.04</v>
      </c>
      <c r="AS406">
        <f>$H$406*$Y$406</f>
        <v>555.04</v>
      </c>
      <c r="AT406">
        <f>$H$406*$Z$406</f>
        <v>555.04</v>
      </c>
      <c r="AU406">
        <f>$H$406*$AA$406</f>
        <v>555.04</v>
      </c>
      <c r="AV406">
        <f>$H$406*$AB$406</f>
        <v>555.04</v>
      </c>
      <c r="AW406">
        <f>$H$406*$AC$406</f>
        <v>555.04</v>
      </c>
      <c r="AX406">
        <f>$H$406*$AD$406</f>
        <v>555.04</v>
      </c>
      <c r="AY406">
        <f>$H$406*$AE$406</f>
        <v>555.04</v>
      </c>
      <c r="AZ406">
        <f>$H$406*$AF$406</f>
        <v>555.04</v>
      </c>
    </row>
    <row r="407" spans="1:52" x14ac:dyDescent="0.25">
      <c r="A407">
        <v>455</v>
      </c>
      <c r="B407" t="s">
        <v>245</v>
      </c>
      <c r="C407" t="s">
        <v>296</v>
      </c>
      <c r="D407">
        <v>2</v>
      </c>
      <c r="E407">
        <v>126.18</v>
      </c>
      <c r="F407" t="s">
        <v>265</v>
      </c>
      <c r="G407">
        <v>63.09</v>
      </c>
      <c r="H407">
        <v>151.41999999999999</v>
      </c>
      <c r="I407" t="s">
        <v>263</v>
      </c>
      <c r="J407" t="s">
        <v>292</v>
      </c>
      <c r="K407" t="s">
        <v>392</v>
      </c>
      <c r="L407" t="s">
        <v>170</v>
      </c>
      <c r="M407" t="s">
        <v>245</v>
      </c>
      <c r="N407" t="s">
        <v>12</v>
      </c>
      <c r="O407" t="s">
        <v>4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245</v>
      </c>
      <c r="AH407" t="s">
        <v>12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151.41999999999999</v>
      </c>
      <c r="AN407">
        <f>$H$407*$T$407</f>
        <v>151.41999999999999</v>
      </c>
      <c r="AO407">
        <f>$H$407*$U$407</f>
        <v>151.41999999999999</v>
      </c>
      <c r="AP407">
        <f>$H$407*$V$407</f>
        <v>151.41999999999999</v>
      </c>
      <c r="AQ407">
        <f>$H$407*$W$407</f>
        <v>151.41999999999999</v>
      </c>
      <c r="AR407">
        <f>$H$407*$X$407</f>
        <v>151.41999999999999</v>
      </c>
      <c r="AS407">
        <f>$H$407*$Y$407</f>
        <v>151.41999999999999</v>
      </c>
      <c r="AT407">
        <f>$H$407*$Z$407</f>
        <v>151.41999999999999</v>
      </c>
      <c r="AU407">
        <f>$H$407*$AA$407</f>
        <v>151.41999999999999</v>
      </c>
      <c r="AV407">
        <f>$H$407*$AB$407</f>
        <v>151.41999999999999</v>
      </c>
      <c r="AW407">
        <f>$H$407*$AC$407</f>
        <v>151.41999999999999</v>
      </c>
      <c r="AX407">
        <f>$H$407*$AD$407</f>
        <v>151.41999999999999</v>
      </c>
      <c r="AY407">
        <f>$H$407*$AE$407</f>
        <v>151.41999999999999</v>
      </c>
      <c r="AZ407">
        <f>$H$407*$AF$407</f>
        <v>151.41999999999999</v>
      </c>
    </row>
    <row r="408" spans="1:52" x14ac:dyDescent="0.25">
      <c r="A408">
        <v>456</v>
      </c>
      <c r="B408" t="s">
        <v>245</v>
      </c>
      <c r="C408" t="s">
        <v>294</v>
      </c>
      <c r="D408">
        <v>2</v>
      </c>
      <c r="E408">
        <v>106.22</v>
      </c>
      <c r="F408" t="s">
        <v>265</v>
      </c>
      <c r="G408">
        <v>53.11</v>
      </c>
      <c r="H408">
        <v>127.46</v>
      </c>
      <c r="I408" t="s">
        <v>263</v>
      </c>
      <c r="J408" t="s">
        <v>295</v>
      </c>
      <c r="K408" t="s">
        <v>391</v>
      </c>
      <c r="L408" t="s">
        <v>170</v>
      </c>
      <c r="M408" t="s">
        <v>245</v>
      </c>
      <c r="N408" t="s">
        <v>12</v>
      </c>
      <c r="O408" t="s">
        <v>4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245</v>
      </c>
      <c r="AH408" t="s">
        <v>12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127.46</v>
      </c>
      <c r="AN408">
        <f>$H$408*$T$408</f>
        <v>127.46</v>
      </c>
      <c r="AO408">
        <f>$H$408*$U$408</f>
        <v>127.46</v>
      </c>
      <c r="AP408">
        <f>$H$408*$V$408</f>
        <v>127.46</v>
      </c>
      <c r="AQ408">
        <f>$H$408*$W$408</f>
        <v>127.46</v>
      </c>
      <c r="AR408">
        <f>$H$408*$X$408</f>
        <v>127.46</v>
      </c>
      <c r="AS408">
        <f>$H$408*$Y$408</f>
        <v>127.46</v>
      </c>
      <c r="AT408">
        <f>$H$408*$Z$408</f>
        <v>127.46</v>
      </c>
      <c r="AU408">
        <f>$H$408*$AA$408</f>
        <v>127.46</v>
      </c>
      <c r="AV408">
        <f>$H$408*$AB$408</f>
        <v>127.46</v>
      </c>
      <c r="AW408">
        <f>$H$408*$AC$408</f>
        <v>127.46</v>
      </c>
      <c r="AX408">
        <f>$H$408*$AD$408</f>
        <v>127.46</v>
      </c>
      <c r="AY408">
        <f>$H$408*$AE$408</f>
        <v>127.46</v>
      </c>
      <c r="AZ408">
        <f>$H$408*$AF$408</f>
        <v>127.46</v>
      </c>
    </row>
    <row r="409" spans="1:52" x14ac:dyDescent="0.25">
      <c r="A409">
        <v>457</v>
      </c>
      <c r="B409" t="s">
        <v>245</v>
      </c>
      <c r="C409" t="s">
        <v>291</v>
      </c>
      <c r="D409">
        <v>1</v>
      </c>
      <c r="E409">
        <v>410.31</v>
      </c>
      <c r="F409" t="s">
        <v>265</v>
      </c>
      <c r="G409">
        <v>410.31</v>
      </c>
      <c r="H409">
        <v>492.37</v>
      </c>
      <c r="I409" t="s">
        <v>292</v>
      </c>
      <c r="J409" t="s">
        <v>293</v>
      </c>
      <c r="K409" t="s">
        <v>390</v>
      </c>
      <c r="L409" t="s">
        <v>170</v>
      </c>
      <c r="M409" t="s">
        <v>245</v>
      </c>
      <c r="N409" t="s">
        <v>12</v>
      </c>
      <c r="O409" t="s">
        <v>4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245</v>
      </c>
      <c r="AH409" t="s">
        <v>12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492.37</v>
      </c>
      <c r="AO409">
        <f>$H$409*$U$409</f>
        <v>492.37</v>
      </c>
      <c r="AP409">
        <f>$H$409*$V$409</f>
        <v>492.37</v>
      </c>
      <c r="AQ409">
        <f>$H$409*$W$409</f>
        <v>492.37</v>
      </c>
      <c r="AR409">
        <f>$H$409*$X$409</f>
        <v>492.37</v>
      </c>
      <c r="AS409">
        <f>$H$409*$Y$409</f>
        <v>492.37</v>
      </c>
      <c r="AT409">
        <f>$H$409*$Z$409</f>
        <v>492.37</v>
      </c>
      <c r="AU409">
        <f>$H$409*$AA$409</f>
        <v>492.37</v>
      </c>
      <c r="AV409">
        <f>$H$409*$AB$409</f>
        <v>492.37</v>
      </c>
      <c r="AW409">
        <f>$H$409*$AC$409</f>
        <v>492.37</v>
      </c>
      <c r="AX409">
        <f>$H$409*$AD$409</f>
        <v>492.37</v>
      </c>
      <c r="AY409">
        <f>$H$409*$AE$409</f>
        <v>492.37</v>
      </c>
      <c r="AZ409">
        <f>$H$409*$AF$409</f>
        <v>492.37</v>
      </c>
    </row>
    <row r="410" spans="1:52" x14ac:dyDescent="0.25">
      <c r="A410">
        <v>458</v>
      </c>
      <c r="B410" t="s">
        <v>245</v>
      </c>
      <c r="C410" t="s">
        <v>335</v>
      </c>
      <c r="D410">
        <v>20.53</v>
      </c>
      <c r="E410">
        <v>78.63</v>
      </c>
      <c r="F410" t="s">
        <v>262</v>
      </c>
      <c r="G410">
        <v>3.83</v>
      </c>
      <c r="H410">
        <v>94.35</v>
      </c>
      <c r="I410" t="s">
        <v>336</v>
      </c>
      <c r="J410" t="s">
        <v>337</v>
      </c>
      <c r="K410" t="s">
        <v>409</v>
      </c>
      <c r="L410" t="s">
        <v>170</v>
      </c>
      <c r="M410" t="s">
        <v>245</v>
      </c>
      <c r="N410" t="s">
        <v>12</v>
      </c>
      <c r="O410" t="s">
        <v>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245</v>
      </c>
      <c r="AH410" t="s">
        <v>12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0</v>
      </c>
      <c r="AT410">
        <f>$H$410*$Z$410</f>
        <v>0</v>
      </c>
      <c r="AU410">
        <f>$H$410*$AA$410</f>
        <v>94.35</v>
      </c>
      <c r="AV410">
        <f>$H$410*$AB$410</f>
        <v>94.35</v>
      </c>
      <c r="AW410">
        <f>$H$410*$AC$410</f>
        <v>94.35</v>
      </c>
      <c r="AX410">
        <f>$H$410*$AD$410</f>
        <v>94.35</v>
      </c>
      <c r="AY410">
        <f>$H$410*$AE$410</f>
        <v>94.35</v>
      </c>
      <c r="AZ410">
        <f>$H$410*$AF$410</f>
        <v>94.35</v>
      </c>
    </row>
    <row r="411" spans="1:52" x14ac:dyDescent="0.25">
      <c r="A411">
        <v>459</v>
      </c>
      <c r="B411" t="s">
        <v>245</v>
      </c>
      <c r="C411" t="s">
        <v>338</v>
      </c>
      <c r="D411">
        <v>184.8</v>
      </c>
      <c r="E411">
        <v>611.69000000000005</v>
      </c>
      <c r="F411" t="s">
        <v>275</v>
      </c>
      <c r="G411">
        <v>3.31</v>
      </c>
      <c r="H411">
        <v>734.03</v>
      </c>
      <c r="I411" t="s">
        <v>336</v>
      </c>
      <c r="J411" t="s">
        <v>339</v>
      </c>
      <c r="K411" t="s">
        <v>410</v>
      </c>
      <c r="L411" t="s">
        <v>170</v>
      </c>
      <c r="M411" t="s">
        <v>245</v>
      </c>
      <c r="N411" t="s">
        <v>12</v>
      </c>
      <c r="O411" t="s">
        <v>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245</v>
      </c>
      <c r="AH411" t="s">
        <v>12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734.03</v>
      </c>
      <c r="AN411">
        <f>$H$411*$T$411</f>
        <v>734.03</v>
      </c>
      <c r="AO411">
        <f>$H$411*$U$411</f>
        <v>734.03</v>
      </c>
      <c r="AP411">
        <f>$H$411*$V$411</f>
        <v>734.03</v>
      </c>
      <c r="AQ411">
        <f>$H$411*$W$411</f>
        <v>734.03</v>
      </c>
      <c r="AR411">
        <f>$H$411*$X$411</f>
        <v>734.03</v>
      </c>
      <c r="AS411">
        <f>$H$411*$Y$411</f>
        <v>734.03</v>
      </c>
      <c r="AT411">
        <f>$H$411*$Z$411</f>
        <v>734.03</v>
      </c>
      <c r="AU411">
        <f>$H$411*$AA$411</f>
        <v>734.03</v>
      </c>
      <c r="AV411">
        <f>$H$411*$AB$411</f>
        <v>734.03</v>
      </c>
      <c r="AW411">
        <f>$H$411*$AC$411</f>
        <v>734.03</v>
      </c>
      <c r="AX411">
        <f>$H$411*$AD$411</f>
        <v>734.03</v>
      </c>
      <c r="AY411">
        <f>$H$411*$AE$411</f>
        <v>734.03</v>
      </c>
      <c r="AZ411">
        <f>$H$411*$AF$411</f>
        <v>734.03</v>
      </c>
    </row>
    <row r="412" spans="1:52" x14ac:dyDescent="0.25">
      <c r="A412">
        <v>460</v>
      </c>
      <c r="B412" t="s">
        <v>245</v>
      </c>
      <c r="C412" t="s">
        <v>340</v>
      </c>
      <c r="D412">
        <v>184.8</v>
      </c>
      <c r="E412">
        <v>195.89</v>
      </c>
      <c r="F412" t="s">
        <v>275</v>
      </c>
      <c r="G412">
        <v>1.06</v>
      </c>
      <c r="H412">
        <v>235.07</v>
      </c>
      <c r="I412" t="s">
        <v>263</v>
      </c>
      <c r="J412" t="s">
        <v>341</v>
      </c>
      <c r="K412" t="s">
        <v>411</v>
      </c>
      <c r="L412" t="s">
        <v>170</v>
      </c>
      <c r="M412" t="s">
        <v>245</v>
      </c>
      <c r="N412" t="s">
        <v>12</v>
      </c>
      <c r="O412" t="s">
        <v>4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1</v>
      </c>
      <c r="AE412">
        <v>1</v>
      </c>
      <c r="AF412">
        <v>1</v>
      </c>
      <c r="AG412" t="s">
        <v>245</v>
      </c>
      <c r="AH412" t="s">
        <v>12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0</v>
      </c>
      <c r="AV412">
        <f>$H$412*$AB$412</f>
        <v>0</v>
      </c>
      <c r="AW412">
        <f>$H$412*$AC$412</f>
        <v>0</v>
      </c>
      <c r="AX412">
        <f>$H$412*$AD$412</f>
        <v>235.07</v>
      </c>
      <c r="AY412">
        <f>$H$412*$AE$412</f>
        <v>235.07</v>
      </c>
      <c r="AZ412">
        <f>$H$412*$AF$412</f>
        <v>235.07</v>
      </c>
    </row>
    <row r="413" spans="1:52" x14ac:dyDescent="0.25">
      <c r="A413">
        <v>461</v>
      </c>
      <c r="B413" t="s">
        <v>245</v>
      </c>
      <c r="C413" t="s">
        <v>283</v>
      </c>
      <c r="D413">
        <v>231</v>
      </c>
      <c r="E413">
        <v>374.22</v>
      </c>
      <c r="F413" t="s">
        <v>275</v>
      </c>
      <c r="G413">
        <v>1.62</v>
      </c>
      <c r="H413">
        <v>449.06</v>
      </c>
      <c r="I413" t="s">
        <v>263</v>
      </c>
      <c r="J413" t="s">
        <v>284</v>
      </c>
      <c r="K413" t="s">
        <v>387</v>
      </c>
      <c r="L413" t="s">
        <v>170</v>
      </c>
      <c r="M413" t="s">
        <v>245</v>
      </c>
      <c r="N413" t="s">
        <v>12</v>
      </c>
      <c r="O413" t="s">
        <v>4</v>
      </c>
      <c r="P413">
        <v>0</v>
      </c>
      <c r="Q413">
        <v>0</v>
      </c>
      <c r="R413">
        <v>0</v>
      </c>
      <c r="S413">
        <v>0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245</v>
      </c>
      <c r="AH413" t="s">
        <v>12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449.06</v>
      </c>
      <c r="AO413">
        <f>$H$413*$U$413</f>
        <v>449.06</v>
      </c>
      <c r="AP413">
        <f>$H$413*$V$413</f>
        <v>449.06</v>
      </c>
      <c r="AQ413">
        <f>$H$413*$W$413</f>
        <v>449.06</v>
      </c>
      <c r="AR413">
        <f>$H$413*$X$413</f>
        <v>449.06</v>
      </c>
      <c r="AS413">
        <f>$H$413*$Y$413</f>
        <v>449.06</v>
      </c>
      <c r="AT413">
        <f>$H$413*$Z$413</f>
        <v>449.06</v>
      </c>
      <c r="AU413">
        <f>$H$413*$AA$413</f>
        <v>449.06</v>
      </c>
      <c r="AV413">
        <f>$H$413*$AB$413</f>
        <v>449.06</v>
      </c>
      <c r="AW413">
        <f>$H$413*$AC$413</f>
        <v>449.06</v>
      </c>
      <c r="AX413">
        <f>$H$413*$AD$413</f>
        <v>449.06</v>
      </c>
      <c r="AY413">
        <f>$H$413*$AE$413</f>
        <v>449.06</v>
      </c>
      <c r="AZ413">
        <f>$H$413*$AF$413</f>
        <v>449.06</v>
      </c>
    </row>
    <row r="414" spans="1:52" x14ac:dyDescent="0.25">
      <c r="A414">
        <v>462</v>
      </c>
      <c r="B414" t="s">
        <v>245</v>
      </c>
      <c r="C414" t="s">
        <v>526</v>
      </c>
      <c r="D414">
        <v>46.2</v>
      </c>
      <c r="E414">
        <v>195.43</v>
      </c>
      <c r="F414" t="s">
        <v>275</v>
      </c>
      <c r="G414">
        <v>4.2300000000000004</v>
      </c>
      <c r="H414">
        <v>234.51</v>
      </c>
      <c r="I414" t="s">
        <v>527</v>
      </c>
      <c r="J414" t="s">
        <v>309</v>
      </c>
      <c r="K414" t="s">
        <v>644</v>
      </c>
      <c r="L414" t="s">
        <v>170</v>
      </c>
      <c r="M414" t="s">
        <v>245</v>
      </c>
      <c r="N414" t="s">
        <v>12</v>
      </c>
      <c r="O414" t="s">
        <v>4</v>
      </c>
      <c r="P414">
        <v>0</v>
      </c>
      <c r="Q414">
        <v>0</v>
      </c>
      <c r="R414">
        <v>0</v>
      </c>
      <c r="S414">
        <v>0.25</v>
      </c>
      <c r="T414">
        <v>0.25</v>
      </c>
      <c r="U414">
        <v>0.25</v>
      </c>
      <c r="V414">
        <v>0.25</v>
      </c>
      <c r="W414">
        <v>0.25</v>
      </c>
      <c r="X414">
        <v>0.5</v>
      </c>
      <c r="Y414">
        <v>0.5</v>
      </c>
      <c r="Z414">
        <v>0.5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245</v>
      </c>
      <c r="AH414" t="s">
        <v>12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58.627499999999998</v>
      </c>
      <c r="AN414">
        <f>$H$414*$T$414</f>
        <v>58.627499999999998</v>
      </c>
      <c r="AO414">
        <f>$H$414*$U$414</f>
        <v>58.627499999999998</v>
      </c>
      <c r="AP414">
        <f>$H$414*$V$414</f>
        <v>58.627499999999998</v>
      </c>
      <c r="AQ414">
        <f>$H$414*$W$414</f>
        <v>58.627499999999998</v>
      </c>
      <c r="AR414">
        <f>$H$414*$X$414</f>
        <v>117.255</v>
      </c>
      <c r="AS414">
        <f>$H$414*$Y$414</f>
        <v>117.255</v>
      </c>
      <c r="AT414">
        <f>$H$414*$Z$414</f>
        <v>117.255</v>
      </c>
      <c r="AU414">
        <f>$H$414*$AA$414</f>
        <v>234.51</v>
      </c>
      <c r="AV414">
        <f>$H$414*$AB$414</f>
        <v>234.51</v>
      </c>
      <c r="AW414">
        <f>$H$414*$AC$414</f>
        <v>234.51</v>
      </c>
      <c r="AX414">
        <f>$H$414*$AD$414</f>
        <v>234.51</v>
      </c>
      <c r="AY414">
        <f>$H$414*$AE$414</f>
        <v>234.51</v>
      </c>
      <c r="AZ414">
        <f>$H$414*$AF$414</f>
        <v>234.51</v>
      </c>
    </row>
    <row r="415" spans="1:52" x14ac:dyDescent="0.25">
      <c r="A415">
        <v>463</v>
      </c>
      <c r="B415" t="s">
        <v>245</v>
      </c>
      <c r="C415" t="s">
        <v>285</v>
      </c>
      <c r="D415">
        <v>462</v>
      </c>
      <c r="E415">
        <v>1908.06</v>
      </c>
      <c r="F415" t="s">
        <v>275</v>
      </c>
      <c r="G415">
        <v>4.13</v>
      </c>
      <c r="H415">
        <v>2289.6799999999998</v>
      </c>
      <c r="I415" t="s">
        <v>286</v>
      </c>
      <c r="J415" t="s">
        <v>287</v>
      </c>
      <c r="K415" t="s">
        <v>388</v>
      </c>
      <c r="L415" t="s">
        <v>170</v>
      </c>
      <c r="M415" t="s">
        <v>245</v>
      </c>
      <c r="N415" t="s">
        <v>12</v>
      </c>
      <c r="O415" t="s">
        <v>4</v>
      </c>
      <c r="P415">
        <v>0</v>
      </c>
      <c r="Q415">
        <v>0</v>
      </c>
      <c r="R415">
        <v>0</v>
      </c>
      <c r="S415">
        <v>0.25</v>
      </c>
      <c r="T415">
        <v>0.25</v>
      </c>
      <c r="U415">
        <v>0.25</v>
      </c>
      <c r="V415">
        <v>0.25</v>
      </c>
      <c r="W415">
        <v>0.5</v>
      </c>
      <c r="X415">
        <v>0.5</v>
      </c>
      <c r="Y415">
        <v>0.5</v>
      </c>
      <c r="Z415">
        <v>0.5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245</v>
      </c>
      <c r="AH415" t="s">
        <v>12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572.41999999999996</v>
      </c>
      <c r="AN415">
        <f>$H$415*$T$415</f>
        <v>572.41999999999996</v>
      </c>
      <c r="AO415">
        <f>$H$415*$U$415</f>
        <v>572.41999999999996</v>
      </c>
      <c r="AP415">
        <f>$H$415*$V$415</f>
        <v>572.41999999999996</v>
      </c>
      <c r="AQ415">
        <f>$H$415*$W$415</f>
        <v>1144.8399999999999</v>
      </c>
      <c r="AR415">
        <f>$H$415*$X$415</f>
        <v>1144.8399999999999</v>
      </c>
      <c r="AS415">
        <f>$H$415*$Y$415</f>
        <v>1144.8399999999999</v>
      </c>
      <c r="AT415">
        <f>$H$415*$Z$415</f>
        <v>1144.8399999999999</v>
      </c>
      <c r="AU415">
        <f>$H$415*$AA$415</f>
        <v>2289.6799999999998</v>
      </c>
      <c r="AV415">
        <f>$H$415*$AB$415</f>
        <v>2289.6799999999998</v>
      </c>
      <c r="AW415">
        <f>$H$415*$AC$415</f>
        <v>2289.6799999999998</v>
      </c>
      <c r="AX415">
        <f>$H$415*$AD$415</f>
        <v>2289.6799999999998</v>
      </c>
      <c r="AY415">
        <f>$H$415*$AE$415</f>
        <v>2289.6799999999998</v>
      </c>
      <c r="AZ415">
        <f>$H$415*$AF$415</f>
        <v>2289.6799999999998</v>
      </c>
    </row>
    <row r="416" spans="1:52" x14ac:dyDescent="0.25">
      <c r="A416">
        <v>464</v>
      </c>
      <c r="B416" t="s">
        <v>245</v>
      </c>
      <c r="C416" t="s">
        <v>372</v>
      </c>
      <c r="D416">
        <v>51.33</v>
      </c>
      <c r="E416">
        <v>92.91</v>
      </c>
      <c r="F416" t="s">
        <v>262</v>
      </c>
      <c r="G416">
        <v>1.81</v>
      </c>
      <c r="H416">
        <v>111.49</v>
      </c>
      <c r="I416" t="s">
        <v>263</v>
      </c>
      <c r="J416" t="s">
        <v>373</v>
      </c>
      <c r="K416" t="s">
        <v>426</v>
      </c>
      <c r="L416" t="s">
        <v>170</v>
      </c>
      <c r="M416" t="s">
        <v>245</v>
      </c>
      <c r="N416" t="s">
        <v>12</v>
      </c>
      <c r="O416" t="s">
        <v>4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245</v>
      </c>
      <c r="AH416" t="s">
        <v>12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111.49</v>
      </c>
      <c r="AV416">
        <f>$H$416*$AB$416</f>
        <v>111.49</v>
      </c>
      <c r="AW416">
        <f>$H$416*$AC$416</f>
        <v>111.49</v>
      </c>
      <c r="AX416">
        <f>$H$416*$AD$416</f>
        <v>111.49</v>
      </c>
      <c r="AY416">
        <f>$H$416*$AE$416</f>
        <v>111.49</v>
      </c>
      <c r="AZ416">
        <f>$H$416*$AF$416</f>
        <v>111.49</v>
      </c>
    </row>
    <row r="417" spans="1:52" x14ac:dyDescent="0.25">
      <c r="A417">
        <v>465</v>
      </c>
      <c r="B417" t="s">
        <v>245</v>
      </c>
      <c r="C417" t="s">
        <v>374</v>
      </c>
      <c r="D417">
        <v>51.33</v>
      </c>
      <c r="E417">
        <v>448.62</v>
      </c>
      <c r="F417" t="s">
        <v>262</v>
      </c>
      <c r="G417">
        <v>8.74</v>
      </c>
      <c r="H417">
        <v>538.34</v>
      </c>
      <c r="I417" t="s">
        <v>264</v>
      </c>
      <c r="J417" t="s">
        <v>375</v>
      </c>
      <c r="K417" t="s">
        <v>427</v>
      </c>
      <c r="L417" t="s">
        <v>170</v>
      </c>
      <c r="M417" t="s">
        <v>245</v>
      </c>
      <c r="N417" t="s">
        <v>12</v>
      </c>
      <c r="O417" t="s">
        <v>4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245</v>
      </c>
      <c r="AH417" t="s">
        <v>12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538.34</v>
      </c>
      <c r="AV417">
        <f>$H$417*$AB$417</f>
        <v>538.34</v>
      </c>
      <c r="AW417">
        <f>$H$417*$AC$417</f>
        <v>538.34</v>
      </c>
      <c r="AX417">
        <f>$H$417*$AD$417</f>
        <v>538.34</v>
      </c>
      <c r="AY417">
        <f>$H$417*$AE$417</f>
        <v>538.34</v>
      </c>
      <c r="AZ417">
        <f>$H$417*$AF$417</f>
        <v>538.34</v>
      </c>
    </row>
    <row r="418" spans="1:52" x14ac:dyDescent="0.25">
      <c r="A418">
        <v>466</v>
      </c>
      <c r="B418" t="s">
        <v>245</v>
      </c>
      <c r="C418" t="s">
        <v>342</v>
      </c>
      <c r="D418">
        <v>51.33</v>
      </c>
      <c r="E418">
        <v>135.51</v>
      </c>
      <c r="F418" t="s">
        <v>262</v>
      </c>
      <c r="G418">
        <v>2.64</v>
      </c>
      <c r="H418">
        <v>162.61000000000001</v>
      </c>
      <c r="I418" t="s">
        <v>263</v>
      </c>
      <c r="J418" t="s">
        <v>343</v>
      </c>
      <c r="K418" t="s">
        <v>412</v>
      </c>
      <c r="L418" t="s">
        <v>170</v>
      </c>
      <c r="M418" t="s">
        <v>245</v>
      </c>
      <c r="N418" t="s">
        <v>12</v>
      </c>
      <c r="O418" t="s">
        <v>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245</v>
      </c>
      <c r="AH418" t="s">
        <v>12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162.61000000000001</v>
      </c>
      <c r="AN418">
        <f>$H$418*$T$418</f>
        <v>162.61000000000001</v>
      </c>
      <c r="AO418">
        <f>$H$418*$U$418</f>
        <v>162.61000000000001</v>
      </c>
      <c r="AP418">
        <f>$H$418*$V$418</f>
        <v>162.61000000000001</v>
      </c>
      <c r="AQ418">
        <f>$H$418*$W$418</f>
        <v>162.61000000000001</v>
      </c>
      <c r="AR418">
        <f>$H$418*$X$418</f>
        <v>162.61000000000001</v>
      </c>
      <c r="AS418">
        <f>$H$418*$Y$418</f>
        <v>162.61000000000001</v>
      </c>
      <c r="AT418">
        <f>$H$418*$Z$418</f>
        <v>162.61000000000001</v>
      </c>
      <c r="AU418">
        <f>$H$418*$AA$418</f>
        <v>162.61000000000001</v>
      </c>
      <c r="AV418">
        <f>$H$418*$AB$418</f>
        <v>162.61000000000001</v>
      </c>
      <c r="AW418">
        <f>$H$418*$AC$418</f>
        <v>162.61000000000001</v>
      </c>
      <c r="AX418">
        <f>$H$418*$AD$418</f>
        <v>162.61000000000001</v>
      </c>
      <c r="AY418">
        <f>$H$418*$AE$418</f>
        <v>162.61000000000001</v>
      </c>
      <c r="AZ418">
        <f>$H$418*$AF$418</f>
        <v>162.61000000000001</v>
      </c>
    </row>
    <row r="419" spans="1:52" x14ac:dyDescent="0.25">
      <c r="A419">
        <v>467</v>
      </c>
      <c r="B419" t="s">
        <v>245</v>
      </c>
      <c r="C419" t="s">
        <v>344</v>
      </c>
      <c r="D419">
        <v>51.33</v>
      </c>
      <c r="E419">
        <v>317.73</v>
      </c>
      <c r="F419" t="s">
        <v>262</v>
      </c>
      <c r="G419">
        <v>6.19</v>
      </c>
      <c r="H419">
        <v>381.27</v>
      </c>
      <c r="I419" t="s">
        <v>264</v>
      </c>
      <c r="J419" t="s">
        <v>345</v>
      </c>
      <c r="K419" t="s">
        <v>413</v>
      </c>
      <c r="L419" t="s">
        <v>170</v>
      </c>
      <c r="M419" t="s">
        <v>245</v>
      </c>
      <c r="N419" t="s">
        <v>12</v>
      </c>
      <c r="O419" t="s">
        <v>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245</v>
      </c>
      <c r="AH419" t="s">
        <v>12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381.27</v>
      </c>
      <c r="AN419">
        <f>$H$419*$T$419</f>
        <v>381.27</v>
      </c>
      <c r="AO419">
        <f>$H$419*$U$419</f>
        <v>381.27</v>
      </c>
      <c r="AP419">
        <f>$H$419*$V$419</f>
        <v>381.27</v>
      </c>
      <c r="AQ419">
        <f>$H$419*$W$419</f>
        <v>381.27</v>
      </c>
      <c r="AR419">
        <f>$H$419*$X$419</f>
        <v>381.27</v>
      </c>
      <c r="AS419">
        <f>$H$419*$Y$419</f>
        <v>381.27</v>
      </c>
      <c r="AT419">
        <f>$H$419*$Z$419</f>
        <v>381.27</v>
      </c>
      <c r="AU419">
        <f>$H$419*$AA$419</f>
        <v>381.27</v>
      </c>
      <c r="AV419">
        <f>$H$419*$AB$419</f>
        <v>381.27</v>
      </c>
      <c r="AW419">
        <f>$H$419*$AC$419</f>
        <v>381.27</v>
      </c>
      <c r="AX419">
        <f>$H$419*$AD$419</f>
        <v>381.27</v>
      </c>
      <c r="AY419">
        <f>$H$419*$AE$419</f>
        <v>381.27</v>
      </c>
      <c r="AZ419">
        <f>$H$419*$AF$419</f>
        <v>381.27</v>
      </c>
    </row>
    <row r="420" spans="1:52" x14ac:dyDescent="0.25">
      <c r="A420">
        <v>468</v>
      </c>
      <c r="B420" t="s">
        <v>245</v>
      </c>
      <c r="C420" t="s">
        <v>285</v>
      </c>
      <c r="D420">
        <v>231.9</v>
      </c>
      <c r="E420">
        <v>957.75</v>
      </c>
      <c r="F420" t="s">
        <v>275</v>
      </c>
      <c r="G420">
        <v>4.13</v>
      </c>
      <c r="H420">
        <v>1149.31</v>
      </c>
      <c r="I420" t="s">
        <v>286</v>
      </c>
      <c r="J420" t="s">
        <v>287</v>
      </c>
      <c r="K420" t="s">
        <v>388</v>
      </c>
      <c r="L420" t="s">
        <v>170</v>
      </c>
      <c r="M420" t="s">
        <v>245</v>
      </c>
      <c r="N420" t="s">
        <v>12</v>
      </c>
      <c r="O420" t="s">
        <v>4</v>
      </c>
      <c r="P420">
        <v>0</v>
      </c>
      <c r="Q420">
        <v>0</v>
      </c>
      <c r="R420">
        <v>0</v>
      </c>
      <c r="S420">
        <v>0.25</v>
      </c>
      <c r="T420">
        <v>0.25</v>
      </c>
      <c r="U420">
        <v>0.25</v>
      </c>
      <c r="V420">
        <v>0.25</v>
      </c>
      <c r="W420">
        <v>0.5</v>
      </c>
      <c r="X420">
        <v>0.5</v>
      </c>
      <c r="Y420">
        <v>0.5</v>
      </c>
      <c r="Z420">
        <v>0.5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245</v>
      </c>
      <c r="AH420" t="s">
        <v>12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287.32749999999999</v>
      </c>
      <c r="AN420">
        <f>$H$420*$T$420</f>
        <v>287.32749999999999</v>
      </c>
      <c r="AO420">
        <f>$H$420*$U$420</f>
        <v>287.32749999999999</v>
      </c>
      <c r="AP420">
        <f>$H$420*$V$420</f>
        <v>287.32749999999999</v>
      </c>
      <c r="AQ420">
        <f>$H$420*$W$420</f>
        <v>574.65499999999997</v>
      </c>
      <c r="AR420">
        <f>$H$420*$X$420</f>
        <v>574.65499999999997</v>
      </c>
      <c r="AS420">
        <f>$H$420*$Y$420</f>
        <v>574.65499999999997</v>
      </c>
      <c r="AT420">
        <f>$H$420*$Z$420</f>
        <v>574.65499999999997</v>
      </c>
      <c r="AU420">
        <f>$H$420*$AA$420</f>
        <v>1149.31</v>
      </c>
      <c r="AV420">
        <f>$H$420*$AB$420</f>
        <v>1149.31</v>
      </c>
      <c r="AW420">
        <f>$H$420*$AC$420</f>
        <v>1149.31</v>
      </c>
      <c r="AX420">
        <f>$H$420*$AD$420</f>
        <v>1149.31</v>
      </c>
      <c r="AY420">
        <f>$H$420*$AE$420</f>
        <v>1149.31</v>
      </c>
      <c r="AZ420">
        <f>$H$420*$AF$420</f>
        <v>1149.31</v>
      </c>
    </row>
    <row r="421" spans="1:52" x14ac:dyDescent="0.25">
      <c r="A421">
        <v>469</v>
      </c>
      <c r="B421" t="s">
        <v>245</v>
      </c>
      <c r="C421" t="s">
        <v>340</v>
      </c>
      <c r="D421">
        <v>231.9</v>
      </c>
      <c r="E421">
        <v>245.81</v>
      </c>
      <c r="F421" t="s">
        <v>275</v>
      </c>
      <c r="G421">
        <v>1.06</v>
      </c>
      <c r="H421">
        <v>294.97000000000003</v>
      </c>
      <c r="I421" t="s">
        <v>263</v>
      </c>
      <c r="J421" t="s">
        <v>341</v>
      </c>
      <c r="K421" t="s">
        <v>411</v>
      </c>
      <c r="L421" t="s">
        <v>170</v>
      </c>
      <c r="M421" t="s">
        <v>245</v>
      </c>
      <c r="N421" t="s">
        <v>12</v>
      </c>
      <c r="O421" t="s">
        <v>4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</v>
      </c>
      <c r="AE421">
        <v>1</v>
      </c>
      <c r="AF421">
        <v>1</v>
      </c>
      <c r="AG421" t="s">
        <v>245</v>
      </c>
      <c r="AH421" t="s">
        <v>12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0</v>
      </c>
      <c r="AV421">
        <f>$H$421*$AB$421</f>
        <v>0</v>
      </c>
      <c r="AW421">
        <f>$H$421*$AC$421</f>
        <v>0</v>
      </c>
      <c r="AX421">
        <f>$H$421*$AD$421</f>
        <v>294.97000000000003</v>
      </c>
      <c r="AY421">
        <f>$H$421*$AE$421</f>
        <v>294.97000000000003</v>
      </c>
      <c r="AZ421">
        <f>$H$421*$AF$421</f>
        <v>294.97000000000003</v>
      </c>
    </row>
    <row r="422" spans="1:52" x14ac:dyDescent="0.25">
      <c r="A422">
        <v>470</v>
      </c>
      <c r="B422" t="s">
        <v>245</v>
      </c>
      <c r="C422" t="s">
        <v>346</v>
      </c>
      <c r="D422">
        <v>231.9</v>
      </c>
      <c r="E422">
        <v>259.73</v>
      </c>
      <c r="F422" t="s">
        <v>275</v>
      </c>
      <c r="G422">
        <v>1.1200000000000001</v>
      </c>
      <c r="H422">
        <v>311.67</v>
      </c>
      <c r="I422" t="s">
        <v>263</v>
      </c>
      <c r="J422" t="s">
        <v>347</v>
      </c>
      <c r="K422" t="s">
        <v>414</v>
      </c>
      <c r="L422" t="s">
        <v>170</v>
      </c>
      <c r="M422" t="s">
        <v>245</v>
      </c>
      <c r="N422" t="s">
        <v>12</v>
      </c>
      <c r="O422" t="s">
        <v>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245</v>
      </c>
      <c r="AH422" t="s">
        <v>12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311.67</v>
      </c>
      <c r="AN422">
        <f>$H$422*$T$422</f>
        <v>311.67</v>
      </c>
      <c r="AO422">
        <f>$H$422*$U$422</f>
        <v>311.67</v>
      </c>
      <c r="AP422">
        <f>$H$422*$V$422</f>
        <v>311.67</v>
      </c>
      <c r="AQ422">
        <f>$H$422*$W$422</f>
        <v>311.67</v>
      </c>
      <c r="AR422">
        <f>$H$422*$X$422</f>
        <v>311.67</v>
      </c>
      <c r="AS422">
        <f>$H$422*$Y$422</f>
        <v>311.67</v>
      </c>
      <c r="AT422">
        <f>$H$422*$Z$422</f>
        <v>311.67</v>
      </c>
      <c r="AU422">
        <f>$H$422*$AA$422</f>
        <v>311.67</v>
      </c>
      <c r="AV422">
        <f>$H$422*$AB$422</f>
        <v>311.67</v>
      </c>
      <c r="AW422">
        <f>$H$422*$AC$422</f>
        <v>311.67</v>
      </c>
      <c r="AX422">
        <f>$H$422*$AD$422</f>
        <v>311.67</v>
      </c>
      <c r="AY422">
        <f>$H$422*$AE$422</f>
        <v>311.67</v>
      </c>
      <c r="AZ422">
        <f>$H$422*$AF$422</f>
        <v>311.67</v>
      </c>
    </row>
    <row r="423" spans="1:52" x14ac:dyDescent="0.25">
      <c r="A423">
        <v>471</v>
      </c>
      <c r="B423" t="s">
        <v>245</v>
      </c>
      <c r="C423" t="s">
        <v>528</v>
      </c>
      <c r="D423">
        <v>32.799999999999997</v>
      </c>
      <c r="E423">
        <v>687.16</v>
      </c>
      <c r="F423" t="s">
        <v>275</v>
      </c>
      <c r="G423">
        <v>20.95</v>
      </c>
      <c r="H423">
        <v>824.6</v>
      </c>
      <c r="I423" t="s">
        <v>348</v>
      </c>
      <c r="J423" t="s">
        <v>529</v>
      </c>
      <c r="K423" t="s">
        <v>645</v>
      </c>
      <c r="L423" t="s">
        <v>170</v>
      </c>
      <c r="M423" t="s">
        <v>245</v>
      </c>
      <c r="N423" t="s">
        <v>12</v>
      </c>
      <c r="O423" t="s">
        <v>4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245</v>
      </c>
      <c r="AH423" t="s">
        <v>12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824.6</v>
      </c>
      <c r="AT423">
        <f>$H$423*$Z$423</f>
        <v>824.6</v>
      </c>
      <c r="AU423">
        <f>$H$423*$AA$423</f>
        <v>824.6</v>
      </c>
      <c r="AV423">
        <f>$H$423*$AB$423</f>
        <v>824.6</v>
      </c>
      <c r="AW423">
        <f>$H$423*$AC$423</f>
        <v>824.6</v>
      </c>
      <c r="AX423">
        <f>$H$423*$AD$423</f>
        <v>824.6</v>
      </c>
      <c r="AY423">
        <f>$H$423*$AE$423</f>
        <v>824.6</v>
      </c>
      <c r="AZ423">
        <f>$H$423*$AF$423</f>
        <v>824.6</v>
      </c>
    </row>
    <row r="424" spans="1:52" x14ac:dyDescent="0.25">
      <c r="A424">
        <v>472</v>
      </c>
      <c r="B424" t="s">
        <v>245</v>
      </c>
      <c r="C424" t="s">
        <v>349</v>
      </c>
      <c r="D424">
        <v>65.599999999999994</v>
      </c>
      <c r="E424">
        <v>279.45999999999998</v>
      </c>
      <c r="F424" t="s">
        <v>275</v>
      </c>
      <c r="G424">
        <v>4.26</v>
      </c>
      <c r="H424">
        <v>335.36</v>
      </c>
      <c r="I424" t="s">
        <v>350</v>
      </c>
      <c r="J424" t="s">
        <v>351</v>
      </c>
      <c r="K424" t="s">
        <v>415</v>
      </c>
      <c r="L424" t="s">
        <v>170</v>
      </c>
      <c r="M424" t="s">
        <v>245</v>
      </c>
      <c r="N424" t="s">
        <v>12</v>
      </c>
      <c r="O424" t="s">
        <v>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245</v>
      </c>
      <c r="AH424" t="s">
        <v>12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335.36</v>
      </c>
      <c r="AN424">
        <f>$H$424*$T$424</f>
        <v>335.36</v>
      </c>
      <c r="AO424">
        <f>$H$424*$U$424</f>
        <v>335.36</v>
      </c>
      <c r="AP424">
        <f>$H$424*$V$424</f>
        <v>335.36</v>
      </c>
      <c r="AQ424">
        <f>$H$424*$W$424</f>
        <v>335.36</v>
      </c>
      <c r="AR424">
        <f>$H$424*$X$424</f>
        <v>335.36</v>
      </c>
      <c r="AS424">
        <f>$H$424*$Y$424</f>
        <v>335.36</v>
      </c>
      <c r="AT424">
        <f>$H$424*$Z$424</f>
        <v>335.36</v>
      </c>
      <c r="AU424">
        <f>$H$424*$AA$424</f>
        <v>335.36</v>
      </c>
      <c r="AV424">
        <f>$H$424*$AB$424</f>
        <v>335.36</v>
      </c>
      <c r="AW424">
        <f>$H$424*$AC$424</f>
        <v>335.36</v>
      </c>
      <c r="AX424">
        <f>$H$424*$AD$424</f>
        <v>335.36</v>
      </c>
      <c r="AY424">
        <f>$H$424*$AE$424</f>
        <v>335.36</v>
      </c>
      <c r="AZ424">
        <f>$H$424*$AF$424</f>
        <v>335.36</v>
      </c>
    </row>
    <row r="425" spans="1:52" x14ac:dyDescent="0.25">
      <c r="A425">
        <v>473</v>
      </c>
      <c r="B425" t="s">
        <v>245</v>
      </c>
      <c r="C425" t="s">
        <v>352</v>
      </c>
      <c r="D425">
        <v>65.599999999999994</v>
      </c>
      <c r="E425">
        <v>704.54</v>
      </c>
      <c r="F425" t="s">
        <v>275</v>
      </c>
      <c r="G425">
        <v>10.74</v>
      </c>
      <c r="H425">
        <v>845.44</v>
      </c>
      <c r="I425" t="s">
        <v>350</v>
      </c>
      <c r="J425" t="s">
        <v>293</v>
      </c>
      <c r="K425" t="s">
        <v>416</v>
      </c>
      <c r="L425" t="s">
        <v>170</v>
      </c>
      <c r="M425" t="s">
        <v>245</v>
      </c>
      <c r="N425" t="s">
        <v>12</v>
      </c>
      <c r="O425" t="s">
        <v>4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245</v>
      </c>
      <c r="AH425" t="s">
        <v>12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845.44</v>
      </c>
      <c r="AN425">
        <f>$H$425*$T$425</f>
        <v>845.44</v>
      </c>
      <c r="AO425">
        <f>$H$425*$U$425</f>
        <v>845.44</v>
      </c>
      <c r="AP425">
        <f>$H$425*$V$425</f>
        <v>845.44</v>
      </c>
      <c r="AQ425">
        <f>$H$425*$W$425</f>
        <v>845.44</v>
      </c>
      <c r="AR425">
        <f>$H$425*$X$425</f>
        <v>845.44</v>
      </c>
      <c r="AS425">
        <f>$H$425*$Y$425</f>
        <v>845.44</v>
      </c>
      <c r="AT425">
        <f>$H$425*$Z$425</f>
        <v>845.44</v>
      </c>
      <c r="AU425">
        <f>$H$425*$AA$425</f>
        <v>845.44</v>
      </c>
      <c r="AV425">
        <f>$H$425*$AB$425</f>
        <v>845.44</v>
      </c>
      <c r="AW425">
        <f>$H$425*$AC$425</f>
        <v>845.44</v>
      </c>
      <c r="AX425">
        <f>$H$425*$AD$425</f>
        <v>845.44</v>
      </c>
      <c r="AY425">
        <f>$H$425*$AE$425</f>
        <v>845.44</v>
      </c>
      <c r="AZ425">
        <f>$H$425*$AF$425</f>
        <v>845.44</v>
      </c>
    </row>
    <row r="426" spans="1:52" x14ac:dyDescent="0.25">
      <c r="A426">
        <v>474</v>
      </c>
      <c r="B426" t="s">
        <v>245</v>
      </c>
      <c r="C426" t="s">
        <v>530</v>
      </c>
      <c r="D426">
        <v>75.44</v>
      </c>
      <c r="E426">
        <v>79.97</v>
      </c>
      <c r="F426" t="s">
        <v>275</v>
      </c>
      <c r="G426">
        <v>1.06</v>
      </c>
      <c r="H426">
        <v>95.97</v>
      </c>
      <c r="I426" t="s">
        <v>353</v>
      </c>
      <c r="J426" t="s">
        <v>531</v>
      </c>
      <c r="K426" t="s">
        <v>646</v>
      </c>
      <c r="L426" t="s">
        <v>170</v>
      </c>
      <c r="M426" t="s">
        <v>245</v>
      </c>
      <c r="N426" t="s">
        <v>12</v>
      </c>
      <c r="O426" t="s">
        <v>4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245</v>
      </c>
      <c r="AH426" t="s">
        <v>12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95.97</v>
      </c>
      <c r="AN426">
        <f>$H$426*$T$426</f>
        <v>95.97</v>
      </c>
      <c r="AO426">
        <f>$H$426*$U$426</f>
        <v>95.97</v>
      </c>
      <c r="AP426">
        <f>$H$426*$V$426</f>
        <v>95.97</v>
      </c>
      <c r="AQ426">
        <f>$H$426*$W$426</f>
        <v>95.97</v>
      </c>
      <c r="AR426">
        <f>$H$426*$X$426</f>
        <v>95.97</v>
      </c>
      <c r="AS426">
        <f>$H$426*$Y$426</f>
        <v>95.97</v>
      </c>
      <c r="AT426">
        <f>$H$426*$Z$426</f>
        <v>95.97</v>
      </c>
      <c r="AU426">
        <f>$H$426*$AA$426</f>
        <v>95.97</v>
      </c>
      <c r="AV426">
        <f>$H$426*$AB$426</f>
        <v>95.97</v>
      </c>
      <c r="AW426">
        <f>$H$426*$AC$426</f>
        <v>95.97</v>
      </c>
      <c r="AX426">
        <f>$H$426*$AD$426</f>
        <v>95.97</v>
      </c>
      <c r="AY426">
        <f>$H$426*$AE$426</f>
        <v>95.97</v>
      </c>
      <c r="AZ426">
        <f>$H$426*$AF$426</f>
        <v>95.97</v>
      </c>
    </row>
    <row r="427" spans="1:52" x14ac:dyDescent="0.25">
      <c r="A427">
        <v>475</v>
      </c>
      <c r="B427" t="s">
        <v>245</v>
      </c>
      <c r="C427" t="s">
        <v>532</v>
      </c>
      <c r="D427">
        <v>75.44</v>
      </c>
      <c r="E427">
        <v>651.04999999999995</v>
      </c>
      <c r="F427" t="s">
        <v>275</v>
      </c>
      <c r="G427">
        <v>8.6300000000000008</v>
      </c>
      <c r="H427">
        <v>781.27</v>
      </c>
      <c r="I427" t="s">
        <v>353</v>
      </c>
      <c r="J427" t="s">
        <v>529</v>
      </c>
      <c r="K427" t="s">
        <v>647</v>
      </c>
      <c r="L427" t="s">
        <v>170</v>
      </c>
      <c r="M427" t="s">
        <v>245</v>
      </c>
      <c r="N427" t="s">
        <v>12</v>
      </c>
      <c r="O427" t="s">
        <v>4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245</v>
      </c>
      <c r="AH427" t="s">
        <v>12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781.27</v>
      </c>
      <c r="AN427">
        <f>$H$427*$T$427</f>
        <v>781.27</v>
      </c>
      <c r="AO427">
        <f>$H$427*$U$427</f>
        <v>781.27</v>
      </c>
      <c r="AP427">
        <f>$H$427*$V$427</f>
        <v>781.27</v>
      </c>
      <c r="AQ427">
        <f>$H$427*$W$427</f>
        <v>781.27</v>
      </c>
      <c r="AR427">
        <f>$H$427*$X$427</f>
        <v>781.27</v>
      </c>
      <c r="AS427">
        <f>$H$427*$Y$427</f>
        <v>781.27</v>
      </c>
      <c r="AT427">
        <f>$H$427*$Z$427</f>
        <v>781.27</v>
      </c>
      <c r="AU427">
        <f>$H$427*$AA$427</f>
        <v>781.27</v>
      </c>
      <c r="AV427">
        <f>$H$427*$AB$427</f>
        <v>781.27</v>
      </c>
      <c r="AW427">
        <f>$H$427*$AC$427</f>
        <v>781.27</v>
      </c>
      <c r="AX427">
        <f>$H$427*$AD$427</f>
        <v>781.27</v>
      </c>
      <c r="AY427">
        <f>$H$427*$AE$427</f>
        <v>781.27</v>
      </c>
      <c r="AZ427">
        <f>$H$427*$AF$427</f>
        <v>781.27</v>
      </c>
    </row>
    <row r="428" spans="1:52" x14ac:dyDescent="0.25">
      <c r="A428">
        <v>476</v>
      </c>
      <c r="B428" t="s">
        <v>4</v>
      </c>
      <c r="C428" t="s">
        <v>266</v>
      </c>
      <c r="D428">
        <v>1</v>
      </c>
      <c r="E428">
        <v>94.01</v>
      </c>
      <c r="F428" t="s">
        <v>265</v>
      </c>
      <c r="G428">
        <v>94.01</v>
      </c>
      <c r="H428">
        <v>112.81</v>
      </c>
      <c r="I428" t="s">
        <v>267</v>
      </c>
      <c r="J428" t="s">
        <v>268</v>
      </c>
      <c r="K428" t="s">
        <v>380</v>
      </c>
      <c r="L428" t="s">
        <v>170</v>
      </c>
      <c r="M428" t="s">
        <v>4</v>
      </c>
      <c r="N428" t="s">
        <v>12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4</v>
      </c>
      <c r="AH428" t="s">
        <v>12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112.81</v>
      </c>
      <c r="AY428">
        <f>$H$428*$AE$428</f>
        <v>112.81</v>
      </c>
      <c r="AZ428">
        <f>$H$428*$AF$428</f>
        <v>112.81</v>
      </c>
    </row>
    <row r="429" spans="1:52" x14ac:dyDescent="0.25">
      <c r="A429">
        <v>477</v>
      </c>
      <c r="B429" t="s">
        <v>4</v>
      </c>
      <c r="C429" t="s">
        <v>279</v>
      </c>
      <c r="D429">
        <v>12</v>
      </c>
      <c r="E429">
        <v>92.76</v>
      </c>
      <c r="F429" t="s">
        <v>262</v>
      </c>
      <c r="G429">
        <v>7.73</v>
      </c>
      <c r="H429">
        <v>111.32</v>
      </c>
      <c r="I429" t="s">
        <v>263</v>
      </c>
      <c r="J429" t="s">
        <v>280</v>
      </c>
      <c r="K429" t="s">
        <v>385</v>
      </c>
      <c r="L429" t="s">
        <v>170</v>
      </c>
      <c r="M429" t="s">
        <v>4</v>
      </c>
      <c r="N429" t="s">
        <v>12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4</v>
      </c>
      <c r="AH429" t="s">
        <v>12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111.32</v>
      </c>
      <c r="AV429">
        <f>$H$429*$AB$429</f>
        <v>111.32</v>
      </c>
      <c r="AW429">
        <f>$H$429*$AC$429</f>
        <v>111.32</v>
      </c>
      <c r="AX429">
        <f>$H$429*$AD$429</f>
        <v>111.32</v>
      </c>
      <c r="AY429">
        <f>$H$429*$AE$429</f>
        <v>111.32</v>
      </c>
      <c r="AZ429">
        <f>$H$429*$AF$429</f>
        <v>111.32</v>
      </c>
    </row>
    <row r="430" spans="1:52" x14ac:dyDescent="0.25">
      <c r="A430">
        <v>478</v>
      </c>
      <c r="B430" t="s">
        <v>4</v>
      </c>
      <c r="C430" t="s">
        <v>573</v>
      </c>
      <c r="D430">
        <v>6</v>
      </c>
      <c r="E430">
        <v>72.42</v>
      </c>
      <c r="F430" t="s">
        <v>262</v>
      </c>
      <c r="G430">
        <v>12.07</v>
      </c>
      <c r="H430">
        <v>86.9</v>
      </c>
      <c r="I430" t="s">
        <v>264</v>
      </c>
      <c r="J430" t="s">
        <v>574</v>
      </c>
      <c r="K430" t="s">
        <v>668</v>
      </c>
      <c r="L430" t="s">
        <v>170</v>
      </c>
      <c r="M430" t="s">
        <v>4</v>
      </c>
      <c r="N430" t="s">
        <v>12</v>
      </c>
      <c r="O430" t="s">
        <v>4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4</v>
      </c>
      <c r="AH430" t="s">
        <v>12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0</v>
      </c>
      <c r="AT430">
        <f>$H$430*$Z$430</f>
        <v>86.9</v>
      </c>
      <c r="AU430">
        <f>$H$430*$AA$430</f>
        <v>86.9</v>
      </c>
      <c r="AV430">
        <f>$H$430*$AB$430</f>
        <v>86.9</v>
      </c>
      <c r="AW430">
        <f>$H$430*$AC$430</f>
        <v>86.9</v>
      </c>
      <c r="AX430">
        <f>$H$430*$AD$430</f>
        <v>86.9</v>
      </c>
      <c r="AY430">
        <f>$H$430*$AE$430</f>
        <v>86.9</v>
      </c>
      <c r="AZ430">
        <f>$H$430*$AF$430</f>
        <v>86.9</v>
      </c>
    </row>
    <row r="431" spans="1:52" x14ac:dyDescent="0.25">
      <c r="A431">
        <v>479</v>
      </c>
      <c r="B431" t="s">
        <v>4</v>
      </c>
      <c r="C431" t="s">
        <v>281</v>
      </c>
      <c r="D431">
        <v>6</v>
      </c>
      <c r="E431">
        <v>76.92</v>
      </c>
      <c r="F431" t="s">
        <v>262</v>
      </c>
      <c r="G431">
        <v>12.82</v>
      </c>
      <c r="H431">
        <v>92.3</v>
      </c>
      <c r="I431" t="s">
        <v>264</v>
      </c>
      <c r="J431" t="s">
        <v>282</v>
      </c>
      <c r="K431" t="s">
        <v>386</v>
      </c>
      <c r="L431" t="s">
        <v>170</v>
      </c>
      <c r="M431" t="s">
        <v>4</v>
      </c>
      <c r="N431" t="s">
        <v>12</v>
      </c>
      <c r="O431" t="s">
        <v>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4</v>
      </c>
      <c r="AH431" t="s">
        <v>12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92.3</v>
      </c>
      <c r="AV431">
        <f>$H$431*$AB$431</f>
        <v>92.3</v>
      </c>
      <c r="AW431">
        <f>$H$431*$AC$431</f>
        <v>92.3</v>
      </c>
      <c r="AX431">
        <f>$H$431*$AD$431</f>
        <v>92.3</v>
      </c>
      <c r="AY431">
        <f>$H$431*$AE$431</f>
        <v>92.3</v>
      </c>
      <c r="AZ431">
        <f>$H$431*$AF$431</f>
        <v>92.3</v>
      </c>
    </row>
    <row r="432" spans="1:52" x14ac:dyDescent="0.25">
      <c r="A432">
        <v>480</v>
      </c>
      <c r="B432" t="s">
        <v>4</v>
      </c>
      <c r="C432" t="s">
        <v>318</v>
      </c>
      <c r="D432">
        <v>6</v>
      </c>
      <c r="E432">
        <v>33.119999999999997</v>
      </c>
      <c r="F432" t="s">
        <v>262</v>
      </c>
      <c r="G432">
        <v>5.52</v>
      </c>
      <c r="H432">
        <v>39.74</v>
      </c>
      <c r="I432" t="s">
        <v>264</v>
      </c>
      <c r="J432" t="s">
        <v>319</v>
      </c>
      <c r="K432" t="s">
        <v>402</v>
      </c>
      <c r="L432" t="s">
        <v>170</v>
      </c>
      <c r="M432" t="s">
        <v>4</v>
      </c>
      <c r="N432" t="s">
        <v>12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</v>
      </c>
      <c r="AF432">
        <v>1</v>
      </c>
      <c r="AG432" t="s">
        <v>4</v>
      </c>
      <c r="AH432" t="s">
        <v>12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0</v>
      </c>
      <c r="AV432">
        <f>$H$432*$AB$432</f>
        <v>0</v>
      </c>
      <c r="AW432">
        <f>$H$432*$AC$432</f>
        <v>39.74</v>
      </c>
      <c r="AX432">
        <f>$H$432*$AD$432</f>
        <v>39.74</v>
      </c>
      <c r="AY432">
        <f>$H$432*$AE$432</f>
        <v>39.74</v>
      </c>
      <c r="AZ432">
        <f>$H$432*$AF$432</f>
        <v>39.74</v>
      </c>
    </row>
    <row r="433" spans="1:52" x14ac:dyDescent="0.25">
      <c r="A433">
        <v>481</v>
      </c>
      <c r="B433" t="s">
        <v>4</v>
      </c>
      <c r="C433" t="s">
        <v>324</v>
      </c>
      <c r="D433">
        <v>8</v>
      </c>
      <c r="E433">
        <v>128.63999999999999</v>
      </c>
      <c r="F433" t="s">
        <v>265</v>
      </c>
      <c r="G433">
        <v>16.079999999999998</v>
      </c>
      <c r="H433">
        <v>154.36000000000001</v>
      </c>
      <c r="I433" t="s">
        <v>267</v>
      </c>
      <c r="J433" t="s">
        <v>325</v>
      </c>
      <c r="K433" t="s">
        <v>404</v>
      </c>
      <c r="L433" t="s">
        <v>170</v>
      </c>
      <c r="M433" t="s">
        <v>4</v>
      </c>
      <c r="N433" t="s">
        <v>12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4</v>
      </c>
      <c r="AH433" t="s">
        <v>12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154.36000000000001</v>
      </c>
      <c r="AS433">
        <f>$H$433*$Y$433</f>
        <v>154.36000000000001</v>
      </c>
      <c r="AT433">
        <f>$H$433*$Z$433</f>
        <v>154.36000000000001</v>
      </c>
      <c r="AU433">
        <f>$H$433*$AA$433</f>
        <v>154.36000000000001</v>
      </c>
      <c r="AV433">
        <f>$H$433*$AB$433</f>
        <v>154.36000000000001</v>
      </c>
      <c r="AW433">
        <f>$H$433*$AC$433</f>
        <v>154.36000000000001</v>
      </c>
      <c r="AX433">
        <f>$H$433*$AD$433</f>
        <v>154.36000000000001</v>
      </c>
      <c r="AY433">
        <f>$H$433*$AE$433</f>
        <v>154.36000000000001</v>
      </c>
      <c r="AZ433">
        <f>$H$433*$AF$433</f>
        <v>154.36000000000001</v>
      </c>
    </row>
    <row r="434" spans="1:52" x14ac:dyDescent="0.25">
      <c r="A434">
        <v>482</v>
      </c>
      <c r="B434" t="s">
        <v>4</v>
      </c>
      <c r="C434" t="s">
        <v>525</v>
      </c>
      <c r="D434">
        <v>1</v>
      </c>
      <c r="E434">
        <v>109.28</v>
      </c>
      <c r="F434" t="s">
        <v>265</v>
      </c>
      <c r="G434">
        <v>109.28</v>
      </c>
      <c r="H434">
        <v>131.13999999999999</v>
      </c>
      <c r="I434" t="s">
        <v>270</v>
      </c>
      <c r="J434" t="s">
        <v>293</v>
      </c>
      <c r="K434" t="s">
        <v>643</v>
      </c>
      <c r="L434" t="s">
        <v>170</v>
      </c>
      <c r="M434" t="s">
        <v>4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4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131.13999999999999</v>
      </c>
      <c r="AY434">
        <f>$H$434*$AE$434</f>
        <v>131.13999999999999</v>
      </c>
      <c r="AZ434">
        <f>$H$434*$AF$434</f>
        <v>131.13999999999999</v>
      </c>
    </row>
    <row r="435" spans="1:52" x14ac:dyDescent="0.25">
      <c r="A435">
        <v>483</v>
      </c>
      <c r="B435" t="s">
        <v>4</v>
      </c>
      <c r="C435" t="s">
        <v>288</v>
      </c>
      <c r="D435">
        <v>1</v>
      </c>
      <c r="E435">
        <v>63.54</v>
      </c>
      <c r="F435" t="s">
        <v>265</v>
      </c>
      <c r="G435">
        <v>63.54</v>
      </c>
      <c r="H435">
        <v>76.239999999999995</v>
      </c>
      <c r="I435" t="s">
        <v>289</v>
      </c>
      <c r="J435" t="s">
        <v>290</v>
      </c>
      <c r="K435" t="s">
        <v>389</v>
      </c>
      <c r="L435" t="s">
        <v>170</v>
      </c>
      <c r="M435" t="s">
        <v>4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76.239999999999995</v>
      </c>
      <c r="AV435">
        <f>$H$435*$AB$435</f>
        <v>76.239999999999995</v>
      </c>
      <c r="AW435">
        <f>$H$435*$AC$435</f>
        <v>76.239999999999995</v>
      </c>
      <c r="AX435">
        <f>$H$435*$AD$435</f>
        <v>76.239999999999995</v>
      </c>
      <c r="AY435">
        <f>$H$435*$AE$435</f>
        <v>76.239999999999995</v>
      </c>
      <c r="AZ435">
        <f>$H$435*$AF$435</f>
        <v>76.239999999999995</v>
      </c>
    </row>
    <row r="436" spans="1:52" x14ac:dyDescent="0.25">
      <c r="A436">
        <v>484</v>
      </c>
      <c r="B436" t="s">
        <v>4</v>
      </c>
      <c r="C436" t="s">
        <v>355</v>
      </c>
      <c r="D436">
        <v>2</v>
      </c>
      <c r="E436">
        <v>166.64</v>
      </c>
      <c r="F436" t="s">
        <v>265</v>
      </c>
      <c r="G436">
        <v>83.32</v>
      </c>
      <c r="H436">
        <v>199.96</v>
      </c>
      <c r="I436" t="s">
        <v>263</v>
      </c>
      <c r="J436" t="s">
        <v>356</v>
      </c>
      <c r="K436" t="s">
        <v>418</v>
      </c>
      <c r="L436" t="s">
        <v>170</v>
      </c>
      <c r="M436" t="s">
        <v>4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199.96</v>
      </c>
      <c r="AN436">
        <f>$H$436*$T$436</f>
        <v>199.96</v>
      </c>
      <c r="AO436">
        <f>$H$436*$U$436</f>
        <v>199.96</v>
      </c>
      <c r="AP436">
        <f>$H$436*$V$436</f>
        <v>199.96</v>
      </c>
      <c r="AQ436">
        <f>$H$436*$W$436</f>
        <v>199.96</v>
      </c>
      <c r="AR436">
        <f>$H$436*$X$436</f>
        <v>199.96</v>
      </c>
      <c r="AS436">
        <f>$H$436*$Y$436</f>
        <v>199.96</v>
      </c>
      <c r="AT436">
        <f>$H$436*$Z$436</f>
        <v>199.96</v>
      </c>
      <c r="AU436">
        <f>$H$436*$AA$436</f>
        <v>199.96</v>
      </c>
      <c r="AV436">
        <f>$H$436*$AB$436</f>
        <v>199.96</v>
      </c>
      <c r="AW436">
        <f>$H$436*$AC$436</f>
        <v>199.96</v>
      </c>
      <c r="AX436">
        <f>$H$436*$AD$436</f>
        <v>199.96</v>
      </c>
      <c r="AY436">
        <f>$H$436*$AE$436</f>
        <v>199.96</v>
      </c>
      <c r="AZ436">
        <f>$H$436*$AF$436</f>
        <v>199.96</v>
      </c>
    </row>
    <row r="437" spans="1:52" x14ac:dyDescent="0.25">
      <c r="A437">
        <v>485</v>
      </c>
      <c r="B437" t="s">
        <v>4</v>
      </c>
      <c r="C437" t="s">
        <v>579</v>
      </c>
      <c r="D437">
        <v>1</v>
      </c>
      <c r="E437">
        <v>462.54</v>
      </c>
      <c r="F437" t="s">
        <v>265</v>
      </c>
      <c r="G437">
        <v>462.54</v>
      </c>
      <c r="H437">
        <v>555.04</v>
      </c>
      <c r="I437" t="s">
        <v>292</v>
      </c>
      <c r="J437" t="s">
        <v>580</v>
      </c>
      <c r="K437" t="s">
        <v>671</v>
      </c>
      <c r="L437" t="s">
        <v>170</v>
      </c>
      <c r="M437" t="s">
        <v>4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0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555.04</v>
      </c>
      <c r="AO437">
        <f>$H$437*$U$437</f>
        <v>555.04</v>
      </c>
      <c r="AP437">
        <f>$H$437*$V$437</f>
        <v>555.04</v>
      </c>
      <c r="AQ437">
        <f>$H$437*$W$437</f>
        <v>555.04</v>
      </c>
      <c r="AR437">
        <f>$H$437*$X$437</f>
        <v>555.04</v>
      </c>
      <c r="AS437">
        <f>$H$437*$Y$437</f>
        <v>555.04</v>
      </c>
      <c r="AT437">
        <f>$H$437*$Z$437</f>
        <v>555.04</v>
      </c>
      <c r="AU437">
        <f>$H$437*$AA$437</f>
        <v>555.04</v>
      </c>
      <c r="AV437">
        <f>$H$437*$AB$437</f>
        <v>555.04</v>
      </c>
      <c r="AW437">
        <f>$H$437*$AC$437</f>
        <v>555.04</v>
      </c>
      <c r="AX437">
        <f>$H$437*$AD$437</f>
        <v>555.04</v>
      </c>
      <c r="AY437">
        <f>$H$437*$AE$437</f>
        <v>555.04</v>
      </c>
      <c r="AZ437">
        <f>$H$437*$AF$437</f>
        <v>555.04</v>
      </c>
    </row>
    <row r="438" spans="1:52" x14ac:dyDescent="0.25">
      <c r="A438">
        <v>486</v>
      </c>
      <c r="B438" t="s">
        <v>4</v>
      </c>
      <c r="C438" t="s">
        <v>296</v>
      </c>
      <c r="D438">
        <v>2</v>
      </c>
      <c r="E438">
        <v>126.18</v>
      </c>
      <c r="F438" t="s">
        <v>265</v>
      </c>
      <c r="G438">
        <v>63.09</v>
      </c>
      <c r="H438">
        <v>151.41999999999999</v>
      </c>
      <c r="I438" t="s">
        <v>263</v>
      </c>
      <c r="J438" t="s">
        <v>292</v>
      </c>
      <c r="K438" t="s">
        <v>392</v>
      </c>
      <c r="L438" t="s">
        <v>170</v>
      </c>
      <c r="M438" t="s">
        <v>4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151.41999999999999</v>
      </c>
      <c r="AN438">
        <f>$H$438*$T$438</f>
        <v>151.41999999999999</v>
      </c>
      <c r="AO438">
        <f>$H$438*$U$438</f>
        <v>151.41999999999999</v>
      </c>
      <c r="AP438">
        <f>$H$438*$V$438</f>
        <v>151.41999999999999</v>
      </c>
      <c r="AQ438">
        <f>$H$438*$W$438</f>
        <v>151.41999999999999</v>
      </c>
      <c r="AR438">
        <f>$H$438*$X$438</f>
        <v>151.41999999999999</v>
      </c>
      <c r="AS438">
        <f>$H$438*$Y$438</f>
        <v>151.41999999999999</v>
      </c>
      <c r="AT438">
        <f>$H$438*$Z$438</f>
        <v>151.41999999999999</v>
      </c>
      <c r="AU438">
        <f>$H$438*$AA$438</f>
        <v>151.41999999999999</v>
      </c>
      <c r="AV438">
        <f>$H$438*$AB$438</f>
        <v>151.41999999999999</v>
      </c>
      <c r="AW438">
        <f>$H$438*$AC$438</f>
        <v>151.41999999999999</v>
      </c>
      <c r="AX438">
        <f>$H$438*$AD$438</f>
        <v>151.41999999999999</v>
      </c>
      <c r="AY438">
        <f>$H$438*$AE$438</f>
        <v>151.41999999999999</v>
      </c>
      <c r="AZ438">
        <f>$H$438*$AF$438</f>
        <v>151.41999999999999</v>
      </c>
    </row>
    <row r="439" spans="1:52" x14ac:dyDescent="0.25">
      <c r="A439">
        <v>487</v>
      </c>
      <c r="B439" t="s">
        <v>4</v>
      </c>
      <c r="C439" t="s">
        <v>294</v>
      </c>
      <c r="D439">
        <v>2</v>
      </c>
      <c r="E439">
        <v>106.22</v>
      </c>
      <c r="F439" t="s">
        <v>265</v>
      </c>
      <c r="G439">
        <v>53.11</v>
      </c>
      <c r="H439">
        <v>127.46</v>
      </c>
      <c r="I439" t="s">
        <v>263</v>
      </c>
      <c r="J439" t="s">
        <v>295</v>
      </c>
      <c r="K439" t="s">
        <v>391</v>
      </c>
      <c r="L439" t="s">
        <v>170</v>
      </c>
      <c r="M439" t="s">
        <v>4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4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127.46</v>
      </c>
      <c r="AN439">
        <f>$H$439*$T$439</f>
        <v>127.46</v>
      </c>
      <c r="AO439">
        <f>$H$439*$U$439</f>
        <v>127.46</v>
      </c>
      <c r="AP439">
        <f>$H$439*$V$439</f>
        <v>127.46</v>
      </c>
      <c r="AQ439">
        <f>$H$439*$W$439</f>
        <v>127.46</v>
      </c>
      <c r="AR439">
        <f>$H$439*$X$439</f>
        <v>127.46</v>
      </c>
      <c r="AS439">
        <f>$H$439*$Y$439</f>
        <v>127.46</v>
      </c>
      <c r="AT439">
        <f>$H$439*$Z$439</f>
        <v>127.46</v>
      </c>
      <c r="AU439">
        <f>$H$439*$AA$439</f>
        <v>127.46</v>
      </c>
      <c r="AV439">
        <f>$H$439*$AB$439</f>
        <v>127.46</v>
      </c>
      <c r="AW439">
        <f>$H$439*$AC$439</f>
        <v>127.46</v>
      </c>
      <c r="AX439">
        <f>$H$439*$AD$439</f>
        <v>127.46</v>
      </c>
      <c r="AY439">
        <f>$H$439*$AE$439</f>
        <v>127.46</v>
      </c>
      <c r="AZ439">
        <f>$H$439*$AF$439</f>
        <v>127.46</v>
      </c>
    </row>
    <row r="440" spans="1:52" x14ac:dyDescent="0.25">
      <c r="A440">
        <v>488</v>
      </c>
      <c r="B440" t="s">
        <v>4</v>
      </c>
      <c r="C440" t="s">
        <v>291</v>
      </c>
      <c r="D440">
        <v>1</v>
      </c>
      <c r="E440">
        <v>410.31</v>
      </c>
      <c r="F440" t="s">
        <v>265</v>
      </c>
      <c r="G440">
        <v>410.31</v>
      </c>
      <c r="H440">
        <v>492.37</v>
      </c>
      <c r="I440" t="s">
        <v>292</v>
      </c>
      <c r="J440" t="s">
        <v>293</v>
      </c>
      <c r="K440" t="s">
        <v>390</v>
      </c>
      <c r="L440" t="s">
        <v>170</v>
      </c>
      <c r="M440" t="s">
        <v>4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492.37</v>
      </c>
      <c r="AO440">
        <f>$H$440*$U$440</f>
        <v>492.37</v>
      </c>
      <c r="AP440">
        <f>$H$440*$V$440</f>
        <v>492.37</v>
      </c>
      <c r="AQ440">
        <f>$H$440*$W$440</f>
        <v>492.37</v>
      </c>
      <c r="AR440">
        <f>$H$440*$X$440</f>
        <v>492.37</v>
      </c>
      <c r="AS440">
        <f>$H$440*$Y$440</f>
        <v>492.37</v>
      </c>
      <c r="AT440">
        <f>$H$440*$Z$440</f>
        <v>492.37</v>
      </c>
      <c r="AU440">
        <f>$H$440*$AA$440</f>
        <v>492.37</v>
      </c>
      <c r="AV440">
        <f>$H$440*$AB$440</f>
        <v>492.37</v>
      </c>
      <c r="AW440">
        <f>$H$440*$AC$440</f>
        <v>492.37</v>
      </c>
      <c r="AX440">
        <f>$H$440*$AD$440</f>
        <v>492.37</v>
      </c>
      <c r="AY440">
        <f>$H$440*$AE$440</f>
        <v>492.37</v>
      </c>
      <c r="AZ440">
        <f>$H$440*$AF$440</f>
        <v>492.37</v>
      </c>
    </row>
    <row r="441" spans="1:52" x14ac:dyDescent="0.25">
      <c r="A441">
        <v>489</v>
      </c>
      <c r="B441" t="s">
        <v>4</v>
      </c>
      <c r="C441" t="s">
        <v>335</v>
      </c>
      <c r="D441">
        <v>13.73</v>
      </c>
      <c r="E441">
        <v>52.59</v>
      </c>
      <c r="F441" t="s">
        <v>262</v>
      </c>
      <c r="G441">
        <v>3.83</v>
      </c>
      <c r="H441">
        <v>63.11</v>
      </c>
      <c r="I441" t="s">
        <v>336</v>
      </c>
      <c r="J441" t="s">
        <v>337</v>
      </c>
      <c r="K441" t="s">
        <v>409</v>
      </c>
      <c r="L441" t="s">
        <v>170</v>
      </c>
      <c r="M441" t="s">
        <v>4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4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0</v>
      </c>
      <c r="AS441">
        <f>$H$441*$Y$441</f>
        <v>0</v>
      </c>
      <c r="AT441">
        <f>$H$441*$Z$441</f>
        <v>0</v>
      </c>
      <c r="AU441">
        <f>$H$441*$AA$441</f>
        <v>63.11</v>
      </c>
      <c r="AV441">
        <f>$H$441*$AB$441</f>
        <v>63.11</v>
      </c>
      <c r="AW441">
        <f>$H$441*$AC$441</f>
        <v>63.11</v>
      </c>
      <c r="AX441">
        <f>$H$441*$AD$441</f>
        <v>63.11</v>
      </c>
      <c r="AY441">
        <f>$H$441*$AE$441</f>
        <v>63.11</v>
      </c>
      <c r="AZ441">
        <f>$H$441*$AF$441</f>
        <v>63.11</v>
      </c>
    </row>
    <row r="442" spans="1:52" x14ac:dyDescent="0.25">
      <c r="A442">
        <v>490</v>
      </c>
      <c r="B442" t="s">
        <v>4</v>
      </c>
      <c r="C442" t="s">
        <v>338</v>
      </c>
      <c r="D442">
        <v>123.6</v>
      </c>
      <c r="E442">
        <v>409.12</v>
      </c>
      <c r="F442" t="s">
        <v>275</v>
      </c>
      <c r="G442">
        <v>3.31</v>
      </c>
      <c r="H442">
        <v>490.94</v>
      </c>
      <c r="I442" t="s">
        <v>336</v>
      </c>
      <c r="J442" t="s">
        <v>339</v>
      </c>
      <c r="K442" t="s">
        <v>410</v>
      </c>
      <c r="L442" t="s">
        <v>170</v>
      </c>
      <c r="M442" t="s">
        <v>4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4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490.94</v>
      </c>
      <c r="AN442">
        <f>$H$442*$T$442</f>
        <v>490.94</v>
      </c>
      <c r="AO442">
        <f>$H$442*$U$442</f>
        <v>490.94</v>
      </c>
      <c r="AP442">
        <f>$H$442*$V$442</f>
        <v>490.94</v>
      </c>
      <c r="AQ442">
        <f>$H$442*$W$442</f>
        <v>490.94</v>
      </c>
      <c r="AR442">
        <f>$H$442*$X$442</f>
        <v>490.94</v>
      </c>
      <c r="AS442">
        <f>$H$442*$Y$442</f>
        <v>490.94</v>
      </c>
      <c r="AT442">
        <f>$H$442*$Z$442</f>
        <v>490.94</v>
      </c>
      <c r="AU442">
        <f>$H$442*$AA$442</f>
        <v>490.94</v>
      </c>
      <c r="AV442">
        <f>$H$442*$AB$442</f>
        <v>490.94</v>
      </c>
      <c r="AW442">
        <f>$H$442*$AC$442</f>
        <v>490.94</v>
      </c>
      <c r="AX442">
        <f>$H$442*$AD$442</f>
        <v>490.94</v>
      </c>
      <c r="AY442">
        <f>$H$442*$AE$442</f>
        <v>490.94</v>
      </c>
      <c r="AZ442">
        <f>$H$442*$AF$442</f>
        <v>490.94</v>
      </c>
    </row>
    <row r="443" spans="1:52" x14ac:dyDescent="0.25">
      <c r="A443">
        <v>491</v>
      </c>
      <c r="B443" t="s">
        <v>4</v>
      </c>
      <c r="C443" t="s">
        <v>340</v>
      </c>
      <c r="D443">
        <v>123.6</v>
      </c>
      <c r="E443">
        <v>131.02000000000001</v>
      </c>
      <c r="F443" t="s">
        <v>275</v>
      </c>
      <c r="G443">
        <v>1.06</v>
      </c>
      <c r="H443">
        <v>157.22</v>
      </c>
      <c r="I443" t="s">
        <v>263</v>
      </c>
      <c r="J443" t="s">
        <v>341</v>
      </c>
      <c r="K443" t="s">
        <v>411</v>
      </c>
      <c r="L443" t="s">
        <v>170</v>
      </c>
      <c r="M443" t="s">
        <v>4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1</v>
      </c>
      <c r="AE443">
        <v>1</v>
      </c>
      <c r="AF443">
        <v>1</v>
      </c>
      <c r="AG443" t="s">
        <v>4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0</v>
      </c>
      <c r="AQ443">
        <f>$H$443*$W$443</f>
        <v>0</v>
      </c>
      <c r="AR443">
        <f>$H$443*$X$443</f>
        <v>0</v>
      </c>
      <c r="AS443">
        <f>$H$443*$Y$443</f>
        <v>0</v>
      </c>
      <c r="AT443">
        <f>$H$443*$Z$443</f>
        <v>0</v>
      </c>
      <c r="AU443">
        <f>$H$443*$AA$443</f>
        <v>0</v>
      </c>
      <c r="AV443">
        <f>$H$443*$AB$443</f>
        <v>0</v>
      </c>
      <c r="AW443">
        <f>$H$443*$AC$443</f>
        <v>0</v>
      </c>
      <c r="AX443">
        <f>$H$443*$AD$443</f>
        <v>157.22</v>
      </c>
      <c r="AY443">
        <f>$H$443*$AE$443</f>
        <v>157.22</v>
      </c>
      <c r="AZ443">
        <f>$H$443*$AF$443</f>
        <v>157.22</v>
      </c>
    </row>
    <row r="444" spans="1:52" x14ac:dyDescent="0.25">
      <c r="A444">
        <v>492</v>
      </c>
      <c r="B444" t="s">
        <v>4</v>
      </c>
      <c r="C444" t="s">
        <v>283</v>
      </c>
      <c r="D444">
        <v>154.5</v>
      </c>
      <c r="E444">
        <v>250.29</v>
      </c>
      <c r="F444" t="s">
        <v>275</v>
      </c>
      <c r="G444">
        <v>1.62</v>
      </c>
      <c r="H444">
        <v>300.35000000000002</v>
      </c>
      <c r="I444" t="s">
        <v>263</v>
      </c>
      <c r="J444" t="s">
        <v>284</v>
      </c>
      <c r="K444" t="s">
        <v>387</v>
      </c>
      <c r="L444" t="s">
        <v>170</v>
      </c>
      <c r="M444" t="s">
        <v>4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4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300.35000000000002</v>
      </c>
      <c r="AO444">
        <f>$H$444*$U$444</f>
        <v>300.35000000000002</v>
      </c>
      <c r="AP444">
        <f>$H$444*$V$444</f>
        <v>300.35000000000002</v>
      </c>
      <c r="AQ444">
        <f>$H$444*$W$444</f>
        <v>300.35000000000002</v>
      </c>
      <c r="AR444">
        <f>$H$444*$X$444</f>
        <v>300.35000000000002</v>
      </c>
      <c r="AS444">
        <f>$H$444*$Y$444</f>
        <v>300.35000000000002</v>
      </c>
      <c r="AT444">
        <f>$H$444*$Z$444</f>
        <v>300.35000000000002</v>
      </c>
      <c r="AU444">
        <f>$H$444*$AA$444</f>
        <v>300.35000000000002</v>
      </c>
      <c r="AV444">
        <f>$H$444*$AB$444</f>
        <v>300.35000000000002</v>
      </c>
      <c r="AW444">
        <f>$H$444*$AC$444</f>
        <v>300.35000000000002</v>
      </c>
      <c r="AX444">
        <f>$H$444*$AD$444</f>
        <v>300.35000000000002</v>
      </c>
      <c r="AY444">
        <f>$H$444*$AE$444</f>
        <v>300.35000000000002</v>
      </c>
      <c r="AZ444">
        <f>$H$444*$AF$444</f>
        <v>300.35000000000002</v>
      </c>
    </row>
    <row r="445" spans="1:52" x14ac:dyDescent="0.25">
      <c r="A445">
        <v>493</v>
      </c>
      <c r="B445" t="s">
        <v>4</v>
      </c>
      <c r="C445" t="s">
        <v>526</v>
      </c>
      <c r="D445">
        <v>30.9</v>
      </c>
      <c r="E445">
        <v>130.71</v>
      </c>
      <c r="F445" t="s">
        <v>275</v>
      </c>
      <c r="G445">
        <v>4.2300000000000004</v>
      </c>
      <c r="H445">
        <v>156.85</v>
      </c>
      <c r="I445" t="s">
        <v>527</v>
      </c>
      <c r="J445" t="s">
        <v>309</v>
      </c>
      <c r="K445" t="s">
        <v>644</v>
      </c>
      <c r="L445" t="s">
        <v>170</v>
      </c>
      <c r="M445" t="s">
        <v>4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0.25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4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39.212499999999999</v>
      </c>
      <c r="AN445">
        <f>$H$445*$T$445</f>
        <v>39.212499999999999</v>
      </c>
      <c r="AO445">
        <f>$H$445*$U$445</f>
        <v>39.212499999999999</v>
      </c>
      <c r="AP445">
        <f>$H$445*$V$445</f>
        <v>39.212499999999999</v>
      </c>
      <c r="AQ445">
        <f>$H$445*$W$445</f>
        <v>39.212499999999999</v>
      </c>
      <c r="AR445">
        <f>$H$445*$X$445</f>
        <v>78.424999999999997</v>
      </c>
      <c r="AS445">
        <f>$H$445*$Y$445</f>
        <v>78.424999999999997</v>
      </c>
      <c r="AT445">
        <f>$H$445*$Z$445</f>
        <v>78.424999999999997</v>
      </c>
      <c r="AU445">
        <f>$H$445*$AA$445</f>
        <v>156.85</v>
      </c>
      <c r="AV445">
        <f>$H$445*$AB$445</f>
        <v>156.85</v>
      </c>
      <c r="AW445">
        <f>$H$445*$AC$445</f>
        <v>156.85</v>
      </c>
      <c r="AX445">
        <f>$H$445*$AD$445</f>
        <v>156.85</v>
      </c>
      <c r="AY445">
        <f>$H$445*$AE$445</f>
        <v>156.85</v>
      </c>
      <c r="AZ445">
        <f>$H$445*$AF$445</f>
        <v>156.85</v>
      </c>
    </row>
    <row r="446" spans="1:52" x14ac:dyDescent="0.25">
      <c r="A446">
        <v>494</v>
      </c>
      <c r="B446" t="s">
        <v>4</v>
      </c>
      <c r="C446" t="s">
        <v>285</v>
      </c>
      <c r="D446">
        <v>309</v>
      </c>
      <c r="E446">
        <v>1276.17</v>
      </c>
      <c r="F446" t="s">
        <v>275</v>
      </c>
      <c r="G446">
        <v>4.13</v>
      </c>
      <c r="H446">
        <v>1531.41</v>
      </c>
      <c r="I446" t="s">
        <v>286</v>
      </c>
      <c r="J446" t="s">
        <v>287</v>
      </c>
      <c r="K446" t="s">
        <v>388</v>
      </c>
      <c r="L446" t="s">
        <v>170</v>
      </c>
      <c r="M446" t="s">
        <v>4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0.25</v>
      </c>
      <c r="T446">
        <v>0.25</v>
      </c>
      <c r="U446">
        <v>0.25</v>
      </c>
      <c r="V446">
        <v>0.25</v>
      </c>
      <c r="W446">
        <v>0.5</v>
      </c>
      <c r="X446">
        <v>0.5</v>
      </c>
      <c r="Y446">
        <v>0.5</v>
      </c>
      <c r="Z446">
        <v>0.5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4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382.85250000000002</v>
      </c>
      <c r="AN446">
        <f>$H$446*$T$446</f>
        <v>382.85250000000002</v>
      </c>
      <c r="AO446">
        <f>$H$446*$U$446</f>
        <v>382.85250000000002</v>
      </c>
      <c r="AP446">
        <f>$H$446*$V$446</f>
        <v>382.85250000000002</v>
      </c>
      <c r="AQ446">
        <f>$H$446*$W$446</f>
        <v>765.70500000000004</v>
      </c>
      <c r="AR446">
        <f>$H$446*$X$446</f>
        <v>765.70500000000004</v>
      </c>
      <c r="AS446">
        <f>$H$446*$Y$446</f>
        <v>765.70500000000004</v>
      </c>
      <c r="AT446">
        <f>$H$446*$Z$446</f>
        <v>765.70500000000004</v>
      </c>
      <c r="AU446">
        <f>$H$446*$AA$446</f>
        <v>1531.41</v>
      </c>
      <c r="AV446">
        <f>$H$446*$AB$446</f>
        <v>1531.41</v>
      </c>
      <c r="AW446">
        <f>$H$446*$AC$446</f>
        <v>1531.41</v>
      </c>
      <c r="AX446">
        <f>$H$446*$AD$446</f>
        <v>1531.41</v>
      </c>
      <c r="AY446">
        <f>$H$446*$AE$446</f>
        <v>1531.41</v>
      </c>
      <c r="AZ446">
        <f>$H$446*$AF$446</f>
        <v>1531.41</v>
      </c>
    </row>
    <row r="447" spans="1:52" x14ac:dyDescent="0.25">
      <c r="A447">
        <v>495</v>
      </c>
      <c r="B447" t="s">
        <v>4</v>
      </c>
      <c r="C447" t="s">
        <v>372</v>
      </c>
      <c r="D447">
        <v>34.33</v>
      </c>
      <c r="E447">
        <v>62.14</v>
      </c>
      <c r="F447" t="s">
        <v>262</v>
      </c>
      <c r="G447">
        <v>1.81</v>
      </c>
      <c r="H447">
        <v>74.56</v>
      </c>
      <c r="I447" t="s">
        <v>263</v>
      </c>
      <c r="J447" t="s">
        <v>373</v>
      </c>
      <c r="K447" t="s">
        <v>426</v>
      </c>
      <c r="L447" t="s">
        <v>170</v>
      </c>
      <c r="M447" t="s">
        <v>4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4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0</v>
      </c>
      <c r="AT447">
        <f>$H$447*$Z$447</f>
        <v>0</v>
      </c>
      <c r="AU447">
        <f>$H$447*$AA$447</f>
        <v>74.56</v>
      </c>
      <c r="AV447">
        <f>$H$447*$AB$447</f>
        <v>74.56</v>
      </c>
      <c r="AW447">
        <f>$H$447*$AC$447</f>
        <v>74.56</v>
      </c>
      <c r="AX447">
        <f>$H$447*$AD$447</f>
        <v>74.56</v>
      </c>
      <c r="AY447">
        <f>$H$447*$AE$447</f>
        <v>74.56</v>
      </c>
      <c r="AZ447">
        <f>$H$447*$AF$447</f>
        <v>74.56</v>
      </c>
    </row>
    <row r="448" spans="1:52" x14ac:dyDescent="0.25">
      <c r="A448">
        <v>496</v>
      </c>
      <c r="B448" t="s">
        <v>4</v>
      </c>
      <c r="C448" t="s">
        <v>374</v>
      </c>
      <c r="D448">
        <v>34.33</v>
      </c>
      <c r="E448">
        <v>300.04000000000002</v>
      </c>
      <c r="F448" t="s">
        <v>262</v>
      </c>
      <c r="G448">
        <v>8.74</v>
      </c>
      <c r="H448">
        <v>360.04</v>
      </c>
      <c r="I448" t="s">
        <v>264</v>
      </c>
      <c r="J448" t="s">
        <v>375</v>
      </c>
      <c r="K448" t="s">
        <v>427</v>
      </c>
      <c r="L448" t="s">
        <v>170</v>
      </c>
      <c r="M448" t="s">
        <v>4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4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360.04</v>
      </c>
      <c r="AV448">
        <f>$H$448*$AB$448</f>
        <v>360.04</v>
      </c>
      <c r="AW448">
        <f>$H$448*$AC$448</f>
        <v>360.04</v>
      </c>
      <c r="AX448">
        <f>$H$448*$AD$448</f>
        <v>360.04</v>
      </c>
      <c r="AY448">
        <f>$H$448*$AE$448</f>
        <v>360.04</v>
      </c>
      <c r="AZ448">
        <f>$H$448*$AF$448</f>
        <v>360.04</v>
      </c>
    </row>
    <row r="449" spans="1:52" x14ac:dyDescent="0.25">
      <c r="A449">
        <v>497</v>
      </c>
      <c r="B449" t="s">
        <v>4</v>
      </c>
      <c r="C449" t="s">
        <v>342</v>
      </c>
      <c r="D449">
        <v>34.33</v>
      </c>
      <c r="E449">
        <v>90.63</v>
      </c>
      <c r="F449" t="s">
        <v>262</v>
      </c>
      <c r="G449">
        <v>2.64</v>
      </c>
      <c r="H449">
        <v>108.75</v>
      </c>
      <c r="I449" t="s">
        <v>263</v>
      </c>
      <c r="J449" t="s">
        <v>343</v>
      </c>
      <c r="K449" t="s">
        <v>412</v>
      </c>
      <c r="L449" t="s">
        <v>170</v>
      </c>
      <c r="M449" t="s">
        <v>4</v>
      </c>
      <c r="N449" t="s">
        <v>12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4</v>
      </c>
      <c r="AH449" t="s">
        <v>12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108.75</v>
      </c>
      <c r="AN449">
        <f>$H$449*$T$449</f>
        <v>108.75</v>
      </c>
      <c r="AO449">
        <f>$H$449*$U$449</f>
        <v>108.75</v>
      </c>
      <c r="AP449">
        <f>$H$449*$V$449</f>
        <v>108.75</v>
      </c>
      <c r="AQ449">
        <f>$H$449*$W$449</f>
        <v>108.75</v>
      </c>
      <c r="AR449">
        <f>$H$449*$X$449</f>
        <v>108.75</v>
      </c>
      <c r="AS449">
        <f>$H$449*$Y$449</f>
        <v>108.75</v>
      </c>
      <c r="AT449">
        <f>$H$449*$Z$449</f>
        <v>108.75</v>
      </c>
      <c r="AU449">
        <f>$H$449*$AA$449</f>
        <v>108.75</v>
      </c>
      <c r="AV449">
        <f>$H$449*$AB$449</f>
        <v>108.75</v>
      </c>
      <c r="AW449">
        <f>$H$449*$AC$449</f>
        <v>108.75</v>
      </c>
      <c r="AX449">
        <f>$H$449*$AD$449</f>
        <v>108.75</v>
      </c>
      <c r="AY449">
        <f>$H$449*$AE$449</f>
        <v>108.75</v>
      </c>
      <c r="AZ449">
        <f>$H$449*$AF$449</f>
        <v>108.75</v>
      </c>
    </row>
    <row r="450" spans="1:52" x14ac:dyDescent="0.25">
      <c r="A450">
        <v>498</v>
      </c>
      <c r="B450" t="s">
        <v>4</v>
      </c>
      <c r="C450" t="s">
        <v>344</v>
      </c>
      <c r="D450">
        <v>34.33</v>
      </c>
      <c r="E450">
        <v>212.5</v>
      </c>
      <c r="F450" t="s">
        <v>262</v>
      </c>
      <c r="G450">
        <v>6.19</v>
      </c>
      <c r="H450">
        <v>255</v>
      </c>
      <c r="I450" t="s">
        <v>264</v>
      </c>
      <c r="J450" t="s">
        <v>345</v>
      </c>
      <c r="K450" t="s">
        <v>413</v>
      </c>
      <c r="L450" t="s">
        <v>170</v>
      </c>
      <c r="M450" t="s">
        <v>4</v>
      </c>
      <c r="N450" t="s">
        <v>12</v>
      </c>
      <c r="O450" t="s">
        <v>4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4</v>
      </c>
      <c r="AH450" t="s">
        <v>12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255</v>
      </c>
      <c r="AN450">
        <f>$H$450*$T$450</f>
        <v>255</v>
      </c>
      <c r="AO450">
        <f>$H$450*$U$450</f>
        <v>255</v>
      </c>
      <c r="AP450">
        <f>$H$450*$V$450</f>
        <v>255</v>
      </c>
      <c r="AQ450">
        <f>$H$450*$W$450</f>
        <v>255</v>
      </c>
      <c r="AR450">
        <f>$H$450*$X$450</f>
        <v>255</v>
      </c>
      <c r="AS450">
        <f>$H$450*$Y$450</f>
        <v>255</v>
      </c>
      <c r="AT450">
        <f>$H$450*$Z$450</f>
        <v>255</v>
      </c>
      <c r="AU450">
        <f>$H$450*$AA$450</f>
        <v>255</v>
      </c>
      <c r="AV450">
        <f>$H$450*$AB$450</f>
        <v>255</v>
      </c>
      <c r="AW450">
        <f>$H$450*$AC$450</f>
        <v>255</v>
      </c>
      <c r="AX450">
        <f>$H$450*$AD$450</f>
        <v>255</v>
      </c>
      <c r="AY450">
        <f>$H$450*$AE$450</f>
        <v>255</v>
      </c>
      <c r="AZ450">
        <f>$H$450*$AF$450</f>
        <v>255</v>
      </c>
    </row>
    <row r="451" spans="1:52" x14ac:dyDescent="0.25">
      <c r="A451">
        <v>499</v>
      </c>
      <c r="B451" t="s">
        <v>4</v>
      </c>
      <c r="C451" t="s">
        <v>285</v>
      </c>
      <c r="D451">
        <v>104.17</v>
      </c>
      <c r="E451">
        <v>430.22</v>
      </c>
      <c r="F451" t="s">
        <v>275</v>
      </c>
      <c r="G451">
        <v>4.13</v>
      </c>
      <c r="H451">
        <v>516.26</v>
      </c>
      <c r="I451" t="s">
        <v>286</v>
      </c>
      <c r="J451" t="s">
        <v>287</v>
      </c>
      <c r="K451" t="s">
        <v>388</v>
      </c>
      <c r="L451" t="s">
        <v>170</v>
      </c>
      <c r="M451" t="s">
        <v>4</v>
      </c>
      <c r="N451" t="s">
        <v>12</v>
      </c>
      <c r="O451" t="s">
        <v>4</v>
      </c>
      <c r="P451">
        <v>0</v>
      </c>
      <c r="Q451">
        <v>0</v>
      </c>
      <c r="R451">
        <v>0</v>
      </c>
      <c r="S451">
        <v>0.25</v>
      </c>
      <c r="T451">
        <v>0.25</v>
      </c>
      <c r="U451">
        <v>0.25</v>
      </c>
      <c r="V451">
        <v>0.25</v>
      </c>
      <c r="W451">
        <v>0.5</v>
      </c>
      <c r="X451">
        <v>0.5</v>
      </c>
      <c r="Y451">
        <v>0.5</v>
      </c>
      <c r="Z451">
        <v>0.5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4</v>
      </c>
      <c r="AH451" t="s">
        <v>12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129.065</v>
      </c>
      <c r="AN451">
        <f>$H$451*$T$451</f>
        <v>129.065</v>
      </c>
      <c r="AO451">
        <f>$H$451*$U$451</f>
        <v>129.065</v>
      </c>
      <c r="AP451">
        <f>$H$451*$V$451</f>
        <v>129.065</v>
      </c>
      <c r="AQ451">
        <f>$H$451*$W$451</f>
        <v>258.13</v>
      </c>
      <c r="AR451">
        <f>$H$451*$X$451</f>
        <v>258.13</v>
      </c>
      <c r="AS451">
        <f>$H$451*$Y$451</f>
        <v>258.13</v>
      </c>
      <c r="AT451">
        <f>$H$451*$Z$451</f>
        <v>258.13</v>
      </c>
      <c r="AU451">
        <f>$H$451*$AA$451</f>
        <v>516.26</v>
      </c>
      <c r="AV451">
        <f>$H$451*$AB$451</f>
        <v>516.26</v>
      </c>
      <c r="AW451">
        <f>$H$451*$AC$451</f>
        <v>516.26</v>
      </c>
      <c r="AX451">
        <f>$H$451*$AD$451</f>
        <v>516.26</v>
      </c>
      <c r="AY451">
        <f>$H$451*$AE$451</f>
        <v>516.26</v>
      </c>
      <c r="AZ451">
        <f>$H$451*$AF$451</f>
        <v>516.26</v>
      </c>
    </row>
    <row r="452" spans="1:52" x14ac:dyDescent="0.25">
      <c r="A452">
        <v>500</v>
      </c>
      <c r="B452" t="s">
        <v>4</v>
      </c>
      <c r="C452" t="s">
        <v>340</v>
      </c>
      <c r="D452">
        <v>104.17</v>
      </c>
      <c r="E452">
        <v>110.42</v>
      </c>
      <c r="F452" t="s">
        <v>275</v>
      </c>
      <c r="G452">
        <v>1.06</v>
      </c>
      <c r="H452">
        <v>132.5</v>
      </c>
      <c r="I452" t="s">
        <v>263</v>
      </c>
      <c r="J452" t="s">
        <v>341</v>
      </c>
      <c r="K452" t="s">
        <v>411</v>
      </c>
      <c r="L452" t="s">
        <v>170</v>
      </c>
      <c r="M452" t="s">
        <v>4</v>
      </c>
      <c r="N452" t="s">
        <v>12</v>
      </c>
      <c r="O452" t="s">
        <v>4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1</v>
      </c>
      <c r="AE452">
        <v>1</v>
      </c>
      <c r="AF452">
        <v>1</v>
      </c>
      <c r="AG452" t="s">
        <v>4</v>
      </c>
      <c r="AH452" t="s">
        <v>12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0</v>
      </c>
      <c r="AS452">
        <f>$H$452*$Y$452</f>
        <v>0</v>
      </c>
      <c r="AT452">
        <f>$H$452*$Z$452</f>
        <v>0</v>
      </c>
      <c r="AU452">
        <f>$H$452*$AA$452</f>
        <v>0</v>
      </c>
      <c r="AV452">
        <f>$H$452*$AB$452</f>
        <v>0</v>
      </c>
      <c r="AW452">
        <f>$H$452*$AC$452</f>
        <v>0</v>
      </c>
      <c r="AX452">
        <f>$H$452*$AD$452</f>
        <v>132.5</v>
      </c>
      <c r="AY452">
        <f>$H$452*$AE$452</f>
        <v>132.5</v>
      </c>
      <c r="AZ452">
        <f>$H$452*$AF$452</f>
        <v>132.5</v>
      </c>
    </row>
    <row r="453" spans="1:52" x14ac:dyDescent="0.25">
      <c r="A453">
        <v>501</v>
      </c>
      <c r="B453" t="s">
        <v>4</v>
      </c>
      <c r="C453" t="s">
        <v>346</v>
      </c>
      <c r="D453">
        <v>104.17</v>
      </c>
      <c r="E453">
        <v>116.67</v>
      </c>
      <c r="F453" t="s">
        <v>275</v>
      </c>
      <c r="G453">
        <v>1.1200000000000001</v>
      </c>
      <c r="H453">
        <v>140.01</v>
      </c>
      <c r="I453" t="s">
        <v>263</v>
      </c>
      <c r="J453" t="s">
        <v>347</v>
      </c>
      <c r="K453" t="s">
        <v>414</v>
      </c>
      <c r="L453" t="s">
        <v>170</v>
      </c>
      <c r="M453" t="s">
        <v>4</v>
      </c>
      <c r="N453" t="s">
        <v>12</v>
      </c>
      <c r="O453" t="s">
        <v>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4</v>
      </c>
      <c r="AH453" t="s">
        <v>12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140.01</v>
      </c>
      <c r="AN453">
        <f>$H$453*$T$453</f>
        <v>140.01</v>
      </c>
      <c r="AO453">
        <f>$H$453*$U$453</f>
        <v>140.01</v>
      </c>
      <c r="AP453">
        <f>$H$453*$V$453</f>
        <v>140.01</v>
      </c>
      <c r="AQ453">
        <f>$H$453*$W$453</f>
        <v>140.01</v>
      </c>
      <c r="AR453">
        <f>$H$453*$X$453</f>
        <v>140.01</v>
      </c>
      <c r="AS453">
        <f>$H$453*$Y$453</f>
        <v>140.01</v>
      </c>
      <c r="AT453">
        <f>$H$453*$Z$453</f>
        <v>140.01</v>
      </c>
      <c r="AU453">
        <f>$H$453*$AA$453</f>
        <v>140.01</v>
      </c>
      <c r="AV453">
        <f>$H$453*$AB$453</f>
        <v>140.01</v>
      </c>
      <c r="AW453">
        <f>$H$453*$AC$453</f>
        <v>140.01</v>
      </c>
      <c r="AX453">
        <f>$H$453*$AD$453</f>
        <v>140.01</v>
      </c>
      <c r="AY453">
        <f>$H$453*$AE$453</f>
        <v>140.01</v>
      </c>
      <c r="AZ453">
        <f>$H$453*$AF$453</f>
        <v>140.01</v>
      </c>
    </row>
    <row r="454" spans="1:52" x14ac:dyDescent="0.25">
      <c r="A454">
        <v>502</v>
      </c>
      <c r="B454" t="s">
        <v>4</v>
      </c>
      <c r="C454" t="s">
        <v>528</v>
      </c>
      <c r="D454">
        <v>14.73</v>
      </c>
      <c r="E454">
        <v>308.58999999999997</v>
      </c>
      <c r="F454" t="s">
        <v>275</v>
      </c>
      <c r="G454">
        <v>20.95</v>
      </c>
      <c r="H454">
        <v>370.31</v>
      </c>
      <c r="I454" t="s">
        <v>348</v>
      </c>
      <c r="J454" t="s">
        <v>529</v>
      </c>
      <c r="K454" t="s">
        <v>645</v>
      </c>
      <c r="L454" t="s">
        <v>170</v>
      </c>
      <c r="M454" t="s">
        <v>4</v>
      </c>
      <c r="N454" t="s">
        <v>12</v>
      </c>
      <c r="O454" t="s">
        <v>4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4</v>
      </c>
      <c r="AH454" t="s">
        <v>12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0</v>
      </c>
      <c r="AS454">
        <f>$H$454*$Y$454</f>
        <v>370.31</v>
      </c>
      <c r="AT454">
        <f>$H$454*$Z$454</f>
        <v>370.31</v>
      </c>
      <c r="AU454">
        <f>$H$454*$AA$454</f>
        <v>370.31</v>
      </c>
      <c r="AV454">
        <f>$H$454*$AB$454</f>
        <v>370.31</v>
      </c>
      <c r="AW454">
        <f>$H$454*$AC$454</f>
        <v>370.31</v>
      </c>
      <c r="AX454">
        <f>$H$454*$AD$454</f>
        <v>370.31</v>
      </c>
      <c r="AY454">
        <f>$H$454*$AE$454</f>
        <v>370.31</v>
      </c>
      <c r="AZ454">
        <f>$H$454*$AF$454</f>
        <v>370.31</v>
      </c>
    </row>
    <row r="455" spans="1:52" x14ac:dyDescent="0.25">
      <c r="A455">
        <v>503</v>
      </c>
      <c r="B455" t="s">
        <v>4</v>
      </c>
      <c r="C455" t="s">
        <v>349</v>
      </c>
      <c r="D455">
        <v>29.47</v>
      </c>
      <c r="E455">
        <v>125.54</v>
      </c>
      <c r="F455" t="s">
        <v>275</v>
      </c>
      <c r="G455">
        <v>4.26</v>
      </c>
      <c r="H455">
        <v>150.63999999999999</v>
      </c>
      <c r="I455" t="s">
        <v>350</v>
      </c>
      <c r="J455" t="s">
        <v>351</v>
      </c>
      <c r="K455" t="s">
        <v>415</v>
      </c>
      <c r="L455" t="s">
        <v>170</v>
      </c>
      <c r="M455" t="s">
        <v>4</v>
      </c>
      <c r="N455" t="s">
        <v>12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4</v>
      </c>
      <c r="AH455" t="s">
        <v>12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150.63999999999999</v>
      </c>
      <c r="AN455">
        <f>$H$455*$T$455</f>
        <v>150.63999999999999</v>
      </c>
      <c r="AO455">
        <f>$H$455*$U$455</f>
        <v>150.63999999999999</v>
      </c>
      <c r="AP455">
        <f>$H$455*$V$455</f>
        <v>150.63999999999999</v>
      </c>
      <c r="AQ455">
        <f>$H$455*$W$455</f>
        <v>150.63999999999999</v>
      </c>
      <c r="AR455">
        <f>$H$455*$X$455</f>
        <v>150.63999999999999</v>
      </c>
      <c r="AS455">
        <f>$H$455*$Y$455</f>
        <v>150.63999999999999</v>
      </c>
      <c r="AT455">
        <f>$H$455*$Z$455</f>
        <v>150.63999999999999</v>
      </c>
      <c r="AU455">
        <f>$H$455*$AA$455</f>
        <v>150.63999999999999</v>
      </c>
      <c r="AV455">
        <f>$H$455*$AB$455</f>
        <v>150.63999999999999</v>
      </c>
      <c r="AW455">
        <f>$H$455*$AC$455</f>
        <v>150.63999999999999</v>
      </c>
      <c r="AX455">
        <f>$H$455*$AD$455</f>
        <v>150.63999999999999</v>
      </c>
      <c r="AY455">
        <f>$H$455*$AE$455</f>
        <v>150.63999999999999</v>
      </c>
      <c r="AZ455">
        <f>$H$455*$AF$455</f>
        <v>150.63999999999999</v>
      </c>
    </row>
    <row r="456" spans="1:52" x14ac:dyDescent="0.25">
      <c r="A456">
        <v>504</v>
      </c>
      <c r="B456" t="s">
        <v>4</v>
      </c>
      <c r="C456" t="s">
        <v>352</v>
      </c>
      <c r="D456">
        <v>29.47</v>
      </c>
      <c r="E456">
        <v>316.51</v>
      </c>
      <c r="F456" t="s">
        <v>275</v>
      </c>
      <c r="G456">
        <v>10.74</v>
      </c>
      <c r="H456">
        <v>379.81</v>
      </c>
      <c r="I456" t="s">
        <v>350</v>
      </c>
      <c r="J456" t="s">
        <v>293</v>
      </c>
      <c r="K456" t="s">
        <v>416</v>
      </c>
      <c r="L456" t="s">
        <v>170</v>
      </c>
      <c r="M456" t="s">
        <v>4</v>
      </c>
      <c r="N456" t="s">
        <v>12</v>
      </c>
      <c r="O456" t="s">
        <v>4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4</v>
      </c>
      <c r="AH456" t="s">
        <v>12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379.81</v>
      </c>
      <c r="AN456">
        <f>$H$456*$T$456</f>
        <v>379.81</v>
      </c>
      <c r="AO456">
        <f>$H$456*$U$456</f>
        <v>379.81</v>
      </c>
      <c r="AP456">
        <f>$H$456*$V$456</f>
        <v>379.81</v>
      </c>
      <c r="AQ456">
        <f>$H$456*$W$456</f>
        <v>379.81</v>
      </c>
      <c r="AR456">
        <f>$H$456*$X$456</f>
        <v>379.81</v>
      </c>
      <c r="AS456">
        <f>$H$456*$Y$456</f>
        <v>379.81</v>
      </c>
      <c r="AT456">
        <f>$H$456*$Z$456</f>
        <v>379.81</v>
      </c>
      <c r="AU456">
        <f>$H$456*$AA$456</f>
        <v>379.81</v>
      </c>
      <c r="AV456">
        <f>$H$456*$AB$456</f>
        <v>379.81</v>
      </c>
      <c r="AW456">
        <f>$H$456*$AC$456</f>
        <v>379.81</v>
      </c>
      <c r="AX456">
        <f>$H$456*$AD$456</f>
        <v>379.81</v>
      </c>
      <c r="AY456">
        <f>$H$456*$AE$456</f>
        <v>379.81</v>
      </c>
      <c r="AZ456">
        <f>$H$456*$AF$456</f>
        <v>379.81</v>
      </c>
    </row>
    <row r="457" spans="1:52" x14ac:dyDescent="0.25">
      <c r="A457">
        <v>505</v>
      </c>
      <c r="B457" t="s">
        <v>4</v>
      </c>
      <c r="C457" t="s">
        <v>530</v>
      </c>
      <c r="D457">
        <v>33.89</v>
      </c>
      <c r="E457">
        <v>35.92</v>
      </c>
      <c r="F457" t="s">
        <v>275</v>
      </c>
      <c r="G457">
        <v>1.06</v>
      </c>
      <c r="H457">
        <v>43.1</v>
      </c>
      <c r="I457" t="s">
        <v>353</v>
      </c>
      <c r="J457" t="s">
        <v>531</v>
      </c>
      <c r="K457" t="s">
        <v>646</v>
      </c>
      <c r="L457" t="s">
        <v>170</v>
      </c>
      <c r="M457" t="s">
        <v>4</v>
      </c>
      <c r="N457" t="s">
        <v>12</v>
      </c>
      <c r="O457" t="s">
        <v>4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4</v>
      </c>
      <c r="AH457" t="s">
        <v>12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43.1</v>
      </c>
      <c r="AN457">
        <f>$H$457*$T$457</f>
        <v>43.1</v>
      </c>
      <c r="AO457">
        <f>$H$457*$U$457</f>
        <v>43.1</v>
      </c>
      <c r="AP457">
        <f>$H$457*$V$457</f>
        <v>43.1</v>
      </c>
      <c r="AQ457">
        <f>$H$457*$W$457</f>
        <v>43.1</v>
      </c>
      <c r="AR457">
        <f>$H$457*$X$457</f>
        <v>43.1</v>
      </c>
      <c r="AS457">
        <f>$H$457*$Y$457</f>
        <v>43.1</v>
      </c>
      <c r="AT457">
        <f>$H$457*$Z$457</f>
        <v>43.1</v>
      </c>
      <c r="AU457">
        <f>$H$457*$AA$457</f>
        <v>43.1</v>
      </c>
      <c r="AV457">
        <f>$H$457*$AB$457</f>
        <v>43.1</v>
      </c>
      <c r="AW457">
        <f>$H$457*$AC$457</f>
        <v>43.1</v>
      </c>
      <c r="AX457">
        <f>$H$457*$AD$457</f>
        <v>43.1</v>
      </c>
      <c r="AY457">
        <f>$H$457*$AE$457</f>
        <v>43.1</v>
      </c>
      <c r="AZ457">
        <f>$H$457*$AF$457</f>
        <v>43.1</v>
      </c>
    </row>
    <row r="458" spans="1:52" x14ac:dyDescent="0.25">
      <c r="A458">
        <v>506</v>
      </c>
      <c r="B458" t="s">
        <v>4</v>
      </c>
      <c r="C458" t="s">
        <v>532</v>
      </c>
      <c r="D458">
        <v>33.89</v>
      </c>
      <c r="E458">
        <v>292.47000000000003</v>
      </c>
      <c r="F458" t="s">
        <v>275</v>
      </c>
      <c r="G458">
        <v>8.6300000000000008</v>
      </c>
      <c r="H458">
        <v>350.97</v>
      </c>
      <c r="I458" t="s">
        <v>353</v>
      </c>
      <c r="J458" t="s">
        <v>529</v>
      </c>
      <c r="K458" t="s">
        <v>647</v>
      </c>
      <c r="L458" t="s">
        <v>170</v>
      </c>
      <c r="M458" t="s">
        <v>4</v>
      </c>
      <c r="N458" t="s">
        <v>12</v>
      </c>
      <c r="O458" t="s">
        <v>4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4</v>
      </c>
      <c r="AH458" t="s">
        <v>12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350.97</v>
      </c>
      <c r="AN458">
        <f>$H$458*$T$458</f>
        <v>350.97</v>
      </c>
      <c r="AO458">
        <f>$H$458*$U$458</f>
        <v>350.97</v>
      </c>
      <c r="AP458">
        <f>$H$458*$V$458</f>
        <v>350.97</v>
      </c>
      <c r="AQ458">
        <f>$H$458*$W$458</f>
        <v>350.97</v>
      </c>
      <c r="AR458">
        <f>$H$458*$X$458</f>
        <v>350.97</v>
      </c>
      <c r="AS458">
        <f>$H$458*$Y$458</f>
        <v>350.97</v>
      </c>
      <c r="AT458">
        <f>$H$458*$Z$458</f>
        <v>350.97</v>
      </c>
      <c r="AU458">
        <f>$H$458*$AA$458</f>
        <v>350.97</v>
      </c>
      <c r="AV458">
        <f>$H$458*$AB$458</f>
        <v>350.97</v>
      </c>
      <c r="AW458">
        <f>$H$458*$AC$458</f>
        <v>350.97</v>
      </c>
      <c r="AX458">
        <f>$H$458*$AD$458</f>
        <v>350.97</v>
      </c>
      <c r="AY458">
        <f>$H$458*$AE$458</f>
        <v>350.97</v>
      </c>
      <c r="AZ458">
        <f>$H$458*$AF$458</f>
        <v>350.97</v>
      </c>
    </row>
    <row r="459" spans="1:52" x14ac:dyDescent="0.25">
      <c r="A459">
        <v>507</v>
      </c>
      <c r="B459" t="s">
        <v>5</v>
      </c>
      <c r="C459" t="s">
        <v>324</v>
      </c>
      <c r="D459">
        <v>5</v>
      </c>
      <c r="E459">
        <v>80.400000000000006</v>
      </c>
      <c r="F459" t="s">
        <v>265</v>
      </c>
      <c r="G459">
        <v>16.079999999999998</v>
      </c>
      <c r="H459">
        <v>96.48</v>
      </c>
      <c r="I459" t="s">
        <v>267</v>
      </c>
      <c r="J459" t="s">
        <v>325</v>
      </c>
      <c r="K459" t="s">
        <v>404</v>
      </c>
      <c r="L459" t="s">
        <v>170</v>
      </c>
      <c r="M459" t="s">
        <v>5</v>
      </c>
      <c r="N459" t="s">
        <v>12</v>
      </c>
      <c r="O459" t="s">
        <v>5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5</v>
      </c>
      <c r="AH459" t="s">
        <v>12</v>
      </c>
      <c r="AI459" t="s">
        <v>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96.48</v>
      </c>
      <c r="AS459">
        <f>$H$459*$Y$459</f>
        <v>96.48</v>
      </c>
      <c r="AT459">
        <f>$H$459*$Z$459</f>
        <v>96.48</v>
      </c>
      <c r="AU459">
        <f>$H$459*$AA$459</f>
        <v>96.48</v>
      </c>
      <c r="AV459">
        <f>$H$459*$AB$459</f>
        <v>96.48</v>
      </c>
      <c r="AW459">
        <f>$H$459*$AC$459</f>
        <v>96.48</v>
      </c>
      <c r="AX459">
        <f>$H$459*$AD$459</f>
        <v>96.48</v>
      </c>
      <c r="AY459">
        <f>$H$459*$AE$459</f>
        <v>96.48</v>
      </c>
      <c r="AZ459">
        <f>$H$459*$AF$459</f>
        <v>96.48</v>
      </c>
    </row>
    <row r="460" spans="1:52" x14ac:dyDescent="0.25">
      <c r="A460">
        <v>508</v>
      </c>
      <c r="B460" t="s">
        <v>5</v>
      </c>
      <c r="C460" t="s">
        <v>354</v>
      </c>
      <c r="D460">
        <v>1</v>
      </c>
      <c r="E460">
        <v>71.180000000000007</v>
      </c>
      <c r="F460" t="s">
        <v>265</v>
      </c>
      <c r="G460">
        <v>71.180000000000007</v>
      </c>
      <c r="H460">
        <v>85.42</v>
      </c>
      <c r="I460" t="s">
        <v>270</v>
      </c>
      <c r="J460" t="s">
        <v>309</v>
      </c>
      <c r="K460" t="s">
        <v>417</v>
      </c>
      <c r="L460" t="s">
        <v>170</v>
      </c>
      <c r="M460" t="s">
        <v>5</v>
      </c>
      <c r="N460" t="s">
        <v>12</v>
      </c>
      <c r="O460" t="s">
        <v>5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1</v>
      </c>
      <c r="AE460">
        <v>1</v>
      </c>
      <c r="AF460">
        <v>1</v>
      </c>
      <c r="AG460" t="s">
        <v>5</v>
      </c>
      <c r="AH460" t="s">
        <v>12</v>
      </c>
      <c r="AI460" t="s">
        <v>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0</v>
      </c>
      <c r="AU460">
        <f>$H$460*$AA$460</f>
        <v>0</v>
      </c>
      <c r="AV460">
        <f>$H$460*$AB$460</f>
        <v>0</v>
      </c>
      <c r="AW460">
        <f>$H$460*$AC$460</f>
        <v>0</v>
      </c>
      <c r="AX460">
        <f>$H$460*$AD$460</f>
        <v>85.42</v>
      </c>
      <c r="AY460">
        <f>$H$460*$AE$460</f>
        <v>85.42</v>
      </c>
      <c r="AZ460">
        <f>$H$460*$AF$460</f>
        <v>85.42</v>
      </c>
    </row>
    <row r="461" spans="1:52" x14ac:dyDescent="0.25">
      <c r="A461">
        <v>509</v>
      </c>
      <c r="B461" t="s">
        <v>5</v>
      </c>
      <c r="C461" t="s">
        <v>335</v>
      </c>
      <c r="D461">
        <v>13.73</v>
      </c>
      <c r="E461">
        <v>52.59</v>
      </c>
      <c r="F461" t="s">
        <v>262</v>
      </c>
      <c r="G461">
        <v>3.83</v>
      </c>
      <c r="H461">
        <v>63.11</v>
      </c>
      <c r="I461" t="s">
        <v>336</v>
      </c>
      <c r="J461" t="s">
        <v>337</v>
      </c>
      <c r="K461" t="s">
        <v>409</v>
      </c>
      <c r="L461" t="s">
        <v>170</v>
      </c>
      <c r="M461" t="s">
        <v>5</v>
      </c>
      <c r="N461" t="s">
        <v>12</v>
      </c>
      <c r="O461" t="s">
        <v>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5</v>
      </c>
      <c r="AH461" t="s">
        <v>12</v>
      </c>
      <c r="AI461" t="s">
        <v>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63.11</v>
      </c>
      <c r="AV461">
        <f>$H$461*$AB$461</f>
        <v>63.11</v>
      </c>
      <c r="AW461">
        <f>$H$461*$AC$461</f>
        <v>63.11</v>
      </c>
      <c r="AX461">
        <f>$H$461*$AD$461</f>
        <v>63.11</v>
      </c>
      <c r="AY461">
        <f>$H$461*$AE$461</f>
        <v>63.11</v>
      </c>
      <c r="AZ461">
        <f>$H$461*$AF$461</f>
        <v>63.11</v>
      </c>
    </row>
    <row r="462" spans="1:52" x14ac:dyDescent="0.25">
      <c r="A462">
        <v>510</v>
      </c>
      <c r="B462" t="s">
        <v>5</v>
      </c>
      <c r="C462" t="s">
        <v>338</v>
      </c>
      <c r="D462">
        <v>123.6</v>
      </c>
      <c r="E462">
        <v>409.12</v>
      </c>
      <c r="F462" t="s">
        <v>275</v>
      </c>
      <c r="G462">
        <v>3.31</v>
      </c>
      <c r="H462">
        <v>490.94</v>
      </c>
      <c r="I462" t="s">
        <v>336</v>
      </c>
      <c r="J462" t="s">
        <v>339</v>
      </c>
      <c r="K462" t="s">
        <v>410</v>
      </c>
      <c r="L462" t="s">
        <v>170</v>
      </c>
      <c r="M462" t="s">
        <v>5</v>
      </c>
      <c r="N462" t="s">
        <v>12</v>
      </c>
      <c r="O462" t="s">
        <v>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5</v>
      </c>
      <c r="AH462" t="s">
        <v>12</v>
      </c>
      <c r="AI462" t="s">
        <v>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490.94</v>
      </c>
      <c r="AN462">
        <f>$H$462*$T$462</f>
        <v>490.94</v>
      </c>
      <c r="AO462">
        <f>$H$462*$U$462</f>
        <v>490.94</v>
      </c>
      <c r="AP462">
        <f>$H$462*$V$462</f>
        <v>490.94</v>
      </c>
      <c r="AQ462">
        <f>$H$462*$W$462</f>
        <v>490.94</v>
      </c>
      <c r="AR462">
        <f>$H$462*$X$462</f>
        <v>490.94</v>
      </c>
      <c r="AS462">
        <f>$H$462*$Y$462</f>
        <v>490.94</v>
      </c>
      <c r="AT462">
        <f>$H$462*$Z$462</f>
        <v>490.94</v>
      </c>
      <c r="AU462">
        <f>$H$462*$AA$462</f>
        <v>490.94</v>
      </c>
      <c r="AV462">
        <f>$H$462*$AB$462</f>
        <v>490.94</v>
      </c>
      <c r="AW462">
        <f>$H$462*$AC$462</f>
        <v>490.94</v>
      </c>
      <c r="AX462">
        <f>$H$462*$AD$462</f>
        <v>490.94</v>
      </c>
      <c r="AY462">
        <f>$H$462*$AE$462</f>
        <v>490.94</v>
      </c>
      <c r="AZ462">
        <f>$H$462*$AF$462</f>
        <v>490.94</v>
      </c>
    </row>
    <row r="463" spans="1:52" x14ac:dyDescent="0.25">
      <c r="A463">
        <v>511</v>
      </c>
      <c r="B463" t="s">
        <v>5</v>
      </c>
      <c r="C463" t="s">
        <v>340</v>
      </c>
      <c r="D463">
        <v>123.6</v>
      </c>
      <c r="E463">
        <v>131.02000000000001</v>
      </c>
      <c r="F463" t="s">
        <v>275</v>
      </c>
      <c r="G463">
        <v>1.06</v>
      </c>
      <c r="H463">
        <v>157.22</v>
      </c>
      <c r="I463" t="s">
        <v>263</v>
      </c>
      <c r="J463" t="s">
        <v>341</v>
      </c>
      <c r="K463" t="s">
        <v>411</v>
      </c>
      <c r="L463" t="s">
        <v>170</v>
      </c>
      <c r="M463" t="s">
        <v>5</v>
      </c>
      <c r="N463" t="s">
        <v>12</v>
      </c>
      <c r="O463" t="s">
        <v>5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1</v>
      </c>
      <c r="AE463">
        <v>1</v>
      </c>
      <c r="AF463">
        <v>1</v>
      </c>
      <c r="AG463" t="s">
        <v>5</v>
      </c>
      <c r="AH463" t="s">
        <v>12</v>
      </c>
      <c r="AI463" t="s">
        <v>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0</v>
      </c>
      <c r="AO463">
        <f>$H$463*$U$463</f>
        <v>0</v>
      </c>
      <c r="AP463">
        <f>$H$463*$V$463</f>
        <v>0</v>
      </c>
      <c r="AQ463">
        <f>$H$463*$W$463</f>
        <v>0</v>
      </c>
      <c r="AR463">
        <f>$H$463*$X$463</f>
        <v>0</v>
      </c>
      <c r="AS463">
        <f>$H$463*$Y$463</f>
        <v>0</v>
      </c>
      <c r="AT463">
        <f>$H$463*$Z$463</f>
        <v>0</v>
      </c>
      <c r="AU463">
        <f>$H$463*$AA$463</f>
        <v>0</v>
      </c>
      <c r="AV463">
        <f>$H$463*$AB$463</f>
        <v>0</v>
      </c>
      <c r="AW463">
        <f>$H$463*$AC$463</f>
        <v>0</v>
      </c>
      <c r="AX463">
        <f>$H$463*$AD$463</f>
        <v>157.22</v>
      </c>
      <c r="AY463">
        <f>$H$463*$AE$463</f>
        <v>157.22</v>
      </c>
      <c r="AZ463">
        <f>$H$463*$AF$463</f>
        <v>157.22</v>
      </c>
    </row>
    <row r="464" spans="1:52" x14ac:dyDescent="0.25">
      <c r="A464">
        <v>512</v>
      </c>
      <c r="B464" t="s">
        <v>5</v>
      </c>
      <c r="C464" t="s">
        <v>283</v>
      </c>
      <c r="D464">
        <v>154.5</v>
      </c>
      <c r="E464">
        <v>250.29</v>
      </c>
      <c r="F464" t="s">
        <v>275</v>
      </c>
      <c r="G464">
        <v>1.62</v>
      </c>
      <c r="H464">
        <v>300.35000000000002</v>
      </c>
      <c r="I464" t="s">
        <v>263</v>
      </c>
      <c r="J464" t="s">
        <v>284</v>
      </c>
      <c r="K464" t="s">
        <v>387</v>
      </c>
      <c r="L464" t="s">
        <v>170</v>
      </c>
      <c r="M464" t="s">
        <v>5</v>
      </c>
      <c r="N464" t="s">
        <v>12</v>
      </c>
      <c r="O464" t="s">
        <v>5</v>
      </c>
      <c r="P464">
        <v>0</v>
      </c>
      <c r="Q464">
        <v>0</v>
      </c>
      <c r="R464">
        <v>0</v>
      </c>
      <c r="S464">
        <v>0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5</v>
      </c>
      <c r="AH464" t="s">
        <v>12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300.35000000000002</v>
      </c>
      <c r="AO464">
        <f>$H$464*$U$464</f>
        <v>300.35000000000002</v>
      </c>
      <c r="AP464">
        <f>$H$464*$V$464</f>
        <v>300.35000000000002</v>
      </c>
      <c r="AQ464">
        <f>$H$464*$W$464</f>
        <v>300.35000000000002</v>
      </c>
      <c r="AR464">
        <f>$H$464*$X$464</f>
        <v>300.35000000000002</v>
      </c>
      <c r="AS464">
        <f>$H$464*$Y$464</f>
        <v>300.35000000000002</v>
      </c>
      <c r="AT464">
        <f>$H$464*$Z$464</f>
        <v>300.35000000000002</v>
      </c>
      <c r="AU464">
        <f>$H$464*$AA$464</f>
        <v>300.35000000000002</v>
      </c>
      <c r="AV464">
        <f>$H$464*$AB$464</f>
        <v>300.35000000000002</v>
      </c>
      <c r="AW464">
        <f>$H$464*$AC$464</f>
        <v>300.35000000000002</v>
      </c>
      <c r="AX464">
        <f>$H$464*$AD$464</f>
        <v>300.35000000000002</v>
      </c>
      <c r="AY464">
        <f>$H$464*$AE$464</f>
        <v>300.35000000000002</v>
      </c>
      <c r="AZ464">
        <f>$H$464*$AF$464</f>
        <v>300.35000000000002</v>
      </c>
    </row>
    <row r="465" spans="1:52" x14ac:dyDescent="0.25">
      <c r="A465">
        <v>513</v>
      </c>
      <c r="B465" t="s">
        <v>5</v>
      </c>
      <c r="C465" t="s">
        <v>526</v>
      </c>
      <c r="D465">
        <v>30.9</v>
      </c>
      <c r="E465">
        <v>130.71</v>
      </c>
      <c r="F465" t="s">
        <v>275</v>
      </c>
      <c r="G465">
        <v>4.2300000000000004</v>
      </c>
      <c r="H465">
        <v>156.85</v>
      </c>
      <c r="I465" t="s">
        <v>527</v>
      </c>
      <c r="J465" t="s">
        <v>309</v>
      </c>
      <c r="K465" t="s">
        <v>644</v>
      </c>
      <c r="L465" t="s">
        <v>170</v>
      </c>
      <c r="M465" t="s">
        <v>5</v>
      </c>
      <c r="N465" t="s">
        <v>12</v>
      </c>
      <c r="O465" t="s">
        <v>5</v>
      </c>
      <c r="P465">
        <v>0</v>
      </c>
      <c r="Q465">
        <v>0</v>
      </c>
      <c r="R465">
        <v>0</v>
      </c>
      <c r="S465">
        <v>0.25</v>
      </c>
      <c r="T465">
        <v>0.25</v>
      </c>
      <c r="U465">
        <v>0.25</v>
      </c>
      <c r="V465">
        <v>0.25</v>
      </c>
      <c r="W465">
        <v>0.25</v>
      </c>
      <c r="X465">
        <v>0.5</v>
      </c>
      <c r="Y465">
        <v>0.5</v>
      </c>
      <c r="Z465">
        <v>0.5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5</v>
      </c>
      <c r="AH465" t="s">
        <v>12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39.212499999999999</v>
      </c>
      <c r="AN465">
        <f>$H$465*$T$465</f>
        <v>39.212499999999999</v>
      </c>
      <c r="AO465">
        <f>$H$465*$U$465</f>
        <v>39.212499999999999</v>
      </c>
      <c r="AP465">
        <f>$H$465*$V$465</f>
        <v>39.212499999999999</v>
      </c>
      <c r="AQ465">
        <f>$H$465*$W$465</f>
        <v>39.212499999999999</v>
      </c>
      <c r="AR465">
        <f>$H$465*$X$465</f>
        <v>78.424999999999997</v>
      </c>
      <c r="AS465">
        <f>$H$465*$Y$465</f>
        <v>78.424999999999997</v>
      </c>
      <c r="AT465">
        <f>$H$465*$Z$465</f>
        <v>78.424999999999997</v>
      </c>
      <c r="AU465">
        <f>$H$465*$AA$465</f>
        <v>156.85</v>
      </c>
      <c r="AV465">
        <f>$H$465*$AB$465</f>
        <v>156.85</v>
      </c>
      <c r="AW465">
        <f>$H$465*$AC$465</f>
        <v>156.85</v>
      </c>
      <c r="AX465">
        <f>$H$465*$AD$465</f>
        <v>156.85</v>
      </c>
      <c r="AY465">
        <f>$H$465*$AE$465</f>
        <v>156.85</v>
      </c>
      <c r="AZ465">
        <f>$H$465*$AF$465</f>
        <v>156.85</v>
      </c>
    </row>
    <row r="466" spans="1:52" x14ac:dyDescent="0.25">
      <c r="A466">
        <v>514</v>
      </c>
      <c r="B466" t="s">
        <v>5</v>
      </c>
      <c r="C466" t="s">
        <v>285</v>
      </c>
      <c r="D466">
        <v>309</v>
      </c>
      <c r="E466">
        <v>1276.17</v>
      </c>
      <c r="F466" t="s">
        <v>275</v>
      </c>
      <c r="G466">
        <v>4.13</v>
      </c>
      <c r="H466">
        <v>1531.41</v>
      </c>
      <c r="I466" t="s">
        <v>286</v>
      </c>
      <c r="J466" t="s">
        <v>287</v>
      </c>
      <c r="K466" t="s">
        <v>388</v>
      </c>
      <c r="L466" t="s">
        <v>170</v>
      </c>
      <c r="M466" t="s">
        <v>5</v>
      </c>
      <c r="N466" t="s">
        <v>12</v>
      </c>
      <c r="O466" t="s">
        <v>5</v>
      </c>
      <c r="P466">
        <v>0</v>
      </c>
      <c r="Q466">
        <v>0</v>
      </c>
      <c r="R466">
        <v>0</v>
      </c>
      <c r="S466">
        <v>0.25</v>
      </c>
      <c r="T466">
        <v>0.25</v>
      </c>
      <c r="U466">
        <v>0.25</v>
      </c>
      <c r="V466">
        <v>0.25</v>
      </c>
      <c r="W466">
        <v>0.5</v>
      </c>
      <c r="X466">
        <v>0.5</v>
      </c>
      <c r="Y466">
        <v>0.5</v>
      </c>
      <c r="Z466">
        <v>0.5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5</v>
      </c>
      <c r="AH466" t="s">
        <v>12</v>
      </c>
      <c r="AI466" t="s">
        <v>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382.85250000000002</v>
      </c>
      <c r="AN466">
        <f>$H$466*$T$466</f>
        <v>382.85250000000002</v>
      </c>
      <c r="AO466">
        <f>$H$466*$U$466</f>
        <v>382.85250000000002</v>
      </c>
      <c r="AP466">
        <f>$H$466*$V$466</f>
        <v>382.85250000000002</v>
      </c>
      <c r="AQ466">
        <f>$H$466*$W$466</f>
        <v>765.70500000000004</v>
      </c>
      <c r="AR466">
        <f>$H$466*$X$466</f>
        <v>765.70500000000004</v>
      </c>
      <c r="AS466">
        <f>$H$466*$Y$466</f>
        <v>765.70500000000004</v>
      </c>
      <c r="AT466">
        <f>$H$466*$Z$466</f>
        <v>765.70500000000004</v>
      </c>
      <c r="AU466">
        <f>$H$466*$AA$466</f>
        <v>1531.41</v>
      </c>
      <c r="AV466">
        <f>$H$466*$AB$466</f>
        <v>1531.41</v>
      </c>
      <c r="AW466">
        <f>$H$466*$AC$466</f>
        <v>1531.41</v>
      </c>
      <c r="AX466">
        <f>$H$466*$AD$466</f>
        <v>1531.41</v>
      </c>
      <c r="AY466">
        <f>$H$466*$AE$466</f>
        <v>1531.41</v>
      </c>
      <c r="AZ466">
        <f>$H$466*$AF$466</f>
        <v>1531.41</v>
      </c>
    </row>
    <row r="467" spans="1:52" x14ac:dyDescent="0.25">
      <c r="A467">
        <v>515</v>
      </c>
      <c r="B467" t="s">
        <v>5</v>
      </c>
      <c r="C467" t="s">
        <v>372</v>
      </c>
      <c r="D467">
        <v>34.33</v>
      </c>
      <c r="E467">
        <v>62.14</v>
      </c>
      <c r="F467" t="s">
        <v>262</v>
      </c>
      <c r="G467">
        <v>1.81</v>
      </c>
      <c r="H467">
        <v>74.56</v>
      </c>
      <c r="I467" t="s">
        <v>263</v>
      </c>
      <c r="J467" t="s">
        <v>373</v>
      </c>
      <c r="K467" t="s">
        <v>426</v>
      </c>
      <c r="L467" t="s">
        <v>170</v>
      </c>
      <c r="M467" t="s">
        <v>5</v>
      </c>
      <c r="N467" t="s">
        <v>12</v>
      </c>
      <c r="O467" t="s">
        <v>5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5</v>
      </c>
      <c r="AH467" t="s">
        <v>12</v>
      </c>
      <c r="AI467" t="s">
        <v>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0</v>
      </c>
      <c r="AS467">
        <f>$H$467*$Y$467</f>
        <v>0</v>
      </c>
      <c r="AT467">
        <f>$H$467*$Z$467</f>
        <v>0</v>
      </c>
      <c r="AU467">
        <f>$H$467*$AA$467</f>
        <v>74.56</v>
      </c>
      <c r="AV467">
        <f>$H$467*$AB$467</f>
        <v>74.56</v>
      </c>
      <c r="AW467">
        <f>$H$467*$AC$467</f>
        <v>74.56</v>
      </c>
      <c r="AX467">
        <f>$H$467*$AD$467</f>
        <v>74.56</v>
      </c>
      <c r="AY467">
        <f>$H$467*$AE$467</f>
        <v>74.56</v>
      </c>
      <c r="AZ467">
        <f>$H$467*$AF$467</f>
        <v>74.56</v>
      </c>
    </row>
    <row r="468" spans="1:52" x14ac:dyDescent="0.25">
      <c r="A468">
        <v>516</v>
      </c>
      <c r="B468" t="s">
        <v>5</v>
      </c>
      <c r="C468" t="s">
        <v>374</v>
      </c>
      <c r="D468">
        <v>34.33</v>
      </c>
      <c r="E468">
        <v>300.04000000000002</v>
      </c>
      <c r="F468" t="s">
        <v>262</v>
      </c>
      <c r="G468">
        <v>8.74</v>
      </c>
      <c r="H468">
        <v>360.04</v>
      </c>
      <c r="I468" t="s">
        <v>264</v>
      </c>
      <c r="J468" t="s">
        <v>375</v>
      </c>
      <c r="K468" t="s">
        <v>427</v>
      </c>
      <c r="L468" t="s">
        <v>170</v>
      </c>
      <c r="M468" t="s">
        <v>5</v>
      </c>
      <c r="N468" t="s">
        <v>12</v>
      </c>
      <c r="O468" t="s">
        <v>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5</v>
      </c>
      <c r="AH468" t="s">
        <v>12</v>
      </c>
      <c r="AI468" t="s">
        <v>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360.04</v>
      </c>
      <c r="AV468">
        <f>$H$468*$AB$468</f>
        <v>360.04</v>
      </c>
      <c r="AW468">
        <f>$H$468*$AC$468</f>
        <v>360.04</v>
      </c>
      <c r="AX468">
        <f>$H$468*$AD$468</f>
        <v>360.04</v>
      </c>
      <c r="AY468">
        <f>$H$468*$AE$468</f>
        <v>360.04</v>
      </c>
      <c r="AZ468">
        <f>$H$468*$AF$468</f>
        <v>360.04</v>
      </c>
    </row>
    <row r="469" spans="1:52" x14ac:dyDescent="0.25">
      <c r="A469">
        <v>517</v>
      </c>
      <c r="B469" t="s">
        <v>5</v>
      </c>
      <c r="C469" t="s">
        <v>342</v>
      </c>
      <c r="D469">
        <v>34.33</v>
      </c>
      <c r="E469">
        <v>90.63</v>
      </c>
      <c r="F469" t="s">
        <v>262</v>
      </c>
      <c r="G469">
        <v>2.64</v>
      </c>
      <c r="H469">
        <v>108.75</v>
      </c>
      <c r="I469" t="s">
        <v>263</v>
      </c>
      <c r="J469" t="s">
        <v>343</v>
      </c>
      <c r="K469" t="s">
        <v>412</v>
      </c>
      <c r="L469" t="s">
        <v>170</v>
      </c>
      <c r="M469" t="s">
        <v>5</v>
      </c>
      <c r="N469" t="s">
        <v>12</v>
      </c>
      <c r="O469" t="s">
        <v>5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5</v>
      </c>
      <c r="AH469" t="s">
        <v>12</v>
      </c>
      <c r="AI469" t="s">
        <v>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108.75</v>
      </c>
      <c r="AN469">
        <f>$H$469*$T$469</f>
        <v>108.75</v>
      </c>
      <c r="AO469">
        <f>$H$469*$U$469</f>
        <v>108.75</v>
      </c>
      <c r="AP469">
        <f>$H$469*$V$469</f>
        <v>108.75</v>
      </c>
      <c r="AQ469">
        <f>$H$469*$W$469</f>
        <v>108.75</v>
      </c>
      <c r="AR469">
        <f>$H$469*$X$469</f>
        <v>108.75</v>
      </c>
      <c r="AS469">
        <f>$H$469*$Y$469</f>
        <v>108.75</v>
      </c>
      <c r="AT469">
        <f>$H$469*$Z$469</f>
        <v>108.75</v>
      </c>
      <c r="AU469">
        <f>$H$469*$AA$469</f>
        <v>108.75</v>
      </c>
      <c r="AV469">
        <f>$H$469*$AB$469</f>
        <v>108.75</v>
      </c>
      <c r="AW469">
        <f>$H$469*$AC$469</f>
        <v>108.75</v>
      </c>
      <c r="AX469">
        <f>$H$469*$AD$469</f>
        <v>108.75</v>
      </c>
      <c r="AY469">
        <f>$H$469*$AE$469</f>
        <v>108.75</v>
      </c>
      <c r="AZ469">
        <f>$H$469*$AF$469</f>
        <v>108.75</v>
      </c>
    </row>
    <row r="470" spans="1:52" x14ac:dyDescent="0.25">
      <c r="A470">
        <v>518</v>
      </c>
      <c r="B470" t="s">
        <v>5</v>
      </c>
      <c r="C470" t="s">
        <v>344</v>
      </c>
      <c r="D470">
        <v>34.33</v>
      </c>
      <c r="E470">
        <v>212.5</v>
      </c>
      <c r="F470" t="s">
        <v>262</v>
      </c>
      <c r="G470">
        <v>6.19</v>
      </c>
      <c r="H470">
        <v>255</v>
      </c>
      <c r="I470" t="s">
        <v>264</v>
      </c>
      <c r="J470" t="s">
        <v>345</v>
      </c>
      <c r="K470" t="s">
        <v>413</v>
      </c>
      <c r="L470" t="s">
        <v>170</v>
      </c>
      <c r="M470" t="s">
        <v>5</v>
      </c>
      <c r="N470" t="s">
        <v>12</v>
      </c>
      <c r="O470" t="s">
        <v>5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5</v>
      </c>
      <c r="AH470" t="s">
        <v>12</v>
      </c>
      <c r="AI470" t="s">
        <v>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255</v>
      </c>
      <c r="AN470">
        <f>$H$470*$T$470</f>
        <v>255</v>
      </c>
      <c r="AO470">
        <f>$H$470*$U$470</f>
        <v>255</v>
      </c>
      <c r="AP470">
        <f>$H$470*$V$470</f>
        <v>255</v>
      </c>
      <c r="AQ470">
        <f>$H$470*$W$470</f>
        <v>255</v>
      </c>
      <c r="AR470">
        <f>$H$470*$X$470</f>
        <v>255</v>
      </c>
      <c r="AS470">
        <f>$H$470*$Y$470</f>
        <v>255</v>
      </c>
      <c r="AT470">
        <f>$H$470*$Z$470</f>
        <v>255</v>
      </c>
      <c r="AU470">
        <f>$H$470*$AA$470</f>
        <v>255</v>
      </c>
      <c r="AV470">
        <f>$H$470*$AB$470</f>
        <v>255</v>
      </c>
      <c r="AW470">
        <f>$H$470*$AC$470</f>
        <v>255</v>
      </c>
      <c r="AX470">
        <f>$H$470*$AD$470</f>
        <v>255</v>
      </c>
      <c r="AY470">
        <f>$H$470*$AE$470</f>
        <v>255</v>
      </c>
      <c r="AZ470">
        <f>$H$470*$AF$470</f>
        <v>255</v>
      </c>
    </row>
    <row r="471" spans="1:52" x14ac:dyDescent="0.25">
      <c r="A471">
        <v>519</v>
      </c>
      <c r="B471" t="s">
        <v>5</v>
      </c>
      <c r="C471" t="s">
        <v>285</v>
      </c>
      <c r="D471">
        <v>104.17</v>
      </c>
      <c r="E471">
        <v>430.22</v>
      </c>
      <c r="F471" t="s">
        <v>275</v>
      </c>
      <c r="G471">
        <v>4.13</v>
      </c>
      <c r="H471">
        <v>516.26</v>
      </c>
      <c r="I471" t="s">
        <v>286</v>
      </c>
      <c r="J471" t="s">
        <v>287</v>
      </c>
      <c r="K471" t="s">
        <v>388</v>
      </c>
      <c r="L471" t="s">
        <v>170</v>
      </c>
      <c r="M471" t="s">
        <v>5</v>
      </c>
      <c r="N471" t="s">
        <v>12</v>
      </c>
      <c r="O471" t="s">
        <v>5</v>
      </c>
      <c r="P471">
        <v>0</v>
      </c>
      <c r="Q471">
        <v>0</v>
      </c>
      <c r="R471">
        <v>0</v>
      </c>
      <c r="S471">
        <v>0.25</v>
      </c>
      <c r="T471">
        <v>0.25</v>
      </c>
      <c r="U471">
        <v>0.25</v>
      </c>
      <c r="V471">
        <v>0.25</v>
      </c>
      <c r="W471">
        <v>0.5</v>
      </c>
      <c r="X471">
        <v>0.5</v>
      </c>
      <c r="Y471">
        <v>0.5</v>
      </c>
      <c r="Z471">
        <v>0.5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5</v>
      </c>
      <c r="AH471" t="s">
        <v>12</v>
      </c>
      <c r="AI471" t="s">
        <v>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129.065</v>
      </c>
      <c r="AN471">
        <f>$H$471*$T$471</f>
        <v>129.065</v>
      </c>
      <c r="AO471">
        <f>$H$471*$U$471</f>
        <v>129.065</v>
      </c>
      <c r="AP471">
        <f>$H$471*$V$471</f>
        <v>129.065</v>
      </c>
      <c r="AQ471">
        <f>$H$471*$W$471</f>
        <v>258.13</v>
      </c>
      <c r="AR471">
        <f>$H$471*$X$471</f>
        <v>258.13</v>
      </c>
      <c r="AS471">
        <f>$H$471*$Y$471</f>
        <v>258.13</v>
      </c>
      <c r="AT471">
        <f>$H$471*$Z$471</f>
        <v>258.13</v>
      </c>
      <c r="AU471">
        <f>$H$471*$AA$471</f>
        <v>516.26</v>
      </c>
      <c r="AV471">
        <f>$H$471*$AB$471</f>
        <v>516.26</v>
      </c>
      <c r="AW471">
        <f>$H$471*$AC$471</f>
        <v>516.26</v>
      </c>
      <c r="AX471">
        <f>$H$471*$AD$471</f>
        <v>516.26</v>
      </c>
      <c r="AY471">
        <f>$H$471*$AE$471</f>
        <v>516.26</v>
      </c>
      <c r="AZ471">
        <f>$H$471*$AF$471</f>
        <v>516.26</v>
      </c>
    </row>
    <row r="472" spans="1:52" x14ac:dyDescent="0.25">
      <c r="A472">
        <v>520</v>
      </c>
      <c r="B472" t="s">
        <v>5</v>
      </c>
      <c r="C472" t="s">
        <v>340</v>
      </c>
      <c r="D472">
        <v>104.17</v>
      </c>
      <c r="E472">
        <v>110.42</v>
      </c>
      <c r="F472" t="s">
        <v>275</v>
      </c>
      <c r="G472">
        <v>1.06</v>
      </c>
      <c r="H472">
        <v>132.5</v>
      </c>
      <c r="I472" t="s">
        <v>263</v>
      </c>
      <c r="J472" t="s">
        <v>341</v>
      </c>
      <c r="K472" t="s">
        <v>411</v>
      </c>
      <c r="L472" t="s">
        <v>170</v>
      </c>
      <c r="M472" t="s">
        <v>5</v>
      </c>
      <c r="N472" t="s">
        <v>12</v>
      </c>
      <c r="O472" t="s">
        <v>5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1</v>
      </c>
      <c r="AE472">
        <v>1</v>
      </c>
      <c r="AF472">
        <v>1</v>
      </c>
      <c r="AG472" t="s">
        <v>5</v>
      </c>
      <c r="AH472" t="s">
        <v>12</v>
      </c>
      <c r="AI472" t="s">
        <v>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0</v>
      </c>
      <c r="AV472">
        <f>$H$472*$AB$472</f>
        <v>0</v>
      </c>
      <c r="AW472">
        <f>$H$472*$AC$472</f>
        <v>0</v>
      </c>
      <c r="AX472">
        <f>$H$472*$AD$472</f>
        <v>132.5</v>
      </c>
      <c r="AY472">
        <f>$H$472*$AE$472</f>
        <v>132.5</v>
      </c>
      <c r="AZ472">
        <f>$H$472*$AF$472</f>
        <v>132.5</v>
      </c>
    </row>
    <row r="473" spans="1:52" x14ac:dyDescent="0.25">
      <c r="A473">
        <v>521</v>
      </c>
      <c r="B473" t="s">
        <v>5</v>
      </c>
      <c r="C473" t="s">
        <v>346</v>
      </c>
      <c r="D473">
        <v>104.17</v>
      </c>
      <c r="E473">
        <v>116.67</v>
      </c>
      <c r="F473" t="s">
        <v>275</v>
      </c>
      <c r="G473">
        <v>1.1200000000000001</v>
      </c>
      <c r="H473">
        <v>140.01</v>
      </c>
      <c r="I473" t="s">
        <v>263</v>
      </c>
      <c r="J473" t="s">
        <v>347</v>
      </c>
      <c r="K473" t="s">
        <v>414</v>
      </c>
      <c r="L473" t="s">
        <v>170</v>
      </c>
      <c r="M473" t="s">
        <v>5</v>
      </c>
      <c r="N473" t="s">
        <v>12</v>
      </c>
      <c r="O473" t="s">
        <v>5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5</v>
      </c>
      <c r="AH473" t="s">
        <v>12</v>
      </c>
      <c r="AI473" t="s">
        <v>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140.01</v>
      </c>
      <c r="AN473">
        <f>$H$473*$T$473</f>
        <v>140.01</v>
      </c>
      <c r="AO473">
        <f>$H$473*$U$473</f>
        <v>140.01</v>
      </c>
      <c r="AP473">
        <f>$H$473*$V$473</f>
        <v>140.01</v>
      </c>
      <c r="AQ473">
        <f>$H$473*$W$473</f>
        <v>140.01</v>
      </c>
      <c r="AR473">
        <f>$H$473*$X$473</f>
        <v>140.01</v>
      </c>
      <c r="AS473">
        <f>$H$473*$Y$473</f>
        <v>140.01</v>
      </c>
      <c r="AT473">
        <f>$H$473*$Z$473</f>
        <v>140.01</v>
      </c>
      <c r="AU473">
        <f>$H$473*$AA$473</f>
        <v>140.01</v>
      </c>
      <c r="AV473">
        <f>$H$473*$AB$473</f>
        <v>140.01</v>
      </c>
      <c r="AW473">
        <f>$H$473*$AC$473</f>
        <v>140.01</v>
      </c>
      <c r="AX473">
        <f>$H$473*$AD$473</f>
        <v>140.01</v>
      </c>
      <c r="AY473">
        <f>$H$473*$AE$473</f>
        <v>140.01</v>
      </c>
      <c r="AZ473">
        <f>$H$473*$AF$473</f>
        <v>140.01</v>
      </c>
    </row>
    <row r="474" spans="1:52" x14ac:dyDescent="0.25">
      <c r="A474">
        <v>522</v>
      </c>
      <c r="B474" t="s">
        <v>5</v>
      </c>
      <c r="C474" t="s">
        <v>528</v>
      </c>
      <c r="D474">
        <v>14.73</v>
      </c>
      <c r="E474">
        <v>308.58999999999997</v>
      </c>
      <c r="F474" t="s">
        <v>275</v>
      </c>
      <c r="G474">
        <v>20.95</v>
      </c>
      <c r="H474">
        <v>370.31</v>
      </c>
      <c r="I474" t="s">
        <v>348</v>
      </c>
      <c r="J474" t="s">
        <v>529</v>
      </c>
      <c r="K474" t="s">
        <v>645</v>
      </c>
      <c r="L474" t="s">
        <v>170</v>
      </c>
      <c r="M474" t="s">
        <v>5</v>
      </c>
      <c r="N474" t="s">
        <v>12</v>
      </c>
      <c r="O474" t="s">
        <v>5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5</v>
      </c>
      <c r="AH474" t="s">
        <v>12</v>
      </c>
      <c r="AI474" t="s">
        <v>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370.31</v>
      </c>
      <c r="AT474">
        <f>$H$474*$Z$474</f>
        <v>370.31</v>
      </c>
      <c r="AU474">
        <f>$H$474*$AA$474</f>
        <v>370.31</v>
      </c>
      <c r="AV474">
        <f>$H$474*$AB$474</f>
        <v>370.31</v>
      </c>
      <c r="AW474">
        <f>$H$474*$AC$474</f>
        <v>370.31</v>
      </c>
      <c r="AX474">
        <f>$H$474*$AD$474</f>
        <v>370.31</v>
      </c>
      <c r="AY474">
        <f>$H$474*$AE$474</f>
        <v>370.31</v>
      </c>
      <c r="AZ474">
        <f>$H$474*$AF$474</f>
        <v>370.31</v>
      </c>
    </row>
    <row r="475" spans="1:52" x14ac:dyDescent="0.25">
      <c r="A475">
        <v>523</v>
      </c>
      <c r="B475" t="s">
        <v>5</v>
      </c>
      <c r="C475" t="s">
        <v>349</v>
      </c>
      <c r="D475">
        <v>29.47</v>
      </c>
      <c r="E475">
        <v>125.54</v>
      </c>
      <c r="F475" t="s">
        <v>275</v>
      </c>
      <c r="G475">
        <v>4.26</v>
      </c>
      <c r="H475">
        <v>150.63999999999999</v>
      </c>
      <c r="I475" t="s">
        <v>350</v>
      </c>
      <c r="J475" t="s">
        <v>351</v>
      </c>
      <c r="K475" t="s">
        <v>415</v>
      </c>
      <c r="L475" t="s">
        <v>170</v>
      </c>
      <c r="M475" t="s">
        <v>5</v>
      </c>
      <c r="N475" t="s">
        <v>12</v>
      </c>
      <c r="O475" t="s">
        <v>5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5</v>
      </c>
      <c r="AH475" t="s">
        <v>12</v>
      </c>
      <c r="AI475" t="s">
        <v>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150.63999999999999</v>
      </c>
      <c r="AN475">
        <f>$H$475*$T$475</f>
        <v>150.63999999999999</v>
      </c>
      <c r="AO475">
        <f>$H$475*$U$475</f>
        <v>150.63999999999999</v>
      </c>
      <c r="AP475">
        <f>$H$475*$V$475</f>
        <v>150.63999999999999</v>
      </c>
      <c r="AQ475">
        <f>$H$475*$W$475</f>
        <v>150.63999999999999</v>
      </c>
      <c r="AR475">
        <f>$H$475*$X$475</f>
        <v>150.63999999999999</v>
      </c>
      <c r="AS475">
        <f>$H$475*$Y$475</f>
        <v>150.63999999999999</v>
      </c>
      <c r="AT475">
        <f>$H$475*$Z$475</f>
        <v>150.63999999999999</v>
      </c>
      <c r="AU475">
        <f>$H$475*$AA$475</f>
        <v>150.63999999999999</v>
      </c>
      <c r="AV475">
        <f>$H$475*$AB$475</f>
        <v>150.63999999999999</v>
      </c>
      <c r="AW475">
        <f>$H$475*$AC$475</f>
        <v>150.63999999999999</v>
      </c>
      <c r="AX475">
        <f>$H$475*$AD$475</f>
        <v>150.63999999999999</v>
      </c>
      <c r="AY475">
        <f>$H$475*$AE$475</f>
        <v>150.63999999999999</v>
      </c>
      <c r="AZ475">
        <f>$H$475*$AF$475</f>
        <v>150.63999999999999</v>
      </c>
    </row>
    <row r="476" spans="1:52" x14ac:dyDescent="0.25">
      <c r="A476">
        <v>524</v>
      </c>
      <c r="B476" t="s">
        <v>5</v>
      </c>
      <c r="C476" t="s">
        <v>352</v>
      </c>
      <c r="D476">
        <v>29.47</v>
      </c>
      <c r="E476">
        <v>316.51</v>
      </c>
      <c r="F476" t="s">
        <v>275</v>
      </c>
      <c r="G476">
        <v>10.74</v>
      </c>
      <c r="H476">
        <v>379.81</v>
      </c>
      <c r="I476" t="s">
        <v>350</v>
      </c>
      <c r="J476" t="s">
        <v>293</v>
      </c>
      <c r="K476" t="s">
        <v>416</v>
      </c>
      <c r="L476" t="s">
        <v>170</v>
      </c>
      <c r="M476" t="s">
        <v>5</v>
      </c>
      <c r="N476" t="s">
        <v>12</v>
      </c>
      <c r="O476" t="s">
        <v>5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5</v>
      </c>
      <c r="AH476" t="s">
        <v>12</v>
      </c>
      <c r="AI476" t="s">
        <v>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379.81</v>
      </c>
      <c r="AN476">
        <f>$H$476*$T$476</f>
        <v>379.81</v>
      </c>
      <c r="AO476">
        <f>$H$476*$U$476</f>
        <v>379.81</v>
      </c>
      <c r="AP476">
        <f>$H$476*$V$476</f>
        <v>379.81</v>
      </c>
      <c r="AQ476">
        <f>$H$476*$W$476</f>
        <v>379.81</v>
      </c>
      <c r="AR476">
        <f>$H$476*$X$476</f>
        <v>379.81</v>
      </c>
      <c r="AS476">
        <f>$H$476*$Y$476</f>
        <v>379.81</v>
      </c>
      <c r="AT476">
        <f>$H$476*$Z$476</f>
        <v>379.81</v>
      </c>
      <c r="AU476">
        <f>$H$476*$AA$476</f>
        <v>379.81</v>
      </c>
      <c r="AV476">
        <f>$H$476*$AB$476</f>
        <v>379.81</v>
      </c>
      <c r="AW476">
        <f>$H$476*$AC$476</f>
        <v>379.81</v>
      </c>
      <c r="AX476">
        <f>$H$476*$AD$476</f>
        <v>379.81</v>
      </c>
      <c r="AY476">
        <f>$H$476*$AE$476</f>
        <v>379.81</v>
      </c>
      <c r="AZ476">
        <f>$H$476*$AF$476</f>
        <v>379.81</v>
      </c>
    </row>
    <row r="477" spans="1:52" x14ac:dyDescent="0.25">
      <c r="A477">
        <v>525</v>
      </c>
      <c r="B477" t="s">
        <v>5</v>
      </c>
      <c r="C477" t="s">
        <v>530</v>
      </c>
      <c r="D477">
        <v>33.89</v>
      </c>
      <c r="E477">
        <v>35.92</v>
      </c>
      <c r="F477" t="s">
        <v>275</v>
      </c>
      <c r="G477">
        <v>1.06</v>
      </c>
      <c r="H477">
        <v>43.1</v>
      </c>
      <c r="I477" t="s">
        <v>353</v>
      </c>
      <c r="J477" t="s">
        <v>531</v>
      </c>
      <c r="K477" t="s">
        <v>646</v>
      </c>
      <c r="L477" t="s">
        <v>170</v>
      </c>
      <c r="M477" t="s">
        <v>5</v>
      </c>
      <c r="N477" t="s">
        <v>12</v>
      </c>
      <c r="O477" t="s">
        <v>5</v>
      </c>
      <c r="P477">
        <v>0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5</v>
      </c>
      <c r="AH477" t="s">
        <v>12</v>
      </c>
      <c r="AI477" t="s">
        <v>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43.1</v>
      </c>
      <c r="AN477">
        <f>$H$477*$T$477</f>
        <v>43.1</v>
      </c>
      <c r="AO477">
        <f>$H$477*$U$477</f>
        <v>43.1</v>
      </c>
      <c r="AP477">
        <f>$H$477*$V$477</f>
        <v>43.1</v>
      </c>
      <c r="AQ477">
        <f>$H$477*$W$477</f>
        <v>43.1</v>
      </c>
      <c r="AR477">
        <f>$H$477*$X$477</f>
        <v>43.1</v>
      </c>
      <c r="AS477">
        <f>$H$477*$Y$477</f>
        <v>43.1</v>
      </c>
      <c r="AT477">
        <f>$H$477*$Z$477</f>
        <v>43.1</v>
      </c>
      <c r="AU477">
        <f>$H$477*$AA$477</f>
        <v>43.1</v>
      </c>
      <c r="AV477">
        <f>$H$477*$AB$477</f>
        <v>43.1</v>
      </c>
      <c r="AW477">
        <f>$H$477*$AC$477</f>
        <v>43.1</v>
      </c>
      <c r="AX477">
        <f>$H$477*$AD$477</f>
        <v>43.1</v>
      </c>
      <c r="AY477">
        <f>$H$477*$AE$477</f>
        <v>43.1</v>
      </c>
      <c r="AZ477">
        <f>$H$477*$AF$477</f>
        <v>43.1</v>
      </c>
    </row>
    <row r="478" spans="1:52" x14ac:dyDescent="0.25">
      <c r="A478">
        <v>526</v>
      </c>
      <c r="B478" t="s">
        <v>5</v>
      </c>
      <c r="C478" t="s">
        <v>532</v>
      </c>
      <c r="D478">
        <v>33.89</v>
      </c>
      <c r="E478">
        <v>292.47000000000003</v>
      </c>
      <c r="F478" t="s">
        <v>275</v>
      </c>
      <c r="G478">
        <v>8.6300000000000008</v>
      </c>
      <c r="H478">
        <v>350.97</v>
      </c>
      <c r="I478" t="s">
        <v>353</v>
      </c>
      <c r="J478" t="s">
        <v>529</v>
      </c>
      <c r="K478" t="s">
        <v>647</v>
      </c>
      <c r="L478" t="s">
        <v>170</v>
      </c>
      <c r="M478" t="s">
        <v>5</v>
      </c>
      <c r="N478" t="s">
        <v>12</v>
      </c>
      <c r="O478" t="s">
        <v>5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5</v>
      </c>
      <c r="AH478" t="s">
        <v>12</v>
      </c>
      <c r="AI478" t="s">
        <v>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350.97</v>
      </c>
      <c r="AN478">
        <f>$H$478*$T$478</f>
        <v>350.97</v>
      </c>
      <c r="AO478">
        <f>$H$478*$U$478</f>
        <v>350.97</v>
      </c>
      <c r="AP478">
        <f>$H$478*$V$478</f>
        <v>350.97</v>
      </c>
      <c r="AQ478">
        <f>$H$478*$W$478</f>
        <v>350.97</v>
      </c>
      <c r="AR478">
        <f>$H$478*$X$478</f>
        <v>350.97</v>
      </c>
      <c r="AS478">
        <f>$H$478*$Y$478</f>
        <v>350.97</v>
      </c>
      <c r="AT478">
        <f>$H$478*$Z$478</f>
        <v>350.97</v>
      </c>
      <c r="AU478">
        <f>$H$478*$AA$478</f>
        <v>350.97</v>
      </c>
      <c r="AV478">
        <f>$H$478*$AB$478</f>
        <v>350.97</v>
      </c>
      <c r="AW478">
        <f>$H$478*$AC$478</f>
        <v>350.97</v>
      </c>
      <c r="AX478">
        <f>$H$478*$AD$478</f>
        <v>350.97</v>
      </c>
      <c r="AY478">
        <f>$H$478*$AE$478</f>
        <v>350.97</v>
      </c>
      <c r="AZ478">
        <f>$H$478*$AF$478</f>
        <v>350.97</v>
      </c>
    </row>
    <row r="479" spans="1:52" x14ac:dyDescent="0.25">
      <c r="A479">
        <v>527</v>
      </c>
      <c r="B479" t="s">
        <v>246</v>
      </c>
      <c r="C479" t="s">
        <v>324</v>
      </c>
      <c r="D479">
        <v>11</v>
      </c>
      <c r="E479">
        <v>176.88</v>
      </c>
      <c r="F479" t="s">
        <v>265</v>
      </c>
      <c r="G479">
        <v>16.079999999999998</v>
      </c>
      <c r="H479">
        <v>212.26</v>
      </c>
      <c r="I479" t="s">
        <v>267</v>
      </c>
      <c r="J479" t="s">
        <v>325</v>
      </c>
      <c r="K479" t="s">
        <v>404</v>
      </c>
      <c r="L479" t="s">
        <v>170</v>
      </c>
      <c r="M479" t="s">
        <v>246</v>
      </c>
      <c r="N479" t="s">
        <v>12</v>
      </c>
      <c r="O479" t="s">
        <v>14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246</v>
      </c>
      <c r="AH479" t="s">
        <v>12</v>
      </c>
      <c r="AI479" t="s">
        <v>14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212.26</v>
      </c>
      <c r="AS479">
        <f>$H$479*$Y$479</f>
        <v>212.26</v>
      </c>
      <c r="AT479">
        <f>$H$479*$Z$479</f>
        <v>212.26</v>
      </c>
      <c r="AU479">
        <f>$H$479*$AA$479</f>
        <v>212.26</v>
      </c>
      <c r="AV479">
        <f>$H$479*$AB$479</f>
        <v>212.26</v>
      </c>
      <c r="AW479">
        <f>$H$479*$AC$479</f>
        <v>212.26</v>
      </c>
      <c r="AX479">
        <f>$H$479*$AD$479</f>
        <v>212.26</v>
      </c>
      <c r="AY479">
        <f>$H$479*$AE$479</f>
        <v>212.26</v>
      </c>
      <c r="AZ479">
        <f>$H$479*$AF$479</f>
        <v>212.26</v>
      </c>
    </row>
    <row r="480" spans="1:52" x14ac:dyDescent="0.25">
      <c r="A480">
        <v>528</v>
      </c>
      <c r="B480" t="s">
        <v>246</v>
      </c>
      <c r="C480" t="s">
        <v>525</v>
      </c>
      <c r="D480">
        <v>1</v>
      </c>
      <c r="E480">
        <v>109.28</v>
      </c>
      <c r="F480" t="s">
        <v>265</v>
      </c>
      <c r="G480">
        <v>109.28</v>
      </c>
      <c r="H480">
        <v>131.13999999999999</v>
      </c>
      <c r="I480" t="s">
        <v>270</v>
      </c>
      <c r="J480" t="s">
        <v>293</v>
      </c>
      <c r="K480" t="s">
        <v>643</v>
      </c>
      <c r="L480" t="s">
        <v>170</v>
      </c>
      <c r="M480" t="s">
        <v>246</v>
      </c>
      <c r="N480" t="s">
        <v>12</v>
      </c>
      <c r="O480" t="s">
        <v>14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1</v>
      </c>
      <c r="AF480">
        <v>1</v>
      </c>
      <c r="AG480" t="s">
        <v>246</v>
      </c>
      <c r="AH480" t="s">
        <v>12</v>
      </c>
      <c r="AI480" t="s">
        <v>14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0</v>
      </c>
      <c r="AV480">
        <f>$H$480*$AB$480</f>
        <v>0</v>
      </c>
      <c r="AW480">
        <f>$H$480*$AC$480</f>
        <v>0</v>
      </c>
      <c r="AX480">
        <f>$H$480*$AD$480</f>
        <v>131.13999999999999</v>
      </c>
      <c r="AY480">
        <f>$H$480*$AE$480</f>
        <v>131.13999999999999</v>
      </c>
      <c r="AZ480">
        <f>$H$480*$AF$480</f>
        <v>131.13999999999999</v>
      </c>
    </row>
    <row r="481" spans="1:52" x14ac:dyDescent="0.25">
      <c r="A481">
        <v>529</v>
      </c>
      <c r="B481" t="s">
        <v>246</v>
      </c>
      <c r="C481" t="s">
        <v>335</v>
      </c>
      <c r="D481">
        <v>23.33</v>
      </c>
      <c r="E481">
        <v>89.35</v>
      </c>
      <c r="F481" t="s">
        <v>262</v>
      </c>
      <c r="G481">
        <v>3.83</v>
      </c>
      <c r="H481">
        <v>107.23</v>
      </c>
      <c r="I481" t="s">
        <v>336</v>
      </c>
      <c r="J481" t="s">
        <v>337</v>
      </c>
      <c r="K481" t="s">
        <v>409</v>
      </c>
      <c r="L481" t="s">
        <v>170</v>
      </c>
      <c r="M481" t="s">
        <v>246</v>
      </c>
      <c r="N481" t="s">
        <v>12</v>
      </c>
      <c r="O481" t="s">
        <v>14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246</v>
      </c>
      <c r="AH481" t="s">
        <v>12</v>
      </c>
      <c r="AI481" t="s">
        <v>14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107.23</v>
      </c>
      <c r="AV481">
        <f>$H$481*$AB$481</f>
        <v>107.23</v>
      </c>
      <c r="AW481">
        <f>$H$481*$AC$481</f>
        <v>107.23</v>
      </c>
      <c r="AX481">
        <f>$H$481*$AD$481</f>
        <v>107.23</v>
      </c>
      <c r="AY481">
        <f>$H$481*$AE$481</f>
        <v>107.23</v>
      </c>
      <c r="AZ481">
        <f>$H$481*$AF$481</f>
        <v>107.23</v>
      </c>
    </row>
    <row r="482" spans="1:52" x14ac:dyDescent="0.25">
      <c r="A482">
        <v>530</v>
      </c>
      <c r="B482" t="s">
        <v>246</v>
      </c>
      <c r="C482" t="s">
        <v>338</v>
      </c>
      <c r="D482">
        <v>210</v>
      </c>
      <c r="E482">
        <v>695.1</v>
      </c>
      <c r="F482" t="s">
        <v>275</v>
      </c>
      <c r="G482">
        <v>3.31</v>
      </c>
      <c r="H482">
        <v>834.12</v>
      </c>
      <c r="I482" t="s">
        <v>336</v>
      </c>
      <c r="J482" t="s">
        <v>339</v>
      </c>
      <c r="K482" t="s">
        <v>410</v>
      </c>
      <c r="L482" t="s">
        <v>170</v>
      </c>
      <c r="M482" t="s">
        <v>246</v>
      </c>
      <c r="N482" t="s">
        <v>12</v>
      </c>
      <c r="O482" t="s">
        <v>14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246</v>
      </c>
      <c r="AH482" t="s">
        <v>12</v>
      </c>
      <c r="AI482" t="s">
        <v>14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834.12</v>
      </c>
      <c r="AN482">
        <f>$H$482*$T$482</f>
        <v>834.12</v>
      </c>
      <c r="AO482">
        <f>$H$482*$U$482</f>
        <v>834.12</v>
      </c>
      <c r="AP482">
        <f>$H$482*$V$482</f>
        <v>834.12</v>
      </c>
      <c r="AQ482">
        <f>$H$482*$W$482</f>
        <v>834.12</v>
      </c>
      <c r="AR482">
        <f>$H$482*$X$482</f>
        <v>834.12</v>
      </c>
      <c r="AS482">
        <f>$H$482*$Y$482</f>
        <v>834.12</v>
      </c>
      <c r="AT482">
        <f>$H$482*$Z$482</f>
        <v>834.12</v>
      </c>
      <c r="AU482">
        <f>$H$482*$AA$482</f>
        <v>834.12</v>
      </c>
      <c r="AV482">
        <f>$H$482*$AB$482</f>
        <v>834.12</v>
      </c>
      <c r="AW482">
        <f>$H$482*$AC$482</f>
        <v>834.12</v>
      </c>
      <c r="AX482">
        <f>$H$482*$AD$482</f>
        <v>834.12</v>
      </c>
      <c r="AY482">
        <f>$H$482*$AE$482</f>
        <v>834.12</v>
      </c>
      <c r="AZ482">
        <f>$H$482*$AF$482</f>
        <v>834.12</v>
      </c>
    </row>
    <row r="483" spans="1:52" x14ac:dyDescent="0.25">
      <c r="A483">
        <v>531</v>
      </c>
      <c r="B483" t="s">
        <v>246</v>
      </c>
      <c r="C483" t="s">
        <v>340</v>
      </c>
      <c r="D483">
        <v>210</v>
      </c>
      <c r="E483">
        <v>222.6</v>
      </c>
      <c r="F483" t="s">
        <v>275</v>
      </c>
      <c r="G483">
        <v>1.06</v>
      </c>
      <c r="H483">
        <v>267.12</v>
      </c>
      <c r="I483" t="s">
        <v>263</v>
      </c>
      <c r="J483" t="s">
        <v>341</v>
      </c>
      <c r="K483" t="s">
        <v>411</v>
      </c>
      <c r="L483" t="s">
        <v>170</v>
      </c>
      <c r="M483" t="s">
        <v>246</v>
      </c>
      <c r="N483" t="s">
        <v>12</v>
      </c>
      <c r="O483" t="s">
        <v>14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1</v>
      </c>
      <c r="AF483">
        <v>1</v>
      </c>
      <c r="AG483" t="s">
        <v>246</v>
      </c>
      <c r="AH483" t="s">
        <v>12</v>
      </c>
      <c r="AI483" t="s">
        <v>14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0</v>
      </c>
      <c r="AV483">
        <f>$H$483*$AB$483</f>
        <v>0</v>
      </c>
      <c r="AW483">
        <f>$H$483*$AC$483</f>
        <v>0</v>
      </c>
      <c r="AX483">
        <f>$H$483*$AD$483</f>
        <v>267.12</v>
      </c>
      <c r="AY483">
        <f>$H$483*$AE$483</f>
        <v>267.12</v>
      </c>
      <c r="AZ483">
        <f>$H$483*$AF$483</f>
        <v>267.12</v>
      </c>
    </row>
    <row r="484" spans="1:52" x14ac:dyDescent="0.25">
      <c r="A484">
        <v>532</v>
      </c>
      <c r="B484" t="s">
        <v>246</v>
      </c>
      <c r="C484" t="s">
        <v>283</v>
      </c>
      <c r="D484">
        <v>262.5</v>
      </c>
      <c r="E484">
        <v>425.25</v>
      </c>
      <c r="F484" t="s">
        <v>275</v>
      </c>
      <c r="G484">
        <v>1.62</v>
      </c>
      <c r="H484">
        <v>510.31</v>
      </c>
      <c r="I484" t="s">
        <v>263</v>
      </c>
      <c r="J484" t="s">
        <v>284</v>
      </c>
      <c r="K484" t="s">
        <v>387</v>
      </c>
      <c r="L484" t="s">
        <v>170</v>
      </c>
      <c r="M484" t="s">
        <v>246</v>
      </c>
      <c r="N484" t="s">
        <v>12</v>
      </c>
      <c r="O484" t="s">
        <v>14</v>
      </c>
      <c r="P484">
        <v>0</v>
      </c>
      <c r="Q484">
        <v>0</v>
      </c>
      <c r="R484">
        <v>0</v>
      </c>
      <c r="S484">
        <v>0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246</v>
      </c>
      <c r="AH484" t="s">
        <v>12</v>
      </c>
      <c r="AI484" t="s">
        <v>14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510.31</v>
      </c>
      <c r="AO484">
        <f>$H$484*$U$484</f>
        <v>510.31</v>
      </c>
      <c r="AP484">
        <f>$H$484*$V$484</f>
        <v>510.31</v>
      </c>
      <c r="AQ484">
        <f>$H$484*$W$484</f>
        <v>510.31</v>
      </c>
      <c r="AR484">
        <f>$H$484*$X$484</f>
        <v>510.31</v>
      </c>
      <c r="AS484">
        <f>$H$484*$Y$484</f>
        <v>510.31</v>
      </c>
      <c r="AT484">
        <f>$H$484*$Z$484</f>
        <v>510.31</v>
      </c>
      <c r="AU484">
        <f>$H$484*$AA$484</f>
        <v>510.31</v>
      </c>
      <c r="AV484">
        <f>$H$484*$AB$484</f>
        <v>510.31</v>
      </c>
      <c r="AW484">
        <f>$H$484*$AC$484</f>
        <v>510.31</v>
      </c>
      <c r="AX484">
        <f>$H$484*$AD$484</f>
        <v>510.31</v>
      </c>
      <c r="AY484">
        <f>$H$484*$AE$484</f>
        <v>510.31</v>
      </c>
      <c r="AZ484">
        <f>$H$484*$AF$484</f>
        <v>510.31</v>
      </c>
    </row>
    <row r="485" spans="1:52" x14ac:dyDescent="0.25">
      <c r="A485">
        <v>533</v>
      </c>
      <c r="B485" t="s">
        <v>246</v>
      </c>
      <c r="C485" t="s">
        <v>526</v>
      </c>
      <c r="D485">
        <v>52.5</v>
      </c>
      <c r="E485">
        <v>222.08</v>
      </c>
      <c r="F485" t="s">
        <v>275</v>
      </c>
      <c r="G485">
        <v>4.2300000000000004</v>
      </c>
      <c r="H485">
        <v>266.5</v>
      </c>
      <c r="I485" t="s">
        <v>527</v>
      </c>
      <c r="J485" t="s">
        <v>309</v>
      </c>
      <c r="K485" t="s">
        <v>644</v>
      </c>
      <c r="L485" t="s">
        <v>170</v>
      </c>
      <c r="M485" t="s">
        <v>246</v>
      </c>
      <c r="N485" t="s">
        <v>12</v>
      </c>
      <c r="O485" t="s">
        <v>14</v>
      </c>
      <c r="P485">
        <v>0</v>
      </c>
      <c r="Q485">
        <v>0</v>
      </c>
      <c r="R485">
        <v>0</v>
      </c>
      <c r="S485">
        <v>0.25</v>
      </c>
      <c r="T485">
        <v>0.25</v>
      </c>
      <c r="U485">
        <v>0.25</v>
      </c>
      <c r="V485">
        <v>0.25</v>
      </c>
      <c r="W485">
        <v>0.25</v>
      </c>
      <c r="X485">
        <v>0.5</v>
      </c>
      <c r="Y485">
        <v>0.5</v>
      </c>
      <c r="Z485">
        <v>0.5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246</v>
      </c>
      <c r="AH485" t="s">
        <v>12</v>
      </c>
      <c r="AI485" t="s">
        <v>14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66.625</v>
      </c>
      <c r="AN485">
        <f>$H$485*$T$485</f>
        <v>66.625</v>
      </c>
      <c r="AO485">
        <f>$H$485*$U$485</f>
        <v>66.625</v>
      </c>
      <c r="AP485">
        <f>$H$485*$V$485</f>
        <v>66.625</v>
      </c>
      <c r="AQ485">
        <f>$H$485*$W$485</f>
        <v>66.625</v>
      </c>
      <c r="AR485">
        <f>$H$485*$X$485</f>
        <v>133.25</v>
      </c>
      <c r="AS485">
        <f>$H$485*$Y$485</f>
        <v>133.25</v>
      </c>
      <c r="AT485">
        <f>$H$485*$Z$485</f>
        <v>133.25</v>
      </c>
      <c r="AU485">
        <f>$H$485*$AA$485</f>
        <v>266.5</v>
      </c>
      <c r="AV485">
        <f>$H$485*$AB$485</f>
        <v>266.5</v>
      </c>
      <c r="AW485">
        <f>$H$485*$AC$485</f>
        <v>266.5</v>
      </c>
      <c r="AX485">
        <f>$H$485*$AD$485</f>
        <v>266.5</v>
      </c>
      <c r="AY485">
        <f>$H$485*$AE$485</f>
        <v>266.5</v>
      </c>
      <c r="AZ485">
        <f>$H$485*$AF$485</f>
        <v>266.5</v>
      </c>
    </row>
    <row r="486" spans="1:52" x14ac:dyDescent="0.25">
      <c r="A486">
        <v>534</v>
      </c>
      <c r="B486" t="s">
        <v>246</v>
      </c>
      <c r="C486" t="s">
        <v>285</v>
      </c>
      <c r="D486">
        <v>525</v>
      </c>
      <c r="E486">
        <v>2168.25</v>
      </c>
      <c r="F486" t="s">
        <v>275</v>
      </c>
      <c r="G486">
        <v>4.13</v>
      </c>
      <c r="H486">
        <v>2601.91</v>
      </c>
      <c r="I486" t="s">
        <v>286</v>
      </c>
      <c r="J486" t="s">
        <v>287</v>
      </c>
      <c r="K486" t="s">
        <v>388</v>
      </c>
      <c r="L486" t="s">
        <v>170</v>
      </c>
      <c r="M486" t="s">
        <v>246</v>
      </c>
      <c r="N486" t="s">
        <v>12</v>
      </c>
      <c r="O486" t="s">
        <v>14</v>
      </c>
      <c r="P486">
        <v>0</v>
      </c>
      <c r="Q486">
        <v>0</v>
      </c>
      <c r="R486">
        <v>0</v>
      </c>
      <c r="S486">
        <v>0.25</v>
      </c>
      <c r="T486">
        <v>0.25</v>
      </c>
      <c r="U486">
        <v>0.25</v>
      </c>
      <c r="V486">
        <v>0.25</v>
      </c>
      <c r="W486">
        <v>0.5</v>
      </c>
      <c r="X486">
        <v>0.5</v>
      </c>
      <c r="Y486">
        <v>0.5</v>
      </c>
      <c r="Z486">
        <v>0.5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246</v>
      </c>
      <c r="AH486" t="s">
        <v>12</v>
      </c>
      <c r="AI486" t="s">
        <v>14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650.47749999999996</v>
      </c>
      <c r="AN486">
        <f>$H$486*$T$486</f>
        <v>650.47749999999996</v>
      </c>
      <c r="AO486">
        <f>$H$486*$U$486</f>
        <v>650.47749999999996</v>
      </c>
      <c r="AP486">
        <f>$H$486*$V$486</f>
        <v>650.47749999999996</v>
      </c>
      <c r="AQ486">
        <f>$H$486*$W$486</f>
        <v>1300.9549999999999</v>
      </c>
      <c r="AR486">
        <f>$H$486*$X$486</f>
        <v>1300.9549999999999</v>
      </c>
      <c r="AS486">
        <f>$H$486*$Y$486</f>
        <v>1300.9549999999999</v>
      </c>
      <c r="AT486">
        <f>$H$486*$Z$486</f>
        <v>1300.9549999999999</v>
      </c>
      <c r="AU486">
        <f>$H$486*$AA$486</f>
        <v>2601.91</v>
      </c>
      <c r="AV486">
        <f>$H$486*$AB$486</f>
        <v>2601.91</v>
      </c>
      <c r="AW486">
        <f>$H$486*$AC$486</f>
        <v>2601.91</v>
      </c>
      <c r="AX486">
        <f>$H$486*$AD$486</f>
        <v>2601.91</v>
      </c>
      <c r="AY486">
        <f>$H$486*$AE$486</f>
        <v>2601.91</v>
      </c>
      <c r="AZ486">
        <f>$H$486*$AF$486</f>
        <v>2601.91</v>
      </c>
    </row>
    <row r="487" spans="1:52" x14ac:dyDescent="0.25">
      <c r="A487">
        <v>535</v>
      </c>
      <c r="B487" t="s">
        <v>246</v>
      </c>
      <c r="C487" t="s">
        <v>575</v>
      </c>
      <c r="D487">
        <v>17.170000000000002</v>
      </c>
      <c r="E487">
        <v>149.21</v>
      </c>
      <c r="F487" t="s">
        <v>262</v>
      </c>
      <c r="G487">
        <v>8.69</v>
      </c>
      <c r="H487">
        <v>179.05</v>
      </c>
      <c r="I487" t="s">
        <v>264</v>
      </c>
      <c r="J487" t="s">
        <v>576</v>
      </c>
      <c r="K487" t="s">
        <v>669</v>
      </c>
      <c r="L487" t="s">
        <v>170</v>
      </c>
      <c r="M487" t="s">
        <v>246</v>
      </c>
      <c r="N487" t="s">
        <v>12</v>
      </c>
      <c r="O487" t="s">
        <v>14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246</v>
      </c>
      <c r="AH487" t="s">
        <v>12</v>
      </c>
      <c r="AI487" t="s">
        <v>14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0</v>
      </c>
      <c r="AS487">
        <f>$H$487*$Y$487</f>
        <v>0</v>
      </c>
      <c r="AT487">
        <f>$H$487*$Z$487</f>
        <v>0</v>
      </c>
      <c r="AU487">
        <f>$H$487*$AA$487</f>
        <v>179.05</v>
      </c>
      <c r="AV487">
        <f>$H$487*$AB$487</f>
        <v>179.05</v>
      </c>
      <c r="AW487">
        <f>$H$487*$AC$487</f>
        <v>179.05</v>
      </c>
      <c r="AX487">
        <f>$H$487*$AD$487</f>
        <v>179.05</v>
      </c>
      <c r="AY487">
        <f>$H$487*$AE$487</f>
        <v>179.05</v>
      </c>
      <c r="AZ487">
        <f>$H$487*$AF$487</f>
        <v>179.05</v>
      </c>
    </row>
    <row r="488" spans="1:52" x14ac:dyDescent="0.25">
      <c r="A488">
        <v>536</v>
      </c>
      <c r="B488" t="s">
        <v>246</v>
      </c>
      <c r="C488" t="s">
        <v>577</v>
      </c>
      <c r="D488">
        <v>34.33</v>
      </c>
      <c r="E488">
        <v>543.44000000000005</v>
      </c>
      <c r="F488" t="s">
        <v>262</v>
      </c>
      <c r="G488">
        <v>15.83</v>
      </c>
      <c r="H488">
        <v>652.12</v>
      </c>
      <c r="I488" t="s">
        <v>264</v>
      </c>
      <c r="J488" t="s">
        <v>578</v>
      </c>
      <c r="K488" t="s">
        <v>670</v>
      </c>
      <c r="L488" t="s">
        <v>170</v>
      </c>
      <c r="M488" t="s">
        <v>246</v>
      </c>
      <c r="N488" t="s">
        <v>12</v>
      </c>
      <c r="O488" t="s">
        <v>14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246</v>
      </c>
      <c r="AH488" t="s">
        <v>12</v>
      </c>
      <c r="AI488" t="s">
        <v>14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652.12</v>
      </c>
      <c r="AV488">
        <f>$H$488*$AB$488</f>
        <v>652.12</v>
      </c>
      <c r="AW488">
        <f>$H$488*$AC$488</f>
        <v>652.12</v>
      </c>
      <c r="AX488">
        <f>$H$488*$AD$488</f>
        <v>652.12</v>
      </c>
      <c r="AY488">
        <f>$H$488*$AE$488</f>
        <v>652.12</v>
      </c>
      <c r="AZ488">
        <f>$H$488*$AF$488</f>
        <v>652.12</v>
      </c>
    </row>
    <row r="489" spans="1:52" x14ac:dyDescent="0.25">
      <c r="A489">
        <v>538</v>
      </c>
      <c r="B489" t="s">
        <v>246</v>
      </c>
      <c r="C489" t="s">
        <v>372</v>
      </c>
      <c r="D489">
        <v>58.33</v>
      </c>
      <c r="E489">
        <v>105.58</v>
      </c>
      <c r="F489" t="s">
        <v>262</v>
      </c>
      <c r="G489">
        <v>1.81</v>
      </c>
      <c r="H489">
        <v>126.7</v>
      </c>
      <c r="I489" t="s">
        <v>263</v>
      </c>
      <c r="J489" t="s">
        <v>373</v>
      </c>
      <c r="K489" t="s">
        <v>426</v>
      </c>
      <c r="L489" t="s">
        <v>170</v>
      </c>
      <c r="M489" t="s">
        <v>246</v>
      </c>
      <c r="N489" t="s">
        <v>12</v>
      </c>
      <c r="O489" t="s">
        <v>14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246</v>
      </c>
      <c r="AH489" t="s">
        <v>12</v>
      </c>
      <c r="AI489" t="s">
        <v>14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126.7</v>
      </c>
      <c r="AV489">
        <f>$H$489*$AB$489</f>
        <v>126.7</v>
      </c>
      <c r="AW489">
        <f>$H$489*$AC$489</f>
        <v>126.7</v>
      </c>
      <c r="AX489">
        <f>$H$489*$AD$489</f>
        <v>126.7</v>
      </c>
      <c r="AY489">
        <f>$H$489*$AE$489</f>
        <v>126.7</v>
      </c>
      <c r="AZ489">
        <f>$H$489*$AF$489</f>
        <v>126.7</v>
      </c>
    </row>
    <row r="490" spans="1:52" x14ac:dyDescent="0.25">
      <c r="A490">
        <v>539</v>
      </c>
      <c r="B490" t="s">
        <v>246</v>
      </c>
      <c r="C490" t="s">
        <v>374</v>
      </c>
      <c r="D490">
        <v>58.33</v>
      </c>
      <c r="E490">
        <v>509.8</v>
      </c>
      <c r="F490" t="s">
        <v>262</v>
      </c>
      <c r="G490">
        <v>8.74</v>
      </c>
      <c r="H490">
        <v>611.76</v>
      </c>
      <c r="I490" t="s">
        <v>264</v>
      </c>
      <c r="J490" t="s">
        <v>375</v>
      </c>
      <c r="K490" t="s">
        <v>427</v>
      </c>
      <c r="L490" t="s">
        <v>170</v>
      </c>
      <c r="M490" t="s">
        <v>246</v>
      </c>
      <c r="N490" t="s">
        <v>12</v>
      </c>
      <c r="O490" t="s">
        <v>14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246</v>
      </c>
      <c r="AH490" t="s">
        <v>12</v>
      </c>
      <c r="AI490" t="s">
        <v>14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611.76</v>
      </c>
      <c r="AV490">
        <f>$H$490*$AB$490</f>
        <v>611.76</v>
      </c>
      <c r="AW490">
        <f>$H$490*$AC$490</f>
        <v>611.76</v>
      </c>
      <c r="AX490">
        <f>$H$490*$AD$490</f>
        <v>611.76</v>
      </c>
      <c r="AY490">
        <f>$H$490*$AE$490</f>
        <v>611.76</v>
      </c>
      <c r="AZ490">
        <f>$H$490*$AF$490</f>
        <v>611.76</v>
      </c>
    </row>
    <row r="491" spans="1:52" x14ac:dyDescent="0.25">
      <c r="A491">
        <v>540</v>
      </c>
      <c r="B491" t="s">
        <v>246</v>
      </c>
      <c r="C491" t="s">
        <v>342</v>
      </c>
      <c r="D491">
        <v>58.33</v>
      </c>
      <c r="E491">
        <v>153.99</v>
      </c>
      <c r="F491" t="s">
        <v>262</v>
      </c>
      <c r="G491">
        <v>2.64</v>
      </c>
      <c r="H491">
        <v>184.79</v>
      </c>
      <c r="I491" t="s">
        <v>263</v>
      </c>
      <c r="J491" t="s">
        <v>343</v>
      </c>
      <c r="K491" t="s">
        <v>412</v>
      </c>
      <c r="L491" t="s">
        <v>170</v>
      </c>
      <c r="M491" t="s">
        <v>246</v>
      </c>
      <c r="N491" t="s">
        <v>12</v>
      </c>
      <c r="O491" t="s">
        <v>14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246</v>
      </c>
      <c r="AH491" t="s">
        <v>12</v>
      </c>
      <c r="AI491" t="s">
        <v>14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184.79</v>
      </c>
      <c r="AN491">
        <f>$H$491*$T$491</f>
        <v>184.79</v>
      </c>
      <c r="AO491">
        <f>$H$491*$U$491</f>
        <v>184.79</v>
      </c>
      <c r="AP491">
        <f>$H$491*$V$491</f>
        <v>184.79</v>
      </c>
      <c r="AQ491">
        <f>$H$491*$W$491</f>
        <v>184.79</v>
      </c>
      <c r="AR491">
        <f>$H$491*$X$491</f>
        <v>184.79</v>
      </c>
      <c r="AS491">
        <f>$H$491*$Y$491</f>
        <v>184.79</v>
      </c>
      <c r="AT491">
        <f>$H$491*$Z$491</f>
        <v>184.79</v>
      </c>
      <c r="AU491">
        <f>$H$491*$AA$491</f>
        <v>184.79</v>
      </c>
      <c r="AV491">
        <f>$H$491*$AB$491</f>
        <v>184.79</v>
      </c>
      <c r="AW491">
        <f>$H$491*$AC$491</f>
        <v>184.79</v>
      </c>
      <c r="AX491">
        <f>$H$491*$AD$491</f>
        <v>184.79</v>
      </c>
      <c r="AY491">
        <f>$H$491*$AE$491</f>
        <v>184.79</v>
      </c>
      <c r="AZ491">
        <f>$H$491*$AF$491</f>
        <v>184.79</v>
      </c>
    </row>
    <row r="492" spans="1:52" x14ac:dyDescent="0.25">
      <c r="A492">
        <v>541</v>
      </c>
      <c r="B492" t="s">
        <v>246</v>
      </c>
      <c r="C492" t="s">
        <v>344</v>
      </c>
      <c r="D492">
        <v>58.33</v>
      </c>
      <c r="E492">
        <v>361.06</v>
      </c>
      <c r="F492" t="s">
        <v>262</v>
      </c>
      <c r="G492">
        <v>6.19</v>
      </c>
      <c r="H492">
        <v>433.28</v>
      </c>
      <c r="I492" t="s">
        <v>264</v>
      </c>
      <c r="J492" t="s">
        <v>345</v>
      </c>
      <c r="K492" t="s">
        <v>413</v>
      </c>
      <c r="L492" t="s">
        <v>170</v>
      </c>
      <c r="M492" t="s">
        <v>246</v>
      </c>
      <c r="N492" t="s">
        <v>12</v>
      </c>
      <c r="O492" t="s">
        <v>14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246</v>
      </c>
      <c r="AH492" t="s">
        <v>12</v>
      </c>
      <c r="AI492" t="s">
        <v>14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433.28</v>
      </c>
      <c r="AN492">
        <f>$H$492*$T$492</f>
        <v>433.28</v>
      </c>
      <c r="AO492">
        <f>$H$492*$U$492</f>
        <v>433.28</v>
      </c>
      <c r="AP492">
        <f>$H$492*$V$492</f>
        <v>433.28</v>
      </c>
      <c r="AQ492">
        <f>$H$492*$W$492</f>
        <v>433.28</v>
      </c>
      <c r="AR492">
        <f>$H$492*$X$492</f>
        <v>433.28</v>
      </c>
      <c r="AS492">
        <f>$H$492*$Y$492</f>
        <v>433.28</v>
      </c>
      <c r="AT492">
        <f>$H$492*$Z$492</f>
        <v>433.28</v>
      </c>
      <c r="AU492">
        <f>$H$492*$AA$492</f>
        <v>433.28</v>
      </c>
      <c r="AV492">
        <f>$H$492*$AB$492</f>
        <v>433.28</v>
      </c>
      <c r="AW492">
        <f>$H$492*$AC$492</f>
        <v>433.28</v>
      </c>
      <c r="AX492">
        <f>$H$492*$AD$492</f>
        <v>433.28</v>
      </c>
      <c r="AY492">
        <f>$H$492*$AE$492</f>
        <v>433.28</v>
      </c>
      <c r="AZ492">
        <f>$H$492*$AF$492</f>
        <v>433.28</v>
      </c>
    </row>
    <row r="493" spans="1:52" x14ac:dyDescent="0.25">
      <c r="A493">
        <v>542</v>
      </c>
      <c r="B493" t="s">
        <v>246</v>
      </c>
      <c r="C493" t="s">
        <v>285</v>
      </c>
      <c r="D493">
        <v>291.27999999999997</v>
      </c>
      <c r="E493">
        <v>1202.99</v>
      </c>
      <c r="F493" t="s">
        <v>275</v>
      </c>
      <c r="G493">
        <v>4.13</v>
      </c>
      <c r="H493">
        <v>1443.59</v>
      </c>
      <c r="I493" t="s">
        <v>286</v>
      </c>
      <c r="J493" t="s">
        <v>287</v>
      </c>
      <c r="K493" t="s">
        <v>388</v>
      </c>
      <c r="L493" t="s">
        <v>170</v>
      </c>
      <c r="M493" t="s">
        <v>246</v>
      </c>
      <c r="N493" t="s">
        <v>12</v>
      </c>
      <c r="O493" t="s">
        <v>14</v>
      </c>
      <c r="P493">
        <v>0</v>
      </c>
      <c r="Q493">
        <v>0</v>
      </c>
      <c r="R493">
        <v>0</v>
      </c>
      <c r="S493">
        <v>0.25</v>
      </c>
      <c r="T493">
        <v>0.25</v>
      </c>
      <c r="U493">
        <v>0.25</v>
      </c>
      <c r="V493">
        <v>0.25</v>
      </c>
      <c r="W493">
        <v>0.5</v>
      </c>
      <c r="X493">
        <v>0.5</v>
      </c>
      <c r="Y493">
        <v>0.5</v>
      </c>
      <c r="Z493">
        <v>0.5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246</v>
      </c>
      <c r="AH493" t="s">
        <v>12</v>
      </c>
      <c r="AI493" t="s">
        <v>14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360.89749999999998</v>
      </c>
      <c r="AN493">
        <f>$H$493*$T$493</f>
        <v>360.89749999999998</v>
      </c>
      <c r="AO493">
        <f>$H$493*$U$493</f>
        <v>360.89749999999998</v>
      </c>
      <c r="AP493">
        <f>$H$493*$V$493</f>
        <v>360.89749999999998</v>
      </c>
      <c r="AQ493">
        <f>$H$493*$W$493</f>
        <v>721.79499999999996</v>
      </c>
      <c r="AR493">
        <f>$H$493*$X$493</f>
        <v>721.79499999999996</v>
      </c>
      <c r="AS493">
        <f>$H$493*$Y$493</f>
        <v>721.79499999999996</v>
      </c>
      <c r="AT493">
        <f>$H$493*$Z$493</f>
        <v>721.79499999999996</v>
      </c>
      <c r="AU493">
        <f>$H$493*$AA$493</f>
        <v>1443.59</v>
      </c>
      <c r="AV493">
        <f>$H$493*$AB$493</f>
        <v>1443.59</v>
      </c>
      <c r="AW493">
        <f>$H$493*$AC$493</f>
        <v>1443.59</v>
      </c>
      <c r="AX493">
        <f>$H$493*$AD$493</f>
        <v>1443.59</v>
      </c>
      <c r="AY493">
        <f>$H$493*$AE$493</f>
        <v>1443.59</v>
      </c>
      <c r="AZ493">
        <f>$H$493*$AF$493</f>
        <v>1443.59</v>
      </c>
    </row>
    <row r="494" spans="1:52" x14ac:dyDescent="0.25">
      <c r="A494">
        <v>543</v>
      </c>
      <c r="B494" t="s">
        <v>246</v>
      </c>
      <c r="C494" t="s">
        <v>340</v>
      </c>
      <c r="D494">
        <v>291.27999999999997</v>
      </c>
      <c r="E494">
        <v>308.76</v>
      </c>
      <c r="F494" t="s">
        <v>275</v>
      </c>
      <c r="G494">
        <v>1.06</v>
      </c>
      <c r="H494">
        <v>370.52</v>
      </c>
      <c r="I494" t="s">
        <v>263</v>
      </c>
      <c r="J494" t="s">
        <v>341</v>
      </c>
      <c r="K494" t="s">
        <v>411</v>
      </c>
      <c r="L494" t="s">
        <v>170</v>
      </c>
      <c r="M494" t="s">
        <v>246</v>
      </c>
      <c r="N494" t="s">
        <v>12</v>
      </c>
      <c r="O494" t="s">
        <v>14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1</v>
      </c>
      <c r="AE494">
        <v>1</v>
      </c>
      <c r="AF494">
        <v>1</v>
      </c>
      <c r="AG494" t="s">
        <v>246</v>
      </c>
      <c r="AH494" t="s">
        <v>12</v>
      </c>
      <c r="AI494" t="s">
        <v>14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0</v>
      </c>
      <c r="AO494">
        <f>$H$494*$U$494</f>
        <v>0</v>
      </c>
      <c r="AP494">
        <f>$H$494*$V$494</f>
        <v>0</v>
      </c>
      <c r="AQ494">
        <f>$H$494*$W$494</f>
        <v>0</v>
      </c>
      <c r="AR494">
        <f>$H$494*$X$494</f>
        <v>0</v>
      </c>
      <c r="AS494">
        <f>$H$494*$Y$494</f>
        <v>0</v>
      </c>
      <c r="AT494">
        <f>$H$494*$Z$494</f>
        <v>0</v>
      </c>
      <c r="AU494">
        <f>$H$494*$AA$494</f>
        <v>0</v>
      </c>
      <c r="AV494">
        <f>$H$494*$AB$494</f>
        <v>0</v>
      </c>
      <c r="AW494">
        <f>$H$494*$AC$494</f>
        <v>0</v>
      </c>
      <c r="AX494">
        <f>$H$494*$AD$494</f>
        <v>370.52</v>
      </c>
      <c r="AY494">
        <f>$H$494*$AE$494</f>
        <v>370.52</v>
      </c>
      <c r="AZ494">
        <f>$H$494*$AF$494</f>
        <v>370.52</v>
      </c>
    </row>
    <row r="495" spans="1:52" x14ac:dyDescent="0.25">
      <c r="A495">
        <v>544</v>
      </c>
      <c r="B495" t="s">
        <v>246</v>
      </c>
      <c r="C495" t="s">
        <v>346</v>
      </c>
      <c r="D495">
        <v>291.27999999999997</v>
      </c>
      <c r="E495">
        <v>326.23</v>
      </c>
      <c r="F495" t="s">
        <v>275</v>
      </c>
      <c r="G495">
        <v>1.1200000000000001</v>
      </c>
      <c r="H495">
        <v>391.47</v>
      </c>
      <c r="I495" t="s">
        <v>263</v>
      </c>
      <c r="J495" t="s">
        <v>347</v>
      </c>
      <c r="K495" t="s">
        <v>414</v>
      </c>
      <c r="L495" t="s">
        <v>170</v>
      </c>
      <c r="M495" t="s">
        <v>246</v>
      </c>
      <c r="N495" t="s">
        <v>12</v>
      </c>
      <c r="O495" t="s">
        <v>14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246</v>
      </c>
      <c r="AH495" t="s">
        <v>12</v>
      </c>
      <c r="AI495" t="s">
        <v>14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391.47</v>
      </c>
      <c r="AN495">
        <f>$H$495*$T$495</f>
        <v>391.47</v>
      </c>
      <c r="AO495">
        <f>$H$495*$U$495</f>
        <v>391.47</v>
      </c>
      <c r="AP495">
        <f>$H$495*$V$495</f>
        <v>391.47</v>
      </c>
      <c r="AQ495">
        <f>$H$495*$W$495</f>
        <v>391.47</v>
      </c>
      <c r="AR495">
        <f>$H$495*$X$495</f>
        <v>391.47</v>
      </c>
      <c r="AS495">
        <f>$H$495*$Y$495</f>
        <v>391.47</v>
      </c>
      <c r="AT495">
        <f>$H$495*$Z$495</f>
        <v>391.47</v>
      </c>
      <c r="AU495">
        <f>$H$495*$AA$495</f>
        <v>391.47</v>
      </c>
      <c r="AV495">
        <f>$H$495*$AB$495</f>
        <v>391.47</v>
      </c>
      <c r="AW495">
        <f>$H$495*$AC$495</f>
        <v>391.47</v>
      </c>
      <c r="AX495">
        <f>$H$495*$AD$495</f>
        <v>391.47</v>
      </c>
      <c r="AY495">
        <f>$H$495*$AE$495</f>
        <v>391.47</v>
      </c>
      <c r="AZ495">
        <f>$H$495*$AF$495</f>
        <v>391.47</v>
      </c>
    </row>
    <row r="496" spans="1:52" x14ac:dyDescent="0.25">
      <c r="A496">
        <v>545</v>
      </c>
      <c r="B496" t="s">
        <v>246</v>
      </c>
      <c r="C496" t="s">
        <v>528</v>
      </c>
      <c r="D496">
        <v>41.2</v>
      </c>
      <c r="E496">
        <v>863.14</v>
      </c>
      <c r="F496" t="s">
        <v>275</v>
      </c>
      <c r="G496">
        <v>20.95</v>
      </c>
      <c r="H496">
        <v>1035.76</v>
      </c>
      <c r="I496" t="s">
        <v>348</v>
      </c>
      <c r="J496" t="s">
        <v>529</v>
      </c>
      <c r="K496" t="s">
        <v>645</v>
      </c>
      <c r="L496" t="s">
        <v>170</v>
      </c>
      <c r="M496" t="s">
        <v>246</v>
      </c>
      <c r="N496" t="s">
        <v>12</v>
      </c>
      <c r="O496" t="s">
        <v>14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246</v>
      </c>
      <c r="AH496" t="s">
        <v>12</v>
      </c>
      <c r="AI496" t="s">
        <v>14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0</v>
      </c>
      <c r="AO496">
        <f>$H$496*$U$496</f>
        <v>0</v>
      </c>
      <c r="AP496">
        <f>$H$496*$V$496</f>
        <v>0</v>
      </c>
      <c r="AQ496">
        <f>$H$496*$W$496</f>
        <v>0</v>
      </c>
      <c r="AR496">
        <f>$H$496*$X$496</f>
        <v>0</v>
      </c>
      <c r="AS496">
        <f>$H$496*$Y$496</f>
        <v>1035.76</v>
      </c>
      <c r="AT496">
        <f>$H$496*$Z$496</f>
        <v>1035.76</v>
      </c>
      <c r="AU496">
        <f>$H$496*$AA$496</f>
        <v>1035.76</v>
      </c>
      <c r="AV496">
        <f>$H$496*$AB$496</f>
        <v>1035.76</v>
      </c>
      <c r="AW496">
        <f>$H$496*$AC$496</f>
        <v>1035.76</v>
      </c>
      <c r="AX496">
        <f>$H$496*$AD$496</f>
        <v>1035.76</v>
      </c>
      <c r="AY496">
        <f>$H$496*$AE$496</f>
        <v>1035.76</v>
      </c>
      <c r="AZ496">
        <f>$H$496*$AF$496</f>
        <v>1035.76</v>
      </c>
    </row>
    <row r="497" spans="1:52" x14ac:dyDescent="0.25">
      <c r="A497">
        <v>546</v>
      </c>
      <c r="B497" t="s">
        <v>246</v>
      </c>
      <c r="C497" t="s">
        <v>349</v>
      </c>
      <c r="D497">
        <v>82.4</v>
      </c>
      <c r="E497">
        <v>351.02</v>
      </c>
      <c r="F497" t="s">
        <v>275</v>
      </c>
      <c r="G497">
        <v>4.26</v>
      </c>
      <c r="H497">
        <v>421.22</v>
      </c>
      <c r="I497" t="s">
        <v>350</v>
      </c>
      <c r="J497" t="s">
        <v>351</v>
      </c>
      <c r="K497" t="s">
        <v>415</v>
      </c>
      <c r="L497" t="s">
        <v>170</v>
      </c>
      <c r="M497" t="s">
        <v>246</v>
      </c>
      <c r="N497" t="s">
        <v>12</v>
      </c>
      <c r="O497" t="s">
        <v>14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246</v>
      </c>
      <c r="AH497" t="s">
        <v>12</v>
      </c>
      <c r="AI497" t="s">
        <v>14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421.22</v>
      </c>
      <c r="AN497">
        <f>$H$497*$T$497</f>
        <v>421.22</v>
      </c>
      <c r="AO497">
        <f>$H$497*$U$497</f>
        <v>421.22</v>
      </c>
      <c r="AP497">
        <f>$H$497*$V$497</f>
        <v>421.22</v>
      </c>
      <c r="AQ497">
        <f>$H$497*$W$497</f>
        <v>421.22</v>
      </c>
      <c r="AR497">
        <f>$H$497*$X$497</f>
        <v>421.22</v>
      </c>
      <c r="AS497">
        <f>$H$497*$Y$497</f>
        <v>421.22</v>
      </c>
      <c r="AT497">
        <f>$H$497*$Z$497</f>
        <v>421.22</v>
      </c>
      <c r="AU497">
        <f>$H$497*$AA$497</f>
        <v>421.22</v>
      </c>
      <c r="AV497">
        <f>$H$497*$AB$497</f>
        <v>421.22</v>
      </c>
      <c r="AW497">
        <f>$H$497*$AC$497</f>
        <v>421.22</v>
      </c>
      <c r="AX497">
        <f>$H$497*$AD$497</f>
        <v>421.22</v>
      </c>
      <c r="AY497">
        <f>$H$497*$AE$497</f>
        <v>421.22</v>
      </c>
      <c r="AZ497">
        <f>$H$497*$AF$497</f>
        <v>421.22</v>
      </c>
    </row>
    <row r="498" spans="1:52" x14ac:dyDescent="0.25">
      <c r="A498">
        <v>547</v>
      </c>
      <c r="B498" t="s">
        <v>246</v>
      </c>
      <c r="C498" t="s">
        <v>352</v>
      </c>
      <c r="D498">
        <v>82.4</v>
      </c>
      <c r="E498">
        <v>884.98</v>
      </c>
      <c r="F498" t="s">
        <v>275</v>
      </c>
      <c r="G498">
        <v>10.74</v>
      </c>
      <c r="H498">
        <v>1061.98</v>
      </c>
      <c r="I498" t="s">
        <v>350</v>
      </c>
      <c r="J498" t="s">
        <v>293</v>
      </c>
      <c r="K498" t="s">
        <v>416</v>
      </c>
      <c r="L498" t="s">
        <v>170</v>
      </c>
      <c r="M498" t="s">
        <v>246</v>
      </c>
      <c r="N498" t="s">
        <v>12</v>
      </c>
      <c r="O498" t="s">
        <v>14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246</v>
      </c>
      <c r="AH498" t="s">
        <v>12</v>
      </c>
      <c r="AI498" t="s">
        <v>14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1061.98</v>
      </c>
      <c r="AN498">
        <f>$H$498*$T$498</f>
        <v>1061.98</v>
      </c>
      <c r="AO498">
        <f>$H$498*$U$498</f>
        <v>1061.98</v>
      </c>
      <c r="AP498">
        <f>$H$498*$V$498</f>
        <v>1061.98</v>
      </c>
      <c r="AQ498">
        <f>$H$498*$W$498</f>
        <v>1061.98</v>
      </c>
      <c r="AR498">
        <f>$H$498*$X$498</f>
        <v>1061.98</v>
      </c>
      <c r="AS498">
        <f>$H$498*$Y$498</f>
        <v>1061.98</v>
      </c>
      <c r="AT498">
        <f>$H$498*$Z$498</f>
        <v>1061.98</v>
      </c>
      <c r="AU498">
        <f>$H$498*$AA$498</f>
        <v>1061.98</v>
      </c>
      <c r="AV498">
        <f>$H$498*$AB$498</f>
        <v>1061.98</v>
      </c>
      <c r="AW498">
        <f>$H$498*$AC$498</f>
        <v>1061.98</v>
      </c>
      <c r="AX498">
        <f>$H$498*$AD$498</f>
        <v>1061.98</v>
      </c>
      <c r="AY498">
        <f>$H$498*$AE$498</f>
        <v>1061.98</v>
      </c>
      <c r="AZ498">
        <f>$H$498*$AF$498</f>
        <v>1061.98</v>
      </c>
    </row>
    <row r="499" spans="1:52" x14ac:dyDescent="0.25">
      <c r="A499">
        <v>548</v>
      </c>
      <c r="B499" t="s">
        <v>246</v>
      </c>
      <c r="C499" t="s">
        <v>530</v>
      </c>
      <c r="D499">
        <v>94.76</v>
      </c>
      <c r="E499">
        <v>100.45</v>
      </c>
      <c r="F499" t="s">
        <v>275</v>
      </c>
      <c r="G499">
        <v>1.06</v>
      </c>
      <c r="H499">
        <v>120.55</v>
      </c>
      <c r="I499" t="s">
        <v>353</v>
      </c>
      <c r="J499" t="s">
        <v>531</v>
      </c>
      <c r="K499" t="s">
        <v>646</v>
      </c>
      <c r="L499" t="s">
        <v>170</v>
      </c>
      <c r="M499" t="s">
        <v>246</v>
      </c>
      <c r="N499" t="s">
        <v>12</v>
      </c>
      <c r="O499" t="s">
        <v>14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246</v>
      </c>
      <c r="AH499" t="s">
        <v>12</v>
      </c>
      <c r="AI499" t="s">
        <v>14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120.55</v>
      </c>
      <c r="AN499">
        <f>$H$499*$T$499</f>
        <v>120.55</v>
      </c>
      <c r="AO499">
        <f>$H$499*$U$499</f>
        <v>120.55</v>
      </c>
      <c r="AP499">
        <f>$H$499*$V$499</f>
        <v>120.55</v>
      </c>
      <c r="AQ499">
        <f>$H$499*$W$499</f>
        <v>120.55</v>
      </c>
      <c r="AR499">
        <f>$H$499*$X$499</f>
        <v>120.55</v>
      </c>
      <c r="AS499">
        <f>$H$499*$Y$499</f>
        <v>120.55</v>
      </c>
      <c r="AT499">
        <f>$H$499*$Z$499</f>
        <v>120.55</v>
      </c>
      <c r="AU499">
        <f>$H$499*$AA$499</f>
        <v>120.55</v>
      </c>
      <c r="AV499">
        <f>$H$499*$AB$499</f>
        <v>120.55</v>
      </c>
      <c r="AW499">
        <f>$H$499*$AC$499</f>
        <v>120.55</v>
      </c>
      <c r="AX499">
        <f>$H$499*$AD$499</f>
        <v>120.55</v>
      </c>
      <c r="AY499">
        <f>$H$499*$AE$499</f>
        <v>120.55</v>
      </c>
      <c r="AZ499">
        <f>$H$499*$AF$499</f>
        <v>120.55</v>
      </c>
    </row>
    <row r="500" spans="1:52" x14ac:dyDescent="0.25">
      <c r="A500">
        <v>549</v>
      </c>
      <c r="B500" t="s">
        <v>246</v>
      </c>
      <c r="C500" t="s">
        <v>532</v>
      </c>
      <c r="D500">
        <v>94.76</v>
      </c>
      <c r="E500">
        <v>817.78</v>
      </c>
      <c r="F500" t="s">
        <v>275</v>
      </c>
      <c r="G500">
        <v>8.6300000000000008</v>
      </c>
      <c r="H500">
        <v>981.34</v>
      </c>
      <c r="I500" t="s">
        <v>353</v>
      </c>
      <c r="J500" t="s">
        <v>529</v>
      </c>
      <c r="K500" t="s">
        <v>647</v>
      </c>
      <c r="L500" t="s">
        <v>170</v>
      </c>
      <c r="M500" t="s">
        <v>246</v>
      </c>
      <c r="N500" t="s">
        <v>12</v>
      </c>
      <c r="O500" t="s">
        <v>14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246</v>
      </c>
      <c r="AH500" t="s">
        <v>12</v>
      </c>
      <c r="AI500" t="s">
        <v>14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981.34</v>
      </c>
      <c r="AN500">
        <f>$H$500*$T$500</f>
        <v>981.34</v>
      </c>
      <c r="AO500">
        <f>$H$500*$U$500</f>
        <v>981.34</v>
      </c>
      <c r="AP500">
        <f>$H$500*$V$500</f>
        <v>981.34</v>
      </c>
      <c r="AQ500">
        <f>$H$500*$W$500</f>
        <v>981.34</v>
      </c>
      <c r="AR500">
        <f>$H$500*$X$500</f>
        <v>981.34</v>
      </c>
      <c r="AS500">
        <f>$H$500*$Y$500</f>
        <v>981.34</v>
      </c>
      <c r="AT500">
        <f>$H$500*$Z$500</f>
        <v>981.34</v>
      </c>
      <c r="AU500">
        <f>$H$500*$AA$500</f>
        <v>981.34</v>
      </c>
      <c r="AV500">
        <f>$H$500*$AB$500</f>
        <v>981.34</v>
      </c>
      <c r="AW500">
        <f>$H$500*$AC$500</f>
        <v>981.34</v>
      </c>
      <c r="AX500">
        <f>$H$500*$AD$500</f>
        <v>981.34</v>
      </c>
      <c r="AY500">
        <f>$H$500*$AE$500</f>
        <v>981.34</v>
      </c>
      <c r="AZ500">
        <f>$H$500*$AF$500</f>
        <v>981.34</v>
      </c>
    </row>
    <row r="501" spans="1:52" x14ac:dyDescent="0.25">
      <c r="A501">
        <v>552</v>
      </c>
      <c r="B501" t="s">
        <v>376</v>
      </c>
      <c r="C501" t="s">
        <v>619</v>
      </c>
      <c r="D501">
        <v>1</v>
      </c>
      <c r="E501">
        <v>457.27</v>
      </c>
      <c r="F501" t="s">
        <v>265</v>
      </c>
      <c r="G501">
        <v>457.27</v>
      </c>
      <c r="H501">
        <v>548.73</v>
      </c>
      <c r="I501" t="s">
        <v>292</v>
      </c>
      <c r="J501" t="s">
        <v>620</v>
      </c>
      <c r="K501" t="s">
        <v>691</v>
      </c>
      <c r="L501" t="s">
        <v>170</v>
      </c>
      <c r="M501" t="s">
        <v>395</v>
      </c>
      <c r="N501" t="s">
        <v>12</v>
      </c>
      <c r="O501" t="s">
        <v>68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395</v>
      </c>
      <c r="AH501" t="s">
        <v>12</v>
      </c>
      <c r="AI501" t="s">
        <v>68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548.73</v>
      </c>
      <c r="AO501">
        <f>$H$501*$U$501</f>
        <v>548.73</v>
      </c>
      <c r="AP501">
        <f>$H$501*$V$501</f>
        <v>548.73</v>
      </c>
      <c r="AQ501">
        <f>$H$501*$W$501</f>
        <v>548.73</v>
      </c>
      <c r="AR501">
        <f>$H$501*$X$501</f>
        <v>548.73</v>
      </c>
      <c r="AS501">
        <f>$H$501*$Y$501</f>
        <v>548.73</v>
      </c>
      <c r="AT501">
        <f>$H$501*$Z$501</f>
        <v>548.73</v>
      </c>
      <c r="AU501">
        <f>$H$501*$AA$501</f>
        <v>548.73</v>
      </c>
      <c r="AV501">
        <f>$H$501*$AB$501</f>
        <v>548.73</v>
      </c>
      <c r="AW501">
        <f>$H$501*$AC$501</f>
        <v>548.73</v>
      </c>
      <c r="AX501">
        <f>$H$501*$AD$501</f>
        <v>548.73</v>
      </c>
      <c r="AY501">
        <f>$H$501*$AE$501</f>
        <v>548.73</v>
      </c>
      <c r="AZ501">
        <f>$H$501*$AF$501</f>
        <v>548.73</v>
      </c>
    </row>
    <row r="502" spans="1:52" x14ac:dyDescent="0.25">
      <c r="A502">
        <v>559</v>
      </c>
      <c r="B502" t="s">
        <v>376</v>
      </c>
      <c r="C502" t="s">
        <v>324</v>
      </c>
      <c r="D502">
        <v>1</v>
      </c>
      <c r="E502">
        <v>16.079999999999998</v>
      </c>
      <c r="F502" t="s">
        <v>265</v>
      </c>
      <c r="G502">
        <v>16.079999999999998</v>
      </c>
      <c r="H502">
        <v>19.3</v>
      </c>
      <c r="I502" t="s">
        <v>267</v>
      </c>
      <c r="J502" t="s">
        <v>325</v>
      </c>
      <c r="K502" t="s">
        <v>404</v>
      </c>
      <c r="L502" t="s">
        <v>170</v>
      </c>
      <c r="M502" t="s">
        <v>395</v>
      </c>
      <c r="N502" t="s">
        <v>12</v>
      </c>
      <c r="O502" t="s">
        <v>68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395</v>
      </c>
      <c r="AH502" t="s">
        <v>12</v>
      </c>
      <c r="AI502" t="s">
        <v>68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19.3</v>
      </c>
      <c r="AS502">
        <f>$H$502*$Y$502</f>
        <v>19.3</v>
      </c>
      <c r="AT502">
        <f>$H$502*$Z$502</f>
        <v>19.3</v>
      </c>
      <c r="AU502">
        <f>$H$502*$AA$502</f>
        <v>19.3</v>
      </c>
      <c r="AV502">
        <f>$H$502*$AB$502</f>
        <v>19.3</v>
      </c>
      <c r="AW502">
        <f>$H$502*$AC$502</f>
        <v>19.3</v>
      </c>
      <c r="AX502">
        <f>$H$502*$AD$502</f>
        <v>19.3</v>
      </c>
      <c r="AY502">
        <f>$H$502*$AE$502</f>
        <v>19.3</v>
      </c>
      <c r="AZ502">
        <f>$H$502*$AF$502</f>
        <v>19.3</v>
      </c>
    </row>
    <row r="503" spans="1:52" x14ac:dyDescent="0.25">
      <c r="A503">
        <v>560</v>
      </c>
      <c r="B503" t="s">
        <v>376</v>
      </c>
      <c r="C503" t="s">
        <v>330</v>
      </c>
      <c r="D503">
        <v>1</v>
      </c>
      <c r="E503">
        <v>37.28</v>
      </c>
      <c r="F503" t="s">
        <v>265</v>
      </c>
      <c r="G503">
        <v>37.28</v>
      </c>
      <c r="H503">
        <v>44.74</v>
      </c>
      <c r="I503" t="s">
        <v>267</v>
      </c>
      <c r="J503" t="s">
        <v>331</v>
      </c>
      <c r="K503" t="s">
        <v>407</v>
      </c>
      <c r="L503" t="s">
        <v>170</v>
      </c>
      <c r="M503" t="s">
        <v>395</v>
      </c>
      <c r="N503" t="s">
        <v>12</v>
      </c>
      <c r="O503" t="s">
        <v>68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0.6</v>
      </c>
      <c r="Y503">
        <v>0.6</v>
      </c>
      <c r="Z503">
        <v>0.6</v>
      </c>
      <c r="AA503">
        <v>0.6</v>
      </c>
      <c r="AB503">
        <v>0.6</v>
      </c>
      <c r="AC503">
        <v>0.6</v>
      </c>
      <c r="AD503">
        <v>1</v>
      </c>
      <c r="AE503">
        <v>1</v>
      </c>
      <c r="AF503">
        <v>1</v>
      </c>
      <c r="AG503" t="s">
        <v>395</v>
      </c>
      <c r="AH503" t="s">
        <v>12</v>
      </c>
      <c r="AI503" t="s">
        <v>68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26.844000000000001</v>
      </c>
      <c r="AS503">
        <f>$H$503*$Y$503</f>
        <v>26.844000000000001</v>
      </c>
      <c r="AT503">
        <f>$H$503*$Z$503</f>
        <v>26.844000000000001</v>
      </c>
      <c r="AU503">
        <f>$H$503*$AA$503</f>
        <v>26.844000000000001</v>
      </c>
      <c r="AV503">
        <f>$H$503*$AB$503</f>
        <v>26.844000000000001</v>
      </c>
      <c r="AW503">
        <f>$H$503*$AC$503</f>
        <v>26.844000000000001</v>
      </c>
      <c r="AX503">
        <f>$H$503*$AD$503</f>
        <v>44.74</v>
      </c>
      <c r="AY503">
        <f>$H$503*$AE$503</f>
        <v>44.74</v>
      </c>
      <c r="AZ503">
        <f>$H$503*$AF$503</f>
        <v>44.74</v>
      </c>
    </row>
    <row r="504" spans="1:52" x14ac:dyDescent="0.25">
      <c r="A504">
        <v>561</v>
      </c>
      <c r="B504" t="s">
        <v>376</v>
      </c>
      <c r="C504" t="s">
        <v>304</v>
      </c>
      <c r="D504">
        <v>1</v>
      </c>
      <c r="E504">
        <v>93.81</v>
      </c>
      <c r="F504" t="s">
        <v>265</v>
      </c>
      <c r="G504">
        <v>93.81</v>
      </c>
      <c r="H504">
        <v>112.57</v>
      </c>
      <c r="I504" t="s">
        <v>270</v>
      </c>
      <c r="J504" t="s">
        <v>305</v>
      </c>
      <c r="K504" t="s">
        <v>396</v>
      </c>
      <c r="L504" t="s">
        <v>170</v>
      </c>
      <c r="M504" t="s">
        <v>395</v>
      </c>
      <c r="N504" t="s">
        <v>12</v>
      </c>
      <c r="O504" t="s">
        <v>68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1</v>
      </c>
      <c r="AE504">
        <v>1</v>
      </c>
      <c r="AF504">
        <v>1</v>
      </c>
      <c r="AG504" t="s">
        <v>395</v>
      </c>
      <c r="AH504" t="s">
        <v>12</v>
      </c>
      <c r="AI504" t="s">
        <v>68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0</v>
      </c>
      <c r="AU504">
        <f>$H$504*$AA$504</f>
        <v>0</v>
      </c>
      <c r="AV504">
        <f>$H$504*$AB$504</f>
        <v>0</v>
      </c>
      <c r="AW504">
        <f>$H$504*$AC$504</f>
        <v>0</v>
      </c>
      <c r="AX504">
        <f>$H$504*$AD$504</f>
        <v>112.57</v>
      </c>
      <c r="AY504">
        <f>$H$504*$AE$504</f>
        <v>112.57</v>
      </c>
      <c r="AZ504">
        <f>$H$504*$AF$504</f>
        <v>112.57</v>
      </c>
    </row>
    <row r="505" spans="1:52" x14ac:dyDescent="0.25">
      <c r="A505">
        <v>570</v>
      </c>
      <c r="B505" t="s">
        <v>6</v>
      </c>
      <c r="C505" t="s">
        <v>266</v>
      </c>
      <c r="D505">
        <v>1</v>
      </c>
      <c r="E505">
        <v>94.01</v>
      </c>
      <c r="F505" t="s">
        <v>265</v>
      </c>
      <c r="G505">
        <v>94.01</v>
      </c>
      <c r="H505">
        <v>112.81</v>
      </c>
      <c r="I505" t="s">
        <v>267</v>
      </c>
      <c r="J505" t="s">
        <v>268</v>
      </c>
      <c r="K505" t="s">
        <v>380</v>
      </c>
      <c r="L505" t="s">
        <v>170</v>
      </c>
      <c r="M505" t="s">
        <v>6</v>
      </c>
      <c r="N505" t="s">
        <v>12</v>
      </c>
      <c r="O505" t="s">
        <v>6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1</v>
      </c>
      <c r="AE505">
        <v>1</v>
      </c>
      <c r="AF505">
        <v>1</v>
      </c>
      <c r="AG505" t="s">
        <v>6</v>
      </c>
      <c r="AH505" t="s">
        <v>12</v>
      </c>
      <c r="AI505" t="s">
        <v>6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0</v>
      </c>
      <c r="AN505">
        <f>$H$505*$T$505</f>
        <v>0</v>
      </c>
      <c r="AO505">
        <f>$H$505*$U$505</f>
        <v>0</v>
      </c>
      <c r="AP505">
        <f>$H$505*$V$505</f>
        <v>0</v>
      </c>
      <c r="AQ505">
        <f>$H$505*$W$505</f>
        <v>0</v>
      </c>
      <c r="AR505">
        <f>$H$505*$X$505</f>
        <v>0</v>
      </c>
      <c r="AS505">
        <f>$H$505*$Y$505</f>
        <v>0</v>
      </c>
      <c r="AT505">
        <f>$H$505*$Z$505</f>
        <v>0</v>
      </c>
      <c r="AU505">
        <f>$H$505*$AA$505</f>
        <v>0</v>
      </c>
      <c r="AV505">
        <f>$H$505*$AB$505</f>
        <v>0</v>
      </c>
      <c r="AW505">
        <f>$H$505*$AC$505</f>
        <v>0</v>
      </c>
      <c r="AX505">
        <f>$H$505*$AD$505</f>
        <v>112.81</v>
      </c>
      <c r="AY505">
        <f>$H$505*$AE$505</f>
        <v>112.81</v>
      </c>
      <c r="AZ505">
        <f>$H$505*$AF$505</f>
        <v>112.81</v>
      </c>
    </row>
    <row r="506" spans="1:52" x14ac:dyDescent="0.25">
      <c r="A506">
        <v>571</v>
      </c>
      <c r="B506" t="s">
        <v>6</v>
      </c>
      <c r="C506" t="s">
        <v>324</v>
      </c>
      <c r="D506">
        <v>3</v>
      </c>
      <c r="E506">
        <v>48.24</v>
      </c>
      <c r="F506" t="s">
        <v>265</v>
      </c>
      <c r="G506">
        <v>16.079999999999998</v>
      </c>
      <c r="H506">
        <v>57.88</v>
      </c>
      <c r="I506" t="s">
        <v>267</v>
      </c>
      <c r="J506" t="s">
        <v>325</v>
      </c>
      <c r="K506" t="s">
        <v>404</v>
      </c>
      <c r="L506" t="s">
        <v>170</v>
      </c>
      <c r="M506" t="s">
        <v>6</v>
      </c>
      <c r="N506" t="s">
        <v>12</v>
      </c>
      <c r="O506" t="s">
        <v>6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6</v>
      </c>
      <c r="AH506" t="s">
        <v>12</v>
      </c>
      <c r="AI506" t="s">
        <v>6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0</v>
      </c>
      <c r="AN506">
        <f>$H$506*$T$506</f>
        <v>0</v>
      </c>
      <c r="AO506">
        <f>$H$506*$U$506</f>
        <v>0</v>
      </c>
      <c r="AP506">
        <f>$H$506*$V$506</f>
        <v>0</v>
      </c>
      <c r="AQ506">
        <f>$H$506*$W$506</f>
        <v>0</v>
      </c>
      <c r="AR506">
        <f>$H$506*$X$506</f>
        <v>57.88</v>
      </c>
      <c r="AS506">
        <f>$H$506*$Y$506</f>
        <v>57.88</v>
      </c>
      <c r="AT506">
        <f>$H$506*$Z$506</f>
        <v>57.88</v>
      </c>
      <c r="AU506">
        <f>$H$506*$AA$506</f>
        <v>57.88</v>
      </c>
      <c r="AV506">
        <f>$H$506*$AB$506</f>
        <v>57.88</v>
      </c>
      <c r="AW506">
        <f>$H$506*$AC$506</f>
        <v>57.88</v>
      </c>
      <c r="AX506">
        <f>$H$506*$AD$506</f>
        <v>57.88</v>
      </c>
      <c r="AY506">
        <f>$H$506*$AE$506</f>
        <v>57.88</v>
      </c>
      <c r="AZ506">
        <f>$H$506*$AF$506</f>
        <v>57.88</v>
      </c>
    </row>
    <row r="507" spans="1:52" x14ac:dyDescent="0.25">
      <c r="A507">
        <v>572</v>
      </c>
      <c r="B507" t="s">
        <v>6</v>
      </c>
      <c r="C507" t="s">
        <v>525</v>
      </c>
      <c r="D507">
        <v>1</v>
      </c>
      <c r="E507">
        <v>109.28</v>
      </c>
      <c r="F507" t="s">
        <v>265</v>
      </c>
      <c r="G507">
        <v>109.28</v>
      </c>
      <c r="H507">
        <v>131.13999999999999</v>
      </c>
      <c r="I507" t="s">
        <v>270</v>
      </c>
      <c r="J507" t="s">
        <v>293</v>
      </c>
      <c r="K507" t="s">
        <v>643</v>
      </c>
      <c r="L507" t="s">
        <v>170</v>
      </c>
      <c r="M507" t="s">
        <v>6</v>
      </c>
      <c r="N507" t="s">
        <v>12</v>
      </c>
      <c r="O507" t="s">
        <v>6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1</v>
      </c>
      <c r="AF507">
        <v>1</v>
      </c>
      <c r="AG507" t="s">
        <v>6</v>
      </c>
      <c r="AH507" t="s">
        <v>12</v>
      </c>
      <c r="AI507" t="s">
        <v>6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0</v>
      </c>
      <c r="AQ507">
        <f>$H$507*$W$507</f>
        <v>0</v>
      </c>
      <c r="AR507">
        <f>$H$507*$X$507</f>
        <v>0</v>
      </c>
      <c r="AS507">
        <f>$H$507*$Y$507</f>
        <v>0</v>
      </c>
      <c r="AT507">
        <f>$H$507*$Z$507</f>
        <v>0</v>
      </c>
      <c r="AU507">
        <f>$H$507*$AA$507</f>
        <v>0</v>
      </c>
      <c r="AV507">
        <f>$H$507*$AB$507</f>
        <v>0</v>
      </c>
      <c r="AW507">
        <f>$H$507*$AC$507</f>
        <v>0</v>
      </c>
      <c r="AX507">
        <f>$H$507*$AD$507</f>
        <v>131.13999999999999</v>
      </c>
      <c r="AY507">
        <f>$H$507*$AE$507</f>
        <v>131.13999999999999</v>
      </c>
      <c r="AZ507">
        <f>$H$507*$AF$507</f>
        <v>131.13999999999999</v>
      </c>
    </row>
    <row r="508" spans="1:52" x14ac:dyDescent="0.25">
      <c r="A508">
        <v>573</v>
      </c>
      <c r="B508" t="s">
        <v>6</v>
      </c>
      <c r="C508" t="s">
        <v>335</v>
      </c>
      <c r="D508">
        <v>14.4</v>
      </c>
      <c r="E508">
        <v>55.15</v>
      </c>
      <c r="F508" t="s">
        <v>262</v>
      </c>
      <c r="G508">
        <v>3.83</v>
      </c>
      <c r="H508">
        <v>66.19</v>
      </c>
      <c r="I508" t="s">
        <v>336</v>
      </c>
      <c r="J508" t="s">
        <v>337</v>
      </c>
      <c r="K508" t="s">
        <v>409</v>
      </c>
      <c r="L508" t="s">
        <v>170</v>
      </c>
      <c r="M508" t="s">
        <v>6</v>
      </c>
      <c r="N508" t="s">
        <v>12</v>
      </c>
      <c r="O508" t="s">
        <v>6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6</v>
      </c>
      <c r="AH508" t="s">
        <v>12</v>
      </c>
      <c r="AI508" t="s">
        <v>6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0</v>
      </c>
      <c r="AS508">
        <f>$H$508*$Y$508</f>
        <v>0</v>
      </c>
      <c r="AT508">
        <f>$H$508*$Z$508</f>
        <v>0</v>
      </c>
      <c r="AU508">
        <f>$H$508*$AA$508</f>
        <v>66.19</v>
      </c>
      <c r="AV508">
        <f>$H$508*$AB$508</f>
        <v>66.19</v>
      </c>
      <c r="AW508">
        <f>$H$508*$AC$508</f>
        <v>66.19</v>
      </c>
      <c r="AX508">
        <f>$H$508*$AD$508</f>
        <v>66.19</v>
      </c>
      <c r="AY508">
        <f>$H$508*$AE$508</f>
        <v>66.19</v>
      </c>
      <c r="AZ508">
        <f>$H$508*$AF$508</f>
        <v>66.19</v>
      </c>
    </row>
    <row r="509" spans="1:52" x14ac:dyDescent="0.25">
      <c r="A509">
        <v>574</v>
      </c>
      <c r="B509" t="s">
        <v>6</v>
      </c>
      <c r="C509" t="s">
        <v>338</v>
      </c>
      <c r="D509">
        <v>129.6</v>
      </c>
      <c r="E509">
        <v>428.98</v>
      </c>
      <c r="F509" t="s">
        <v>275</v>
      </c>
      <c r="G509">
        <v>3.31</v>
      </c>
      <c r="H509">
        <v>514.78</v>
      </c>
      <c r="I509" t="s">
        <v>336</v>
      </c>
      <c r="J509" t="s">
        <v>339</v>
      </c>
      <c r="K509" t="s">
        <v>410</v>
      </c>
      <c r="L509" t="s">
        <v>170</v>
      </c>
      <c r="M509" t="s">
        <v>6</v>
      </c>
      <c r="N509" t="s">
        <v>12</v>
      </c>
      <c r="O509" t="s">
        <v>6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6</v>
      </c>
      <c r="AH509" t="s">
        <v>12</v>
      </c>
      <c r="AI509" t="s">
        <v>6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514.78</v>
      </c>
      <c r="AN509">
        <f>$H$509*$T$509</f>
        <v>514.78</v>
      </c>
      <c r="AO509">
        <f>$H$509*$U$509</f>
        <v>514.78</v>
      </c>
      <c r="AP509">
        <f>$H$509*$V$509</f>
        <v>514.78</v>
      </c>
      <c r="AQ509">
        <f>$H$509*$W$509</f>
        <v>514.78</v>
      </c>
      <c r="AR509">
        <f>$H$509*$X$509</f>
        <v>514.78</v>
      </c>
      <c r="AS509">
        <f>$H$509*$Y$509</f>
        <v>514.78</v>
      </c>
      <c r="AT509">
        <f>$H$509*$Z$509</f>
        <v>514.78</v>
      </c>
      <c r="AU509">
        <f>$H$509*$AA$509</f>
        <v>514.78</v>
      </c>
      <c r="AV509">
        <f>$H$509*$AB$509</f>
        <v>514.78</v>
      </c>
      <c r="AW509">
        <f>$H$509*$AC$509</f>
        <v>514.78</v>
      </c>
      <c r="AX509">
        <f>$H$509*$AD$509</f>
        <v>514.78</v>
      </c>
      <c r="AY509">
        <f>$H$509*$AE$509</f>
        <v>514.78</v>
      </c>
      <c r="AZ509">
        <f>$H$509*$AF$509</f>
        <v>514.78</v>
      </c>
    </row>
    <row r="510" spans="1:52" x14ac:dyDescent="0.25">
      <c r="A510">
        <v>575</v>
      </c>
      <c r="B510" t="s">
        <v>6</v>
      </c>
      <c r="C510" t="s">
        <v>340</v>
      </c>
      <c r="D510">
        <v>129.6</v>
      </c>
      <c r="E510">
        <v>137.38</v>
      </c>
      <c r="F510" t="s">
        <v>275</v>
      </c>
      <c r="G510">
        <v>1.06</v>
      </c>
      <c r="H510">
        <v>164.86</v>
      </c>
      <c r="I510" t="s">
        <v>263</v>
      </c>
      <c r="J510" t="s">
        <v>341</v>
      </c>
      <c r="K510" t="s">
        <v>411</v>
      </c>
      <c r="L510" t="s">
        <v>170</v>
      </c>
      <c r="M510" t="s">
        <v>6</v>
      </c>
      <c r="N510" t="s">
        <v>12</v>
      </c>
      <c r="O510" t="s">
        <v>6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1</v>
      </c>
      <c r="AF510">
        <v>1</v>
      </c>
      <c r="AG510" t="s">
        <v>6</v>
      </c>
      <c r="AH510" t="s">
        <v>12</v>
      </c>
      <c r="AI510" t="s">
        <v>6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0</v>
      </c>
      <c r="AT510">
        <f>$H$510*$Z$510</f>
        <v>0</v>
      </c>
      <c r="AU510">
        <f>$H$510*$AA$510</f>
        <v>0</v>
      </c>
      <c r="AV510">
        <f>$H$510*$AB$510</f>
        <v>0</v>
      </c>
      <c r="AW510">
        <f>$H$510*$AC$510</f>
        <v>0</v>
      </c>
      <c r="AX510">
        <f>$H$510*$AD$510</f>
        <v>164.86</v>
      </c>
      <c r="AY510">
        <f>$H$510*$AE$510</f>
        <v>164.86</v>
      </c>
      <c r="AZ510">
        <f>$H$510*$AF$510</f>
        <v>164.86</v>
      </c>
    </row>
    <row r="511" spans="1:52" x14ac:dyDescent="0.25">
      <c r="A511">
        <v>576</v>
      </c>
      <c r="B511" t="s">
        <v>6</v>
      </c>
      <c r="C511" t="s">
        <v>283</v>
      </c>
      <c r="D511">
        <v>162</v>
      </c>
      <c r="E511">
        <v>262.44</v>
      </c>
      <c r="F511" t="s">
        <v>275</v>
      </c>
      <c r="G511">
        <v>1.62</v>
      </c>
      <c r="H511">
        <v>314.92</v>
      </c>
      <c r="I511" t="s">
        <v>263</v>
      </c>
      <c r="J511" t="s">
        <v>284</v>
      </c>
      <c r="K511" t="s">
        <v>387</v>
      </c>
      <c r="L511" t="s">
        <v>170</v>
      </c>
      <c r="M511" t="s">
        <v>6</v>
      </c>
      <c r="N511" t="s">
        <v>12</v>
      </c>
      <c r="O511" t="s">
        <v>6</v>
      </c>
      <c r="P511">
        <v>0</v>
      </c>
      <c r="Q511">
        <v>0</v>
      </c>
      <c r="R511">
        <v>0</v>
      </c>
      <c r="S511">
        <v>0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6</v>
      </c>
      <c r="AH511" t="s">
        <v>12</v>
      </c>
      <c r="AI511" t="s">
        <v>6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314.92</v>
      </c>
      <c r="AO511">
        <f>$H$511*$U$511</f>
        <v>314.92</v>
      </c>
      <c r="AP511">
        <f>$H$511*$V$511</f>
        <v>314.92</v>
      </c>
      <c r="AQ511">
        <f>$H$511*$W$511</f>
        <v>314.92</v>
      </c>
      <c r="AR511">
        <f>$H$511*$X$511</f>
        <v>314.92</v>
      </c>
      <c r="AS511">
        <f>$H$511*$Y$511</f>
        <v>314.92</v>
      </c>
      <c r="AT511">
        <f>$H$511*$Z$511</f>
        <v>314.92</v>
      </c>
      <c r="AU511">
        <f>$H$511*$AA$511</f>
        <v>314.92</v>
      </c>
      <c r="AV511">
        <f>$H$511*$AB$511</f>
        <v>314.92</v>
      </c>
      <c r="AW511">
        <f>$H$511*$AC$511</f>
        <v>314.92</v>
      </c>
      <c r="AX511">
        <f>$H$511*$AD$511</f>
        <v>314.92</v>
      </c>
      <c r="AY511">
        <f>$H$511*$AE$511</f>
        <v>314.92</v>
      </c>
      <c r="AZ511">
        <f>$H$511*$AF$511</f>
        <v>314.92</v>
      </c>
    </row>
    <row r="512" spans="1:52" x14ac:dyDescent="0.25">
      <c r="A512">
        <v>577</v>
      </c>
      <c r="B512" t="s">
        <v>6</v>
      </c>
      <c r="C512" t="s">
        <v>526</v>
      </c>
      <c r="D512">
        <v>32.4</v>
      </c>
      <c r="E512">
        <v>137.05000000000001</v>
      </c>
      <c r="F512" t="s">
        <v>275</v>
      </c>
      <c r="G512">
        <v>4.2300000000000004</v>
      </c>
      <c r="H512">
        <v>164.47</v>
      </c>
      <c r="I512" t="s">
        <v>527</v>
      </c>
      <c r="J512" t="s">
        <v>309</v>
      </c>
      <c r="K512" t="s">
        <v>644</v>
      </c>
      <c r="L512" t="s">
        <v>170</v>
      </c>
      <c r="M512" t="s">
        <v>6</v>
      </c>
      <c r="N512" t="s">
        <v>12</v>
      </c>
      <c r="O512" t="s">
        <v>6</v>
      </c>
      <c r="P512">
        <v>0</v>
      </c>
      <c r="Q512">
        <v>0</v>
      </c>
      <c r="R512">
        <v>0</v>
      </c>
      <c r="S512">
        <v>0.25</v>
      </c>
      <c r="T512">
        <v>0.25</v>
      </c>
      <c r="U512">
        <v>0.25</v>
      </c>
      <c r="V512">
        <v>0.25</v>
      </c>
      <c r="W512">
        <v>0.25</v>
      </c>
      <c r="X512">
        <v>0.5</v>
      </c>
      <c r="Y512">
        <v>0.5</v>
      </c>
      <c r="Z512">
        <v>0.5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6</v>
      </c>
      <c r="AH512" t="s">
        <v>12</v>
      </c>
      <c r="AI512" t="s">
        <v>6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41.1175</v>
      </c>
      <c r="AN512">
        <f>$H$512*$T$512</f>
        <v>41.1175</v>
      </c>
      <c r="AO512">
        <f>$H$512*$U$512</f>
        <v>41.1175</v>
      </c>
      <c r="AP512">
        <f>$H$512*$V$512</f>
        <v>41.1175</v>
      </c>
      <c r="AQ512">
        <f>$H$512*$W$512</f>
        <v>41.1175</v>
      </c>
      <c r="AR512">
        <f>$H$512*$X$512</f>
        <v>82.234999999999999</v>
      </c>
      <c r="AS512">
        <f>$H$512*$Y$512</f>
        <v>82.234999999999999</v>
      </c>
      <c r="AT512">
        <f>$H$512*$Z$512</f>
        <v>82.234999999999999</v>
      </c>
      <c r="AU512">
        <f>$H$512*$AA$512</f>
        <v>164.47</v>
      </c>
      <c r="AV512">
        <f>$H$512*$AB$512</f>
        <v>164.47</v>
      </c>
      <c r="AW512">
        <f>$H$512*$AC$512</f>
        <v>164.47</v>
      </c>
      <c r="AX512">
        <f>$H$512*$AD$512</f>
        <v>164.47</v>
      </c>
      <c r="AY512">
        <f>$H$512*$AE$512</f>
        <v>164.47</v>
      </c>
      <c r="AZ512">
        <f>$H$512*$AF$512</f>
        <v>164.47</v>
      </c>
    </row>
    <row r="513" spans="1:52" x14ac:dyDescent="0.25">
      <c r="A513">
        <v>578</v>
      </c>
      <c r="B513" t="s">
        <v>6</v>
      </c>
      <c r="C513" t="s">
        <v>285</v>
      </c>
      <c r="D513">
        <v>324</v>
      </c>
      <c r="E513">
        <v>1338.12</v>
      </c>
      <c r="F513" t="s">
        <v>275</v>
      </c>
      <c r="G513">
        <v>4.13</v>
      </c>
      <c r="H513">
        <v>1605.74</v>
      </c>
      <c r="I513" t="s">
        <v>286</v>
      </c>
      <c r="J513" t="s">
        <v>287</v>
      </c>
      <c r="K513" t="s">
        <v>388</v>
      </c>
      <c r="L513" t="s">
        <v>170</v>
      </c>
      <c r="M513" t="s">
        <v>6</v>
      </c>
      <c r="N513" t="s">
        <v>12</v>
      </c>
      <c r="O513" t="s">
        <v>6</v>
      </c>
      <c r="P513">
        <v>0</v>
      </c>
      <c r="Q513">
        <v>0</v>
      </c>
      <c r="R513">
        <v>0</v>
      </c>
      <c r="S513">
        <v>0.25</v>
      </c>
      <c r="T513">
        <v>0.25</v>
      </c>
      <c r="U513">
        <v>0.25</v>
      </c>
      <c r="V513">
        <v>0.25</v>
      </c>
      <c r="W513">
        <v>0.5</v>
      </c>
      <c r="X513">
        <v>0.5</v>
      </c>
      <c r="Y513">
        <v>0.5</v>
      </c>
      <c r="Z513">
        <v>0.5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6</v>
      </c>
      <c r="AH513" t="s">
        <v>12</v>
      </c>
      <c r="AI513" t="s">
        <v>6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401.435</v>
      </c>
      <c r="AN513">
        <f>$H$513*$T$513</f>
        <v>401.435</v>
      </c>
      <c r="AO513">
        <f>$H$513*$U$513</f>
        <v>401.435</v>
      </c>
      <c r="AP513">
        <f>$H$513*$V$513</f>
        <v>401.435</v>
      </c>
      <c r="AQ513">
        <f>$H$513*$W$513</f>
        <v>802.87</v>
      </c>
      <c r="AR513">
        <f>$H$513*$X$513</f>
        <v>802.87</v>
      </c>
      <c r="AS513">
        <f>$H$513*$Y$513</f>
        <v>802.87</v>
      </c>
      <c r="AT513">
        <f>$H$513*$Z$513</f>
        <v>802.87</v>
      </c>
      <c r="AU513">
        <f>$H$513*$AA$513</f>
        <v>1605.74</v>
      </c>
      <c r="AV513">
        <f>$H$513*$AB$513</f>
        <v>1605.74</v>
      </c>
      <c r="AW513">
        <f>$H$513*$AC$513</f>
        <v>1605.74</v>
      </c>
      <c r="AX513">
        <f>$H$513*$AD$513</f>
        <v>1605.74</v>
      </c>
      <c r="AY513">
        <f>$H$513*$AE$513</f>
        <v>1605.74</v>
      </c>
      <c r="AZ513">
        <f>$H$513*$AF$513</f>
        <v>1605.74</v>
      </c>
    </row>
    <row r="514" spans="1:52" x14ac:dyDescent="0.25">
      <c r="A514">
        <v>579</v>
      </c>
      <c r="B514" t="s">
        <v>6</v>
      </c>
      <c r="C514" t="s">
        <v>372</v>
      </c>
      <c r="D514">
        <v>36</v>
      </c>
      <c r="E514">
        <v>65.16</v>
      </c>
      <c r="F514" t="s">
        <v>262</v>
      </c>
      <c r="G514">
        <v>1.81</v>
      </c>
      <c r="H514">
        <v>78.2</v>
      </c>
      <c r="I514" t="s">
        <v>263</v>
      </c>
      <c r="J514" t="s">
        <v>373</v>
      </c>
      <c r="K514" t="s">
        <v>426</v>
      </c>
      <c r="L514" t="s">
        <v>170</v>
      </c>
      <c r="M514" t="s">
        <v>6</v>
      </c>
      <c r="N514" t="s">
        <v>12</v>
      </c>
      <c r="O514" t="s">
        <v>6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6</v>
      </c>
      <c r="AH514" t="s">
        <v>12</v>
      </c>
      <c r="AI514" t="s">
        <v>6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78.2</v>
      </c>
      <c r="AV514">
        <f>$H$514*$AB$514</f>
        <v>78.2</v>
      </c>
      <c r="AW514">
        <f>$H$514*$AC$514</f>
        <v>78.2</v>
      </c>
      <c r="AX514">
        <f>$H$514*$AD$514</f>
        <v>78.2</v>
      </c>
      <c r="AY514">
        <f>$H$514*$AE$514</f>
        <v>78.2</v>
      </c>
      <c r="AZ514">
        <f>$H$514*$AF$514</f>
        <v>78.2</v>
      </c>
    </row>
    <row r="515" spans="1:52" x14ac:dyDescent="0.25">
      <c r="A515">
        <v>580</v>
      </c>
      <c r="B515" t="s">
        <v>6</v>
      </c>
      <c r="C515" t="s">
        <v>374</v>
      </c>
      <c r="D515">
        <v>36</v>
      </c>
      <c r="E515">
        <v>314.64</v>
      </c>
      <c r="F515" t="s">
        <v>262</v>
      </c>
      <c r="G515">
        <v>8.74</v>
      </c>
      <c r="H515">
        <v>377.56</v>
      </c>
      <c r="I515" t="s">
        <v>264</v>
      </c>
      <c r="J515" t="s">
        <v>375</v>
      </c>
      <c r="K515" t="s">
        <v>427</v>
      </c>
      <c r="L515" t="s">
        <v>170</v>
      </c>
      <c r="M515" t="s">
        <v>6</v>
      </c>
      <c r="N515" t="s">
        <v>12</v>
      </c>
      <c r="O515" t="s">
        <v>6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6</v>
      </c>
      <c r="AH515" t="s">
        <v>12</v>
      </c>
      <c r="AI515" t="s">
        <v>6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377.56</v>
      </c>
      <c r="AV515">
        <f>$H$515*$AB$515</f>
        <v>377.56</v>
      </c>
      <c r="AW515">
        <f>$H$515*$AC$515</f>
        <v>377.56</v>
      </c>
      <c r="AX515">
        <f>$H$515*$AD$515</f>
        <v>377.56</v>
      </c>
      <c r="AY515">
        <f>$H$515*$AE$515</f>
        <v>377.56</v>
      </c>
      <c r="AZ515">
        <f>$H$515*$AF$515</f>
        <v>377.56</v>
      </c>
    </row>
    <row r="516" spans="1:52" x14ac:dyDescent="0.25">
      <c r="A516">
        <v>581</v>
      </c>
      <c r="B516" t="s">
        <v>6</v>
      </c>
      <c r="C516" t="s">
        <v>342</v>
      </c>
      <c r="D516">
        <v>36</v>
      </c>
      <c r="E516">
        <v>95.04</v>
      </c>
      <c r="F516" t="s">
        <v>262</v>
      </c>
      <c r="G516">
        <v>2.64</v>
      </c>
      <c r="H516">
        <v>114.04</v>
      </c>
      <c r="I516" t="s">
        <v>263</v>
      </c>
      <c r="J516" t="s">
        <v>343</v>
      </c>
      <c r="K516" t="s">
        <v>412</v>
      </c>
      <c r="L516" t="s">
        <v>170</v>
      </c>
      <c r="M516" t="s">
        <v>6</v>
      </c>
      <c r="N516" t="s">
        <v>12</v>
      </c>
      <c r="O516" t="s">
        <v>6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6</v>
      </c>
      <c r="AH516" t="s">
        <v>12</v>
      </c>
      <c r="AI516" t="s">
        <v>6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114.04</v>
      </c>
      <c r="AN516">
        <f>$H$516*$T$516</f>
        <v>114.04</v>
      </c>
      <c r="AO516">
        <f>$H$516*$U$516</f>
        <v>114.04</v>
      </c>
      <c r="AP516">
        <f>$H$516*$V$516</f>
        <v>114.04</v>
      </c>
      <c r="AQ516">
        <f>$H$516*$W$516</f>
        <v>114.04</v>
      </c>
      <c r="AR516">
        <f>$H$516*$X$516</f>
        <v>114.04</v>
      </c>
      <c r="AS516">
        <f>$H$516*$Y$516</f>
        <v>114.04</v>
      </c>
      <c r="AT516">
        <f>$H$516*$Z$516</f>
        <v>114.04</v>
      </c>
      <c r="AU516">
        <f>$H$516*$AA$516</f>
        <v>114.04</v>
      </c>
      <c r="AV516">
        <f>$H$516*$AB$516</f>
        <v>114.04</v>
      </c>
      <c r="AW516">
        <f>$H$516*$AC$516</f>
        <v>114.04</v>
      </c>
      <c r="AX516">
        <f>$H$516*$AD$516</f>
        <v>114.04</v>
      </c>
      <c r="AY516">
        <f>$H$516*$AE$516</f>
        <v>114.04</v>
      </c>
      <c r="AZ516">
        <f>$H$516*$AF$516</f>
        <v>114.04</v>
      </c>
    </row>
    <row r="517" spans="1:52" x14ac:dyDescent="0.25">
      <c r="A517">
        <v>582</v>
      </c>
      <c r="B517" t="s">
        <v>6</v>
      </c>
      <c r="C517" t="s">
        <v>344</v>
      </c>
      <c r="D517">
        <v>36</v>
      </c>
      <c r="E517">
        <v>222.84</v>
      </c>
      <c r="F517" t="s">
        <v>262</v>
      </c>
      <c r="G517">
        <v>6.19</v>
      </c>
      <c r="H517">
        <v>267.39999999999998</v>
      </c>
      <c r="I517" t="s">
        <v>264</v>
      </c>
      <c r="J517" t="s">
        <v>345</v>
      </c>
      <c r="K517" t="s">
        <v>413</v>
      </c>
      <c r="L517" t="s">
        <v>170</v>
      </c>
      <c r="M517" t="s">
        <v>6</v>
      </c>
      <c r="N517" t="s">
        <v>12</v>
      </c>
      <c r="O517" t="s">
        <v>6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6</v>
      </c>
      <c r="AH517" t="s">
        <v>12</v>
      </c>
      <c r="AI517" t="s">
        <v>6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267.39999999999998</v>
      </c>
      <c r="AN517">
        <f>$H$517*$T$517</f>
        <v>267.39999999999998</v>
      </c>
      <c r="AO517">
        <f>$H$517*$U$517</f>
        <v>267.39999999999998</v>
      </c>
      <c r="AP517">
        <f>$H$517*$V$517</f>
        <v>267.39999999999998</v>
      </c>
      <c r="AQ517">
        <f>$H$517*$W$517</f>
        <v>267.39999999999998</v>
      </c>
      <c r="AR517">
        <f>$H$517*$X$517</f>
        <v>267.39999999999998</v>
      </c>
      <c r="AS517">
        <f>$H$517*$Y$517</f>
        <v>267.39999999999998</v>
      </c>
      <c r="AT517">
        <f>$H$517*$Z$517</f>
        <v>267.39999999999998</v>
      </c>
      <c r="AU517">
        <f>$H$517*$AA$517</f>
        <v>267.39999999999998</v>
      </c>
      <c r="AV517">
        <f>$H$517*$AB$517</f>
        <v>267.39999999999998</v>
      </c>
      <c r="AW517">
        <f>$H$517*$AC$517</f>
        <v>267.39999999999998</v>
      </c>
      <c r="AX517">
        <f>$H$517*$AD$517</f>
        <v>267.39999999999998</v>
      </c>
      <c r="AY517">
        <f>$H$517*$AE$517</f>
        <v>267.39999999999998</v>
      </c>
      <c r="AZ517">
        <f>$H$517*$AF$517</f>
        <v>267.39999999999998</v>
      </c>
    </row>
    <row r="518" spans="1:52" x14ac:dyDescent="0.25">
      <c r="A518">
        <v>583</v>
      </c>
      <c r="B518" t="s">
        <v>6</v>
      </c>
      <c r="C518" t="s">
        <v>285</v>
      </c>
      <c r="D518">
        <v>66.31</v>
      </c>
      <c r="E518">
        <v>273.86</v>
      </c>
      <c r="F518" t="s">
        <v>275</v>
      </c>
      <c r="G518">
        <v>4.13</v>
      </c>
      <c r="H518">
        <v>328.64</v>
      </c>
      <c r="I518" t="s">
        <v>286</v>
      </c>
      <c r="J518" t="s">
        <v>287</v>
      </c>
      <c r="K518" t="s">
        <v>388</v>
      </c>
      <c r="L518" t="s">
        <v>170</v>
      </c>
      <c r="M518" t="s">
        <v>6</v>
      </c>
      <c r="N518" t="s">
        <v>12</v>
      </c>
      <c r="O518" t="s">
        <v>6</v>
      </c>
      <c r="P518">
        <v>0</v>
      </c>
      <c r="Q518">
        <v>0</v>
      </c>
      <c r="R518">
        <v>0</v>
      </c>
      <c r="S518">
        <v>0.25</v>
      </c>
      <c r="T518">
        <v>0.25</v>
      </c>
      <c r="U518">
        <v>0.25</v>
      </c>
      <c r="V518">
        <v>0.25</v>
      </c>
      <c r="W518">
        <v>0.5</v>
      </c>
      <c r="X518">
        <v>0.5</v>
      </c>
      <c r="Y518">
        <v>0.5</v>
      </c>
      <c r="Z518">
        <v>0.5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6</v>
      </c>
      <c r="AH518" t="s">
        <v>12</v>
      </c>
      <c r="AI518" t="s">
        <v>6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82.16</v>
      </c>
      <c r="AN518">
        <f>$H$518*$T$518</f>
        <v>82.16</v>
      </c>
      <c r="AO518">
        <f>$H$518*$U$518</f>
        <v>82.16</v>
      </c>
      <c r="AP518">
        <f>$H$518*$V$518</f>
        <v>82.16</v>
      </c>
      <c r="AQ518">
        <f>$H$518*$W$518</f>
        <v>164.32</v>
      </c>
      <c r="AR518">
        <f>$H$518*$X$518</f>
        <v>164.32</v>
      </c>
      <c r="AS518">
        <f>$H$518*$Y$518</f>
        <v>164.32</v>
      </c>
      <c r="AT518">
        <f>$H$518*$Z$518</f>
        <v>164.32</v>
      </c>
      <c r="AU518">
        <f>$H$518*$AA$518</f>
        <v>328.64</v>
      </c>
      <c r="AV518">
        <f>$H$518*$AB$518</f>
        <v>328.64</v>
      </c>
      <c r="AW518">
        <f>$H$518*$AC$518</f>
        <v>328.64</v>
      </c>
      <c r="AX518">
        <f>$H$518*$AD$518</f>
        <v>328.64</v>
      </c>
      <c r="AY518">
        <f>$H$518*$AE$518</f>
        <v>328.64</v>
      </c>
      <c r="AZ518">
        <f>$H$518*$AF$518</f>
        <v>328.64</v>
      </c>
    </row>
    <row r="519" spans="1:52" x14ac:dyDescent="0.25">
      <c r="A519">
        <v>584</v>
      </c>
      <c r="B519" t="s">
        <v>6</v>
      </c>
      <c r="C519" t="s">
        <v>340</v>
      </c>
      <c r="D519">
        <v>66.31</v>
      </c>
      <c r="E519">
        <v>70.290000000000006</v>
      </c>
      <c r="F519" t="s">
        <v>275</v>
      </c>
      <c r="G519">
        <v>1.06</v>
      </c>
      <c r="H519">
        <v>84.35</v>
      </c>
      <c r="I519" t="s">
        <v>263</v>
      </c>
      <c r="J519" t="s">
        <v>341</v>
      </c>
      <c r="K519" t="s">
        <v>411</v>
      </c>
      <c r="L519" t="s">
        <v>170</v>
      </c>
      <c r="M519" t="s">
        <v>6</v>
      </c>
      <c r="N519" t="s">
        <v>12</v>
      </c>
      <c r="O519" t="s">
        <v>6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1</v>
      </c>
      <c r="AE519">
        <v>1</v>
      </c>
      <c r="AF519">
        <v>1</v>
      </c>
      <c r="AG519" t="s">
        <v>6</v>
      </c>
      <c r="AH519" t="s">
        <v>12</v>
      </c>
      <c r="AI519" t="s">
        <v>6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0</v>
      </c>
      <c r="AW519">
        <f>$H$519*$AC$519</f>
        <v>0</v>
      </c>
      <c r="AX519">
        <f>$H$519*$AD$519</f>
        <v>84.35</v>
      </c>
      <c r="AY519">
        <f>$H$519*$AE$519</f>
        <v>84.35</v>
      </c>
      <c r="AZ519">
        <f>$H$519*$AF$519</f>
        <v>84.35</v>
      </c>
    </row>
    <row r="520" spans="1:52" x14ac:dyDescent="0.25">
      <c r="A520">
        <v>585</v>
      </c>
      <c r="B520" t="s">
        <v>6</v>
      </c>
      <c r="C520" t="s">
        <v>346</v>
      </c>
      <c r="D520">
        <v>66.31</v>
      </c>
      <c r="E520">
        <v>74.27</v>
      </c>
      <c r="F520" t="s">
        <v>275</v>
      </c>
      <c r="G520">
        <v>1.1200000000000001</v>
      </c>
      <c r="H520">
        <v>89.13</v>
      </c>
      <c r="I520" t="s">
        <v>263</v>
      </c>
      <c r="J520" t="s">
        <v>347</v>
      </c>
      <c r="K520" t="s">
        <v>414</v>
      </c>
      <c r="L520" t="s">
        <v>170</v>
      </c>
      <c r="M520" t="s">
        <v>6</v>
      </c>
      <c r="N520" t="s">
        <v>12</v>
      </c>
      <c r="O520" t="s">
        <v>6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6</v>
      </c>
      <c r="AH520" t="s">
        <v>12</v>
      </c>
      <c r="AI520" t="s">
        <v>6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89.13</v>
      </c>
      <c r="AN520">
        <f>$H$520*$T$520</f>
        <v>89.13</v>
      </c>
      <c r="AO520">
        <f>$H$520*$U$520</f>
        <v>89.13</v>
      </c>
      <c r="AP520">
        <f>$H$520*$V$520</f>
        <v>89.13</v>
      </c>
      <c r="AQ520">
        <f>$H$520*$W$520</f>
        <v>89.13</v>
      </c>
      <c r="AR520">
        <f>$H$520*$X$520</f>
        <v>89.13</v>
      </c>
      <c r="AS520">
        <f>$H$520*$Y$520</f>
        <v>89.13</v>
      </c>
      <c r="AT520">
        <f>$H$520*$Z$520</f>
        <v>89.13</v>
      </c>
      <c r="AU520">
        <f>$H$520*$AA$520</f>
        <v>89.13</v>
      </c>
      <c r="AV520">
        <f>$H$520*$AB$520</f>
        <v>89.13</v>
      </c>
      <c r="AW520">
        <f>$H$520*$AC$520</f>
        <v>89.13</v>
      </c>
      <c r="AX520">
        <f>$H$520*$AD$520</f>
        <v>89.13</v>
      </c>
      <c r="AY520">
        <f>$H$520*$AE$520</f>
        <v>89.13</v>
      </c>
      <c r="AZ520">
        <f>$H$520*$AF$520</f>
        <v>89.13</v>
      </c>
    </row>
    <row r="521" spans="1:52" x14ac:dyDescent="0.25">
      <c r="A521">
        <v>586</v>
      </c>
      <c r="B521" t="s">
        <v>6</v>
      </c>
      <c r="C521" t="s">
        <v>528</v>
      </c>
      <c r="D521">
        <v>13.26</v>
      </c>
      <c r="E521">
        <v>277.8</v>
      </c>
      <c r="F521" t="s">
        <v>275</v>
      </c>
      <c r="G521">
        <v>20.95</v>
      </c>
      <c r="H521">
        <v>333.36</v>
      </c>
      <c r="I521" t="s">
        <v>348</v>
      </c>
      <c r="J521" t="s">
        <v>529</v>
      </c>
      <c r="K521" t="s">
        <v>645</v>
      </c>
      <c r="L521" t="s">
        <v>170</v>
      </c>
      <c r="M521" t="s">
        <v>6</v>
      </c>
      <c r="N521" t="s">
        <v>12</v>
      </c>
      <c r="O521" t="s">
        <v>6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6</v>
      </c>
      <c r="AH521" t="s">
        <v>12</v>
      </c>
      <c r="AI521" t="s">
        <v>6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0</v>
      </c>
      <c r="AO521">
        <f>$H$521*$U$521</f>
        <v>0</v>
      </c>
      <c r="AP521">
        <f>$H$521*$V$521</f>
        <v>0</v>
      </c>
      <c r="AQ521">
        <f>$H$521*$W$521</f>
        <v>0</v>
      </c>
      <c r="AR521">
        <f>$H$521*$X$521</f>
        <v>0</v>
      </c>
      <c r="AS521">
        <f>$H$521*$Y$521</f>
        <v>333.36</v>
      </c>
      <c r="AT521">
        <f>$H$521*$Z$521</f>
        <v>333.36</v>
      </c>
      <c r="AU521">
        <f>$H$521*$AA$521</f>
        <v>333.36</v>
      </c>
      <c r="AV521">
        <f>$H$521*$AB$521</f>
        <v>333.36</v>
      </c>
      <c r="AW521">
        <f>$H$521*$AC$521</f>
        <v>333.36</v>
      </c>
      <c r="AX521">
        <f>$H$521*$AD$521</f>
        <v>333.36</v>
      </c>
      <c r="AY521">
        <f>$H$521*$AE$521</f>
        <v>333.36</v>
      </c>
      <c r="AZ521">
        <f>$H$521*$AF$521</f>
        <v>333.36</v>
      </c>
    </row>
    <row r="522" spans="1:52" x14ac:dyDescent="0.25">
      <c r="A522">
        <v>587</v>
      </c>
      <c r="B522" t="s">
        <v>6</v>
      </c>
      <c r="C522" t="s">
        <v>349</v>
      </c>
      <c r="D522">
        <v>26.52</v>
      </c>
      <c r="E522">
        <v>112.98</v>
      </c>
      <c r="F522" t="s">
        <v>275</v>
      </c>
      <c r="G522">
        <v>4.26</v>
      </c>
      <c r="H522">
        <v>135.58000000000001</v>
      </c>
      <c r="I522" t="s">
        <v>350</v>
      </c>
      <c r="J522" t="s">
        <v>351</v>
      </c>
      <c r="K522" t="s">
        <v>415</v>
      </c>
      <c r="L522" t="s">
        <v>170</v>
      </c>
      <c r="M522" t="s">
        <v>6</v>
      </c>
      <c r="N522" t="s">
        <v>12</v>
      </c>
      <c r="O522" t="s">
        <v>6</v>
      </c>
      <c r="P522">
        <v>0</v>
      </c>
      <c r="Q522">
        <v>0</v>
      </c>
      <c r="R522">
        <v>0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6</v>
      </c>
      <c r="AH522" t="s">
        <v>12</v>
      </c>
      <c r="AI522" t="s">
        <v>6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135.58000000000001</v>
      </c>
      <c r="AN522">
        <f>$H$522*$T$522</f>
        <v>135.58000000000001</v>
      </c>
      <c r="AO522">
        <f>$H$522*$U$522</f>
        <v>135.58000000000001</v>
      </c>
      <c r="AP522">
        <f>$H$522*$V$522</f>
        <v>135.58000000000001</v>
      </c>
      <c r="AQ522">
        <f>$H$522*$W$522</f>
        <v>135.58000000000001</v>
      </c>
      <c r="AR522">
        <f>$H$522*$X$522</f>
        <v>135.58000000000001</v>
      </c>
      <c r="AS522">
        <f>$H$522*$Y$522</f>
        <v>135.58000000000001</v>
      </c>
      <c r="AT522">
        <f>$H$522*$Z$522</f>
        <v>135.58000000000001</v>
      </c>
      <c r="AU522">
        <f>$H$522*$AA$522</f>
        <v>135.58000000000001</v>
      </c>
      <c r="AV522">
        <f>$H$522*$AB$522</f>
        <v>135.58000000000001</v>
      </c>
      <c r="AW522">
        <f>$H$522*$AC$522</f>
        <v>135.58000000000001</v>
      </c>
      <c r="AX522">
        <f>$H$522*$AD$522</f>
        <v>135.58000000000001</v>
      </c>
      <c r="AY522">
        <f>$H$522*$AE$522</f>
        <v>135.58000000000001</v>
      </c>
      <c r="AZ522">
        <f>$H$522*$AF$522</f>
        <v>135.58000000000001</v>
      </c>
    </row>
    <row r="523" spans="1:52" x14ac:dyDescent="0.25">
      <c r="A523">
        <v>588</v>
      </c>
      <c r="B523" t="s">
        <v>6</v>
      </c>
      <c r="C523" t="s">
        <v>352</v>
      </c>
      <c r="D523">
        <v>26.52</v>
      </c>
      <c r="E523">
        <v>284.82</v>
      </c>
      <c r="F523" t="s">
        <v>275</v>
      </c>
      <c r="G523">
        <v>10.74</v>
      </c>
      <c r="H523">
        <v>341.78</v>
      </c>
      <c r="I523" t="s">
        <v>350</v>
      </c>
      <c r="J523" t="s">
        <v>293</v>
      </c>
      <c r="K523" t="s">
        <v>416</v>
      </c>
      <c r="L523" t="s">
        <v>170</v>
      </c>
      <c r="M523" t="s">
        <v>6</v>
      </c>
      <c r="N523" t="s">
        <v>12</v>
      </c>
      <c r="O523" t="s">
        <v>6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6</v>
      </c>
      <c r="AH523" t="s">
        <v>12</v>
      </c>
      <c r="AI523" t="s">
        <v>6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341.78</v>
      </c>
      <c r="AN523">
        <f>$H$523*$T$523</f>
        <v>341.78</v>
      </c>
      <c r="AO523">
        <f>$H$523*$U$523</f>
        <v>341.78</v>
      </c>
      <c r="AP523">
        <f>$H$523*$V$523</f>
        <v>341.78</v>
      </c>
      <c r="AQ523">
        <f>$H$523*$W$523</f>
        <v>341.78</v>
      </c>
      <c r="AR523">
        <f>$H$523*$X$523</f>
        <v>341.78</v>
      </c>
      <c r="AS523">
        <f>$H$523*$Y$523</f>
        <v>341.78</v>
      </c>
      <c r="AT523">
        <f>$H$523*$Z$523</f>
        <v>341.78</v>
      </c>
      <c r="AU523">
        <f>$H$523*$AA$523</f>
        <v>341.78</v>
      </c>
      <c r="AV523">
        <f>$H$523*$AB$523</f>
        <v>341.78</v>
      </c>
      <c r="AW523">
        <f>$H$523*$AC$523</f>
        <v>341.78</v>
      </c>
      <c r="AX523">
        <f>$H$523*$AD$523</f>
        <v>341.78</v>
      </c>
      <c r="AY523">
        <f>$H$523*$AE$523</f>
        <v>341.78</v>
      </c>
      <c r="AZ523">
        <f>$H$523*$AF$523</f>
        <v>341.78</v>
      </c>
    </row>
    <row r="524" spans="1:52" x14ac:dyDescent="0.25">
      <c r="A524">
        <v>589</v>
      </c>
      <c r="B524" t="s">
        <v>6</v>
      </c>
      <c r="C524" t="s">
        <v>530</v>
      </c>
      <c r="D524">
        <v>30.5</v>
      </c>
      <c r="E524">
        <v>32.33</v>
      </c>
      <c r="F524" t="s">
        <v>275</v>
      </c>
      <c r="G524">
        <v>1.06</v>
      </c>
      <c r="H524">
        <v>38.79</v>
      </c>
      <c r="I524" t="s">
        <v>353</v>
      </c>
      <c r="J524" t="s">
        <v>531</v>
      </c>
      <c r="K524" t="s">
        <v>646</v>
      </c>
      <c r="L524" t="s">
        <v>170</v>
      </c>
      <c r="M524" t="s">
        <v>6</v>
      </c>
      <c r="N524" t="s">
        <v>12</v>
      </c>
      <c r="O524" t="s">
        <v>6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6</v>
      </c>
      <c r="AH524" t="s">
        <v>12</v>
      </c>
      <c r="AI524" t="s">
        <v>6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38.79</v>
      </c>
      <c r="AN524">
        <f>$H$524*$T$524</f>
        <v>38.79</v>
      </c>
      <c r="AO524">
        <f>$H$524*$U$524</f>
        <v>38.79</v>
      </c>
      <c r="AP524">
        <f>$H$524*$V$524</f>
        <v>38.79</v>
      </c>
      <c r="AQ524">
        <f>$H$524*$W$524</f>
        <v>38.79</v>
      </c>
      <c r="AR524">
        <f>$H$524*$X$524</f>
        <v>38.79</v>
      </c>
      <c r="AS524">
        <f>$H$524*$Y$524</f>
        <v>38.79</v>
      </c>
      <c r="AT524">
        <f>$H$524*$Z$524</f>
        <v>38.79</v>
      </c>
      <c r="AU524">
        <f>$H$524*$AA$524</f>
        <v>38.79</v>
      </c>
      <c r="AV524">
        <f>$H$524*$AB$524</f>
        <v>38.79</v>
      </c>
      <c r="AW524">
        <f>$H$524*$AC$524</f>
        <v>38.79</v>
      </c>
      <c r="AX524">
        <f>$H$524*$AD$524</f>
        <v>38.79</v>
      </c>
      <c r="AY524">
        <f>$H$524*$AE$524</f>
        <v>38.79</v>
      </c>
      <c r="AZ524">
        <f>$H$524*$AF$524</f>
        <v>38.79</v>
      </c>
    </row>
    <row r="525" spans="1:52" x14ac:dyDescent="0.25">
      <c r="A525">
        <v>590</v>
      </c>
      <c r="B525" t="s">
        <v>6</v>
      </c>
      <c r="C525" t="s">
        <v>532</v>
      </c>
      <c r="D525">
        <v>30.5</v>
      </c>
      <c r="E525">
        <v>263.22000000000003</v>
      </c>
      <c r="F525" t="s">
        <v>275</v>
      </c>
      <c r="G525">
        <v>8.6300000000000008</v>
      </c>
      <c r="H525">
        <v>315.86</v>
      </c>
      <c r="I525" t="s">
        <v>353</v>
      </c>
      <c r="J525" t="s">
        <v>529</v>
      </c>
      <c r="K525" t="s">
        <v>647</v>
      </c>
      <c r="L525" t="s">
        <v>170</v>
      </c>
      <c r="M525" t="s">
        <v>6</v>
      </c>
      <c r="N525" t="s">
        <v>12</v>
      </c>
      <c r="O525" t="s">
        <v>6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6</v>
      </c>
      <c r="AH525" t="s">
        <v>12</v>
      </c>
      <c r="AI525" t="s">
        <v>6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315.86</v>
      </c>
      <c r="AN525">
        <f>$H$525*$T$525</f>
        <v>315.86</v>
      </c>
      <c r="AO525">
        <f>$H$525*$U$525</f>
        <v>315.86</v>
      </c>
      <c r="AP525">
        <f>$H$525*$V$525</f>
        <v>315.86</v>
      </c>
      <c r="AQ525">
        <f>$H$525*$W$525</f>
        <v>315.86</v>
      </c>
      <c r="AR525">
        <f>$H$525*$X$525</f>
        <v>315.86</v>
      </c>
      <c r="AS525">
        <f>$H$525*$Y$525</f>
        <v>315.86</v>
      </c>
      <c r="AT525">
        <f>$H$525*$Z$525</f>
        <v>315.86</v>
      </c>
      <c r="AU525">
        <f>$H$525*$AA$525</f>
        <v>315.86</v>
      </c>
      <c r="AV525">
        <f>$H$525*$AB$525</f>
        <v>315.86</v>
      </c>
      <c r="AW525">
        <f>$H$525*$AC$525</f>
        <v>315.86</v>
      </c>
      <c r="AX525">
        <f>$H$525*$AD$525</f>
        <v>315.86</v>
      </c>
      <c r="AY525">
        <f>$H$525*$AE$525</f>
        <v>315.86</v>
      </c>
      <c r="AZ525">
        <f>$H$525*$AF$525</f>
        <v>315.86</v>
      </c>
    </row>
    <row r="526" spans="1:52" x14ac:dyDescent="0.25">
      <c r="A526">
        <v>591</v>
      </c>
      <c r="B526" t="s">
        <v>471</v>
      </c>
      <c r="C526" t="s">
        <v>324</v>
      </c>
      <c r="D526">
        <v>5</v>
      </c>
      <c r="E526">
        <v>80.400000000000006</v>
      </c>
      <c r="F526" t="s">
        <v>265</v>
      </c>
      <c r="G526">
        <v>16.079999999999998</v>
      </c>
      <c r="H526">
        <v>96.48</v>
      </c>
      <c r="I526" t="s">
        <v>267</v>
      </c>
      <c r="J526" t="s">
        <v>325</v>
      </c>
      <c r="K526" t="s">
        <v>404</v>
      </c>
      <c r="L526" t="s">
        <v>170</v>
      </c>
      <c r="M526" t="s">
        <v>471</v>
      </c>
      <c r="N526" t="s">
        <v>12</v>
      </c>
      <c r="O526" t="s">
        <v>472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471</v>
      </c>
      <c r="AH526" t="s">
        <v>12</v>
      </c>
      <c r="AI526" t="s">
        <v>472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96.48</v>
      </c>
      <c r="AS526">
        <f>$H$526*$Y$526</f>
        <v>96.48</v>
      </c>
      <c r="AT526">
        <f>$H$526*$Z$526</f>
        <v>96.48</v>
      </c>
      <c r="AU526">
        <f>$H$526*$AA$526</f>
        <v>96.48</v>
      </c>
      <c r="AV526">
        <f>$H$526*$AB$526</f>
        <v>96.48</v>
      </c>
      <c r="AW526">
        <f>$H$526*$AC$526</f>
        <v>96.48</v>
      </c>
      <c r="AX526">
        <f>$H$526*$AD$526</f>
        <v>96.48</v>
      </c>
      <c r="AY526">
        <f>$H$526*$AE$526</f>
        <v>96.48</v>
      </c>
      <c r="AZ526">
        <f>$H$526*$AF$526</f>
        <v>96.48</v>
      </c>
    </row>
    <row r="527" spans="1:52" x14ac:dyDescent="0.25">
      <c r="A527">
        <v>592</v>
      </c>
      <c r="B527" t="s">
        <v>471</v>
      </c>
      <c r="C527" t="s">
        <v>525</v>
      </c>
      <c r="D527">
        <v>1</v>
      </c>
      <c r="E527">
        <v>109.28</v>
      </c>
      <c r="F527" t="s">
        <v>265</v>
      </c>
      <c r="G527">
        <v>109.28</v>
      </c>
      <c r="H527">
        <v>131.13999999999999</v>
      </c>
      <c r="I527" t="s">
        <v>270</v>
      </c>
      <c r="J527" t="s">
        <v>293</v>
      </c>
      <c r="K527" t="s">
        <v>643</v>
      </c>
      <c r="L527" t="s">
        <v>170</v>
      </c>
      <c r="M527" t="s">
        <v>471</v>
      </c>
      <c r="N527" t="s">
        <v>12</v>
      </c>
      <c r="O527" t="s">
        <v>472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1</v>
      </c>
      <c r="AE527">
        <v>1</v>
      </c>
      <c r="AF527">
        <v>1</v>
      </c>
      <c r="AG527" t="s">
        <v>471</v>
      </c>
      <c r="AH527" t="s">
        <v>12</v>
      </c>
      <c r="AI527" t="s">
        <v>472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0</v>
      </c>
      <c r="AN527">
        <f>$H$527*$T$527</f>
        <v>0</v>
      </c>
      <c r="AO527">
        <f>$H$527*$U$527</f>
        <v>0</v>
      </c>
      <c r="AP527">
        <f>$H$527*$V$527</f>
        <v>0</v>
      </c>
      <c r="AQ527">
        <f>$H$527*$W$527</f>
        <v>0</v>
      </c>
      <c r="AR527">
        <f>$H$527*$X$527</f>
        <v>0</v>
      </c>
      <c r="AS527">
        <f>$H$527*$Y$527</f>
        <v>0</v>
      </c>
      <c r="AT527">
        <f>$H$527*$Z$527</f>
        <v>0</v>
      </c>
      <c r="AU527">
        <f>$H$527*$AA$527</f>
        <v>0</v>
      </c>
      <c r="AV527">
        <f>$H$527*$AB$527</f>
        <v>0</v>
      </c>
      <c r="AW527">
        <f>$H$527*$AC$527</f>
        <v>0</v>
      </c>
      <c r="AX527">
        <f>$H$527*$AD$527</f>
        <v>131.13999999999999</v>
      </c>
      <c r="AY527">
        <f>$H$527*$AE$527</f>
        <v>131.13999999999999</v>
      </c>
      <c r="AZ527">
        <f>$H$527*$AF$527</f>
        <v>131.13999999999999</v>
      </c>
    </row>
    <row r="528" spans="1:52" x14ac:dyDescent="0.25">
      <c r="A528">
        <v>593</v>
      </c>
      <c r="B528" t="s">
        <v>471</v>
      </c>
      <c r="C528" t="s">
        <v>335</v>
      </c>
      <c r="D528">
        <v>20.53</v>
      </c>
      <c r="E528">
        <v>78.63</v>
      </c>
      <c r="F528" t="s">
        <v>262</v>
      </c>
      <c r="G528">
        <v>3.83</v>
      </c>
      <c r="H528">
        <v>94.35</v>
      </c>
      <c r="I528" t="s">
        <v>336</v>
      </c>
      <c r="J528" t="s">
        <v>337</v>
      </c>
      <c r="K528" t="s">
        <v>409</v>
      </c>
      <c r="L528" t="s">
        <v>170</v>
      </c>
      <c r="M528" t="s">
        <v>471</v>
      </c>
      <c r="N528" t="s">
        <v>12</v>
      </c>
      <c r="O528" t="s">
        <v>472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471</v>
      </c>
      <c r="AH528" t="s">
        <v>12</v>
      </c>
      <c r="AI528" t="s">
        <v>472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94.35</v>
      </c>
      <c r="AV528">
        <f>$H$528*$AB$528</f>
        <v>94.35</v>
      </c>
      <c r="AW528">
        <f>$H$528*$AC$528</f>
        <v>94.35</v>
      </c>
      <c r="AX528">
        <f>$H$528*$AD$528</f>
        <v>94.35</v>
      </c>
      <c r="AY528">
        <f>$H$528*$AE$528</f>
        <v>94.35</v>
      </c>
      <c r="AZ528">
        <f>$H$528*$AF$528</f>
        <v>94.35</v>
      </c>
    </row>
    <row r="529" spans="1:52" x14ac:dyDescent="0.25">
      <c r="A529">
        <v>594</v>
      </c>
      <c r="B529" t="s">
        <v>471</v>
      </c>
      <c r="C529" t="s">
        <v>338</v>
      </c>
      <c r="D529">
        <v>184.8</v>
      </c>
      <c r="E529">
        <v>611.69000000000005</v>
      </c>
      <c r="F529" t="s">
        <v>275</v>
      </c>
      <c r="G529">
        <v>3.31</v>
      </c>
      <c r="H529">
        <v>734.03</v>
      </c>
      <c r="I529" t="s">
        <v>336</v>
      </c>
      <c r="J529" t="s">
        <v>339</v>
      </c>
      <c r="K529" t="s">
        <v>410</v>
      </c>
      <c r="L529" t="s">
        <v>170</v>
      </c>
      <c r="M529" t="s">
        <v>471</v>
      </c>
      <c r="N529" t="s">
        <v>12</v>
      </c>
      <c r="O529" t="s">
        <v>472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471</v>
      </c>
      <c r="AH529" t="s">
        <v>12</v>
      </c>
      <c r="AI529" t="s">
        <v>472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734.03</v>
      </c>
      <c r="AN529">
        <f>$H$529*$T$529</f>
        <v>734.03</v>
      </c>
      <c r="AO529">
        <f>$H$529*$U$529</f>
        <v>734.03</v>
      </c>
      <c r="AP529">
        <f>$H$529*$V$529</f>
        <v>734.03</v>
      </c>
      <c r="AQ529">
        <f>$H$529*$W$529</f>
        <v>734.03</v>
      </c>
      <c r="AR529">
        <f>$H$529*$X$529</f>
        <v>734.03</v>
      </c>
      <c r="AS529">
        <f>$H$529*$Y$529</f>
        <v>734.03</v>
      </c>
      <c r="AT529">
        <f>$H$529*$Z$529</f>
        <v>734.03</v>
      </c>
      <c r="AU529">
        <f>$H$529*$AA$529</f>
        <v>734.03</v>
      </c>
      <c r="AV529">
        <f>$H$529*$AB$529</f>
        <v>734.03</v>
      </c>
      <c r="AW529">
        <f>$H$529*$AC$529</f>
        <v>734.03</v>
      </c>
      <c r="AX529">
        <f>$H$529*$AD$529</f>
        <v>734.03</v>
      </c>
      <c r="AY529">
        <f>$H$529*$AE$529</f>
        <v>734.03</v>
      </c>
      <c r="AZ529">
        <f>$H$529*$AF$529</f>
        <v>734.03</v>
      </c>
    </row>
    <row r="530" spans="1:52" x14ac:dyDescent="0.25">
      <c r="A530">
        <v>595</v>
      </c>
      <c r="B530" t="s">
        <v>471</v>
      </c>
      <c r="C530" t="s">
        <v>340</v>
      </c>
      <c r="D530">
        <v>184.8</v>
      </c>
      <c r="E530">
        <v>195.89</v>
      </c>
      <c r="F530" t="s">
        <v>275</v>
      </c>
      <c r="G530">
        <v>1.06</v>
      </c>
      <c r="H530">
        <v>235.07</v>
      </c>
      <c r="I530" t="s">
        <v>263</v>
      </c>
      <c r="J530" t="s">
        <v>341</v>
      </c>
      <c r="K530" t="s">
        <v>411</v>
      </c>
      <c r="L530" t="s">
        <v>170</v>
      </c>
      <c r="M530" t="s">
        <v>471</v>
      </c>
      <c r="N530" t="s">
        <v>12</v>
      </c>
      <c r="O530" t="s">
        <v>472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1</v>
      </c>
      <c r="AE530">
        <v>1</v>
      </c>
      <c r="AF530">
        <v>1</v>
      </c>
      <c r="AG530" t="s">
        <v>471</v>
      </c>
      <c r="AH530" t="s">
        <v>12</v>
      </c>
      <c r="AI530" t="s">
        <v>472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0</v>
      </c>
      <c r="AS530">
        <f>$H$530*$Y$530</f>
        <v>0</v>
      </c>
      <c r="AT530">
        <f>$H$530*$Z$530</f>
        <v>0</v>
      </c>
      <c r="AU530">
        <f>$H$530*$AA$530</f>
        <v>0</v>
      </c>
      <c r="AV530">
        <f>$H$530*$AB$530</f>
        <v>0</v>
      </c>
      <c r="AW530">
        <f>$H$530*$AC$530</f>
        <v>0</v>
      </c>
      <c r="AX530">
        <f>$H$530*$AD$530</f>
        <v>235.07</v>
      </c>
      <c r="AY530">
        <f>$H$530*$AE$530</f>
        <v>235.07</v>
      </c>
      <c r="AZ530">
        <f>$H$530*$AF$530</f>
        <v>235.07</v>
      </c>
    </row>
    <row r="531" spans="1:52" x14ac:dyDescent="0.25">
      <c r="A531">
        <v>596</v>
      </c>
      <c r="B531" t="s">
        <v>471</v>
      </c>
      <c r="C531" t="s">
        <v>283</v>
      </c>
      <c r="D531">
        <v>231</v>
      </c>
      <c r="E531">
        <v>374.22</v>
      </c>
      <c r="F531" t="s">
        <v>275</v>
      </c>
      <c r="G531">
        <v>1.62</v>
      </c>
      <c r="H531">
        <v>449.06</v>
      </c>
      <c r="I531" t="s">
        <v>263</v>
      </c>
      <c r="J531" t="s">
        <v>284</v>
      </c>
      <c r="K531" t="s">
        <v>387</v>
      </c>
      <c r="L531" t="s">
        <v>170</v>
      </c>
      <c r="M531" t="s">
        <v>471</v>
      </c>
      <c r="N531" t="s">
        <v>12</v>
      </c>
      <c r="O531" t="s">
        <v>472</v>
      </c>
      <c r="P531">
        <v>0</v>
      </c>
      <c r="Q531">
        <v>0</v>
      </c>
      <c r="R531">
        <v>0</v>
      </c>
      <c r="S531">
        <v>0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471</v>
      </c>
      <c r="AH531" t="s">
        <v>12</v>
      </c>
      <c r="AI531" t="s">
        <v>472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449.06</v>
      </c>
      <c r="AO531">
        <f>$H$531*$U$531</f>
        <v>449.06</v>
      </c>
      <c r="AP531">
        <f>$H$531*$V$531</f>
        <v>449.06</v>
      </c>
      <c r="AQ531">
        <f>$H$531*$W$531</f>
        <v>449.06</v>
      </c>
      <c r="AR531">
        <f>$H$531*$X$531</f>
        <v>449.06</v>
      </c>
      <c r="AS531">
        <f>$H$531*$Y$531</f>
        <v>449.06</v>
      </c>
      <c r="AT531">
        <f>$H$531*$Z$531</f>
        <v>449.06</v>
      </c>
      <c r="AU531">
        <f>$H$531*$AA$531</f>
        <v>449.06</v>
      </c>
      <c r="AV531">
        <f>$H$531*$AB$531</f>
        <v>449.06</v>
      </c>
      <c r="AW531">
        <f>$H$531*$AC$531</f>
        <v>449.06</v>
      </c>
      <c r="AX531">
        <f>$H$531*$AD$531</f>
        <v>449.06</v>
      </c>
      <c r="AY531">
        <f>$H$531*$AE$531</f>
        <v>449.06</v>
      </c>
      <c r="AZ531">
        <f>$H$531*$AF$531</f>
        <v>449.06</v>
      </c>
    </row>
    <row r="532" spans="1:52" x14ac:dyDescent="0.25">
      <c r="A532">
        <v>597</v>
      </c>
      <c r="B532" t="s">
        <v>471</v>
      </c>
      <c r="C532" t="s">
        <v>526</v>
      </c>
      <c r="D532">
        <v>46.2</v>
      </c>
      <c r="E532">
        <v>195.43</v>
      </c>
      <c r="F532" t="s">
        <v>275</v>
      </c>
      <c r="G532">
        <v>4.2300000000000004</v>
      </c>
      <c r="H532">
        <v>234.51</v>
      </c>
      <c r="I532" t="s">
        <v>527</v>
      </c>
      <c r="J532" t="s">
        <v>309</v>
      </c>
      <c r="K532" t="s">
        <v>644</v>
      </c>
      <c r="L532" t="s">
        <v>170</v>
      </c>
      <c r="M532" t="s">
        <v>471</v>
      </c>
      <c r="N532" t="s">
        <v>12</v>
      </c>
      <c r="O532" t="s">
        <v>472</v>
      </c>
      <c r="P532">
        <v>0</v>
      </c>
      <c r="Q532">
        <v>0</v>
      </c>
      <c r="R532">
        <v>0</v>
      </c>
      <c r="S532">
        <v>0.25</v>
      </c>
      <c r="T532">
        <v>0.25</v>
      </c>
      <c r="U532">
        <v>0.25</v>
      </c>
      <c r="V532">
        <v>0.25</v>
      </c>
      <c r="W532">
        <v>0.25</v>
      </c>
      <c r="X532">
        <v>0.5</v>
      </c>
      <c r="Y532">
        <v>0.5</v>
      </c>
      <c r="Z532">
        <v>0.5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471</v>
      </c>
      <c r="AH532" t="s">
        <v>12</v>
      </c>
      <c r="AI532" t="s">
        <v>472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58.627499999999998</v>
      </c>
      <c r="AN532">
        <f>$H$532*$T$532</f>
        <v>58.627499999999998</v>
      </c>
      <c r="AO532">
        <f>$H$532*$U$532</f>
        <v>58.627499999999998</v>
      </c>
      <c r="AP532">
        <f>$H$532*$V$532</f>
        <v>58.627499999999998</v>
      </c>
      <c r="AQ532">
        <f>$H$532*$W$532</f>
        <v>58.627499999999998</v>
      </c>
      <c r="AR532">
        <f>$H$532*$X$532</f>
        <v>117.255</v>
      </c>
      <c r="AS532">
        <f>$H$532*$Y$532</f>
        <v>117.255</v>
      </c>
      <c r="AT532">
        <f>$H$532*$Z$532</f>
        <v>117.255</v>
      </c>
      <c r="AU532">
        <f>$H$532*$AA$532</f>
        <v>234.51</v>
      </c>
      <c r="AV532">
        <f>$H$532*$AB$532</f>
        <v>234.51</v>
      </c>
      <c r="AW532">
        <f>$H$532*$AC$532</f>
        <v>234.51</v>
      </c>
      <c r="AX532">
        <f>$H$532*$AD$532</f>
        <v>234.51</v>
      </c>
      <c r="AY532">
        <f>$H$532*$AE$532</f>
        <v>234.51</v>
      </c>
      <c r="AZ532">
        <f>$H$532*$AF$532</f>
        <v>234.51</v>
      </c>
    </row>
    <row r="533" spans="1:52" x14ac:dyDescent="0.25">
      <c r="A533">
        <v>598</v>
      </c>
      <c r="B533" t="s">
        <v>471</v>
      </c>
      <c r="C533" t="s">
        <v>285</v>
      </c>
      <c r="D533">
        <v>462</v>
      </c>
      <c r="E533">
        <v>1908.06</v>
      </c>
      <c r="F533" t="s">
        <v>275</v>
      </c>
      <c r="G533">
        <v>4.13</v>
      </c>
      <c r="H533">
        <v>2289.6799999999998</v>
      </c>
      <c r="I533" t="s">
        <v>286</v>
      </c>
      <c r="J533" t="s">
        <v>287</v>
      </c>
      <c r="K533" t="s">
        <v>388</v>
      </c>
      <c r="L533" t="s">
        <v>170</v>
      </c>
      <c r="M533" t="s">
        <v>471</v>
      </c>
      <c r="N533" t="s">
        <v>12</v>
      </c>
      <c r="O533" t="s">
        <v>472</v>
      </c>
      <c r="P533">
        <v>0</v>
      </c>
      <c r="Q533">
        <v>0</v>
      </c>
      <c r="R533">
        <v>0</v>
      </c>
      <c r="S533">
        <v>0.25</v>
      </c>
      <c r="T533">
        <v>0.25</v>
      </c>
      <c r="U533">
        <v>0.25</v>
      </c>
      <c r="V533">
        <v>0.25</v>
      </c>
      <c r="W533">
        <v>0.5</v>
      </c>
      <c r="X533">
        <v>0.5</v>
      </c>
      <c r="Y533">
        <v>0.5</v>
      </c>
      <c r="Z533">
        <v>0.5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471</v>
      </c>
      <c r="AH533" t="s">
        <v>12</v>
      </c>
      <c r="AI533" t="s">
        <v>472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572.41999999999996</v>
      </c>
      <c r="AN533">
        <f>$H$533*$T$533</f>
        <v>572.41999999999996</v>
      </c>
      <c r="AO533">
        <f>$H$533*$U$533</f>
        <v>572.41999999999996</v>
      </c>
      <c r="AP533">
        <f>$H$533*$V$533</f>
        <v>572.41999999999996</v>
      </c>
      <c r="AQ533">
        <f>$H$533*$W$533</f>
        <v>1144.8399999999999</v>
      </c>
      <c r="AR533">
        <f>$H$533*$X$533</f>
        <v>1144.8399999999999</v>
      </c>
      <c r="AS533">
        <f>$H$533*$Y$533</f>
        <v>1144.8399999999999</v>
      </c>
      <c r="AT533">
        <f>$H$533*$Z$533</f>
        <v>1144.8399999999999</v>
      </c>
      <c r="AU533">
        <f>$H$533*$AA$533</f>
        <v>2289.6799999999998</v>
      </c>
      <c r="AV533">
        <f>$H$533*$AB$533</f>
        <v>2289.6799999999998</v>
      </c>
      <c r="AW533">
        <f>$H$533*$AC$533</f>
        <v>2289.6799999999998</v>
      </c>
      <c r="AX533">
        <f>$H$533*$AD$533</f>
        <v>2289.6799999999998</v>
      </c>
      <c r="AY533">
        <f>$H$533*$AE$533</f>
        <v>2289.6799999999998</v>
      </c>
      <c r="AZ533">
        <f>$H$533*$AF$533</f>
        <v>2289.6799999999998</v>
      </c>
    </row>
    <row r="534" spans="1:52" x14ac:dyDescent="0.25">
      <c r="A534">
        <v>599</v>
      </c>
      <c r="B534" t="s">
        <v>471</v>
      </c>
      <c r="C534" t="s">
        <v>372</v>
      </c>
      <c r="D534">
        <v>51.33</v>
      </c>
      <c r="E534">
        <v>92.91</v>
      </c>
      <c r="F534" t="s">
        <v>262</v>
      </c>
      <c r="G534">
        <v>1.81</v>
      </c>
      <c r="H534">
        <v>111.49</v>
      </c>
      <c r="I534" t="s">
        <v>263</v>
      </c>
      <c r="J534" t="s">
        <v>373</v>
      </c>
      <c r="K534" t="s">
        <v>426</v>
      </c>
      <c r="L534" t="s">
        <v>170</v>
      </c>
      <c r="M534" t="s">
        <v>471</v>
      </c>
      <c r="N534" t="s">
        <v>12</v>
      </c>
      <c r="O534" t="s">
        <v>472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471</v>
      </c>
      <c r="AH534" t="s">
        <v>12</v>
      </c>
      <c r="AI534" t="s">
        <v>472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0</v>
      </c>
      <c r="AS534">
        <f>$H$534*$Y$534</f>
        <v>0</v>
      </c>
      <c r="AT534">
        <f>$H$534*$Z$534</f>
        <v>0</v>
      </c>
      <c r="AU534">
        <f>$H$534*$AA$534</f>
        <v>111.49</v>
      </c>
      <c r="AV534">
        <f>$H$534*$AB$534</f>
        <v>111.49</v>
      </c>
      <c r="AW534">
        <f>$H$534*$AC$534</f>
        <v>111.49</v>
      </c>
      <c r="AX534">
        <f>$H$534*$AD$534</f>
        <v>111.49</v>
      </c>
      <c r="AY534">
        <f>$H$534*$AE$534</f>
        <v>111.49</v>
      </c>
      <c r="AZ534">
        <f>$H$534*$AF$534</f>
        <v>111.49</v>
      </c>
    </row>
    <row r="535" spans="1:52" x14ac:dyDescent="0.25">
      <c r="A535">
        <v>600</v>
      </c>
      <c r="B535" t="s">
        <v>471</v>
      </c>
      <c r="C535" t="s">
        <v>374</v>
      </c>
      <c r="D535">
        <v>51.33</v>
      </c>
      <c r="E535">
        <v>448.62</v>
      </c>
      <c r="F535" t="s">
        <v>262</v>
      </c>
      <c r="G535">
        <v>8.74</v>
      </c>
      <c r="H535">
        <v>538.34</v>
      </c>
      <c r="I535" t="s">
        <v>264</v>
      </c>
      <c r="J535" t="s">
        <v>375</v>
      </c>
      <c r="K535" t="s">
        <v>427</v>
      </c>
      <c r="L535" t="s">
        <v>170</v>
      </c>
      <c r="M535" t="s">
        <v>471</v>
      </c>
      <c r="N535" t="s">
        <v>12</v>
      </c>
      <c r="O535" t="s">
        <v>472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471</v>
      </c>
      <c r="AH535" t="s">
        <v>12</v>
      </c>
      <c r="AI535" t="s">
        <v>472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538.34</v>
      </c>
      <c r="AV535">
        <f>$H$535*$AB$535</f>
        <v>538.34</v>
      </c>
      <c r="AW535">
        <f>$H$535*$AC$535</f>
        <v>538.34</v>
      </c>
      <c r="AX535">
        <f>$H$535*$AD$535</f>
        <v>538.34</v>
      </c>
      <c r="AY535">
        <f>$H$535*$AE$535</f>
        <v>538.34</v>
      </c>
      <c r="AZ535">
        <f>$H$535*$AF$535</f>
        <v>538.34</v>
      </c>
    </row>
    <row r="536" spans="1:52" x14ac:dyDescent="0.25">
      <c r="A536">
        <v>601</v>
      </c>
      <c r="B536" t="s">
        <v>471</v>
      </c>
      <c r="C536" t="s">
        <v>342</v>
      </c>
      <c r="D536">
        <v>51.33</v>
      </c>
      <c r="E536">
        <v>135.51</v>
      </c>
      <c r="F536" t="s">
        <v>262</v>
      </c>
      <c r="G536">
        <v>2.64</v>
      </c>
      <c r="H536">
        <v>162.61000000000001</v>
      </c>
      <c r="I536" t="s">
        <v>263</v>
      </c>
      <c r="J536" t="s">
        <v>343</v>
      </c>
      <c r="K536" t="s">
        <v>412</v>
      </c>
      <c r="L536" t="s">
        <v>170</v>
      </c>
      <c r="M536" t="s">
        <v>471</v>
      </c>
      <c r="N536" t="s">
        <v>12</v>
      </c>
      <c r="O536" t="s">
        <v>472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471</v>
      </c>
      <c r="AH536" t="s">
        <v>12</v>
      </c>
      <c r="AI536" t="s">
        <v>472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162.61000000000001</v>
      </c>
      <c r="AN536">
        <f>$H$536*$T$536</f>
        <v>162.61000000000001</v>
      </c>
      <c r="AO536">
        <f>$H$536*$U$536</f>
        <v>162.61000000000001</v>
      </c>
      <c r="AP536">
        <f>$H$536*$V$536</f>
        <v>162.61000000000001</v>
      </c>
      <c r="AQ536">
        <f>$H$536*$W$536</f>
        <v>162.61000000000001</v>
      </c>
      <c r="AR536">
        <f>$H$536*$X$536</f>
        <v>162.61000000000001</v>
      </c>
      <c r="AS536">
        <f>$H$536*$Y$536</f>
        <v>162.61000000000001</v>
      </c>
      <c r="AT536">
        <f>$H$536*$Z$536</f>
        <v>162.61000000000001</v>
      </c>
      <c r="AU536">
        <f>$H$536*$AA$536</f>
        <v>162.61000000000001</v>
      </c>
      <c r="AV536">
        <f>$H$536*$AB$536</f>
        <v>162.61000000000001</v>
      </c>
      <c r="AW536">
        <f>$H$536*$AC$536</f>
        <v>162.61000000000001</v>
      </c>
      <c r="AX536">
        <f>$H$536*$AD$536</f>
        <v>162.61000000000001</v>
      </c>
      <c r="AY536">
        <f>$H$536*$AE$536</f>
        <v>162.61000000000001</v>
      </c>
      <c r="AZ536">
        <f>$H$536*$AF$536</f>
        <v>162.61000000000001</v>
      </c>
    </row>
    <row r="537" spans="1:52" x14ac:dyDescent="0.25">
      <c r="A537">
        <v>602</v>
      </c>
      <c r="B537" t="s">
        <v>471</v>
      </c>
      <c r="C537" t="s">
        <v>344</v>
      </c>
      <c r="D537">
        <v>51.33</v>
      </c>
      <c r="E537">
        <v>317.73</v>
      </c>
      <c r="F537" t="s">
        <v>262</v>
      </c>
      <c r="G537">
        <v>6.19</v>
      </c>
      <c r="H537">
        <v>381.27</v>
      </c>
      <c r="I537" t="s">
        <v>264</v>
      </c>
      <c r="J537" t="s">
        <v>345</v>
      </c>
      <c r="K537" t="s">
        <v>413</v>
      </c>
      <c r="L537" t="s">
        <v>170</v>
      </c>
      <c r="M537" t="s">
        <v>471</v>
      </c>
      <c r="N537" t="s">
        <v>12</v>
      </c>
      <c r="O537" t="s">
        <v>472</v>
      </c>
      <c r="P537">
        <v>0</v>
      </c>
      <c r="Q537">
        <v>0</v>
      </c>
      <c r="R537">
        <v>0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471</v>
      </c>
      <c r="AH537" t="s">
        <v>12</v>
      </c>
      <c r="AI537" t="s">
        <v>472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381.27</v>
      </c>
      <c r="AN537">
        <f>$H$537*$T$537</f>
        <v>381.27</v>
      </c>
      <c r="AO537">
        <f>$H$537*$U$537</f>
        <v>381.27</v>
      </c>
      <c r="AP537">
        <f>$H$537*$V$537</f>
        <v>381.27</v>
      </c>
      <c r="AQ537">
        <f>$H$537*$W$537</f>
        <v>381.27</v>
      </c>
      <c r="AR537">
        <f>$H$537*$X$537</f>
        <v>381.27</v>
      </c>
      <c r="AS537">
        <f>$H$537*$Y$537</f>
        <v>381.27</v>
      </c>
      <c r="AT537">
        <f>$H$537*$Z$537</f>
        <v>381.27</v>
      </c>
      <c r="AU537">
        <f>$H$537*$AA$537</f>
        <v>381.27</v>
      </c>
      <c r="AV537">
        <f>$H$537*$AB$537</f>
        <v>381.27</v>
      </c>
      <c r="AW537">
        <f>$H$537*$AC$537</f>
        <v>381.27</v>
      </c>
      <c r="AX537">
        <f>$H$537*$AD$537</f>
        <v>381.27</v>
      </c>
      <c r="AY537">
        <f>$H$537*$AE$537</f>
        <v>381.27</v>
      </c>
      <c r="AZ537">
        <f>$H$537*$AF$537</f>
        <v>381.27</v>
      </c>
    </row>
    <row r="538" spans="1:52" x14ac:dyDescent="0.25">
      <c r="A538">
        <v>603</v>
      </c>
      <c r="B538" t="s">
        <v>471</v>
      </c>
      <c r="C538" t="s">
        <v>285</v>
      </c>
      <c r="D538">
        <v>223.44</v>
      </c>
      <c r="E538">
        <v>922.81</v>
      </c>
      <c r="F538" t="s">
        <v>275</v>
      </c>
      <c r="G538">
        <v>4.13</v>
      </c>
      <c r="H538">
        <v>1107.3699999999999</v>
      </c>
      <c r="I538" t="s">
        <v>286</v>
      </c>
      <c r="J538" t="s">
        <v>287</v>
      </c>
      <c r="K538" t="s">
        <v>388</v>
      </c>
      <c r="L538" t="s">
        <v>170</v>
      </c>
      <c r="M538" t="s">
        <v>471</v>
      </c>
      <c r="N538" t="s">
        <v>12</v>
      </c>
      <c r="O538" t="s">
        <v>472</v>
      </c>
      <c r="P538">
        <v>0</v>
      </c>
      <c r="Q538">
        <v>0</v>
      </c>
      <c r="R538">
        <v>0</v>
      </c>
      <c r="S538">
        <v>0.25</v>
      </c>
      <c r="T538">
        <v>0.25</v>
      </c>
      <c r="U538">
        <v>0.25</v>
      </c>
      <c r="V538">
        <v>0.25</v>
      </c>
      <c r="W538">
        <v>0.5</v>
      </c>
      <c r="X538">
        <v>0.5</v>
      </c>
      <c r="Y538">
        <v>0.5</v>
      </c>
      <c r="Z538">
        <v>0.5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471</v>
      </c>
      <c r="AH538" t="s">
        <v>12</v>
      </c>
      <c r="AI538" t="s">
        <v>472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276.84249999999997</v>
      </c>
      <c r="AN538">
        <f>$H$538*$T$538</f>
        <v>276.84249999999997</v>
      </c>
      <c r="AO538">
        <f>$H$538*$U$538</f>
        <v>276.84249999999997</v>
      </c>
      <c r="AP538">
        <f>$H$538*$V$538</f>
        <v>276.84249999999997</v>
      </c>
      <c r="AQ538">
        <f>$H$538*$W$538</f>
        <v>553.68499999999995</v>
      </c>
      <c r="AR538">
        <f>$H$538*$X$538</f>
        <v>553.68499999999995</v>
      </c>
      <c r="AS538">
        <f>$H$538*$Y$538</f>
        <v>553.68499999999995</v>
      </c>
      <c r="AT538">
        <f>$H$538*$Z$538</f>
        <v>553.68499999999995</v>
      </c>
      <c r="AU538">
        <f>$H$538*$AA$538</f>
        <v>1107.3699999999999</v>
      </c>
      <c r="AV538">
        <f>$H$538*$AB$538</f>
        <v>1107.3699999999999</v>
      </c>
      <c r="AW538">
        <f>$H$538*$AC$538</f>
        <v>1107.3699999999999</v>
      </c>
      <c r="AX538">
        <f>$H$538*$AD$538</f>
        <v>1107.3699999999999</v>
      </c>
      <c r="AY538">
        <f>$H$538*$AE$538</f>
        <v>1107.3699999999999</v>
      </c>
      <c r="AZ538">
        <f>$H$538*$AF$538</f>
        <v>1107.3699999999999</v>
      </c>
    </row>
    <row r="539" spans="1:52" x14ac:dyDescent="0.25">
      <c r="A539">
        <v>604</v>
      </c>
      <c r="B539" t="s">
        <v>471</v>
      </c>
      <c r="C539" t="s">
        <v>340</v>
      </c>
      <c r="D539">
        <v>223.44</v>
      </c>
      <c r="E539">
        <v>236.85</v>
      </c>
      <c r="F539" t="s">
        <v>275</v>
      </c>
      <c r="G539">
        <v>1.06</v>
      </c>
      <c r="H539">
        <v>284.23</v>
      </c>
      <c r="I539" t="s">
        <v>263</v>
      </c>
      <c r="J539" t="s">
        <v>341</v>
      </c>
      <c r="K539" t="s">
        <v>411</v>
      </c>
      <c r="L539" t="s">
        <v>170</v>
      </c>
      <c r="M539" t="s">
        <v>471</v>
      </c>
      <c r="N539" t="s">
        <v>12</v>
      </c>
      <c r="O539" t="s">
        <v>472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1</v>
      </c>
      <c r="AE539">
        <v>1</v>
      </c>
      <c r="AF539">
        <v>1</v>
      </c>
      <c r="AG539" t="s">
        <v>471</v>
      </c>
      <c r="AH539" t="s">
        <v>12</v>
      </c>
      <c r="AI539" t="s">
        <v>472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0</v>
      </c>
      <c r="AV539">
        <f>$H$539*$AB$539</f>
        <v>0</v>
      </c>
      <c r="AW539">
        <f>$H$539*$AC$539</f>
        <v>0</v>
      </c>
      <c r="AX539">
        <f>$H$539*$AD$539</f>
        <v>284.23</v>
      </c>
      <c r="AY539">
        <f>$H$539*$AE$539</f>
        <v>284.23</v>
      </c>
      <c r="AZ539">
        <f>$H$539*$AF$539</f>
        <v>284.23</v>
      </c>
    </row>
    <row r="540" spans="1:52" x14ac:dyDescent="0.25">
      <c r="A540">
        <v>605</v>
      </c>
      <c r="B540" t="s">
        <v>471</v>
      </c>
      <c r="C540" t="s">
        <v>346</v>
      </c>
      <c r="D540">
        <v>223.44</v>
      </c>
      <c r="E540">
        <v>250.25</v>
      </c>
      <c r="F540" t="s">
        <v>275</v>
      </c>
      <c r="G540">
        <v>1.1200000000000001</v>
      </c>
      <c r="H540">
        <v>300.31</v>
      </c>
      <c r="I540" t="s">
        <v>263</v>
      </c>
      <c r="J540" t="s">
        <v>347</v>
      </c>
      <c r="K540" t="s">
        <v>414</v>
      </c>
      <c r="L540" t="s">
        <v>170</v>
      </c>
      <c r="M540" t="s">
        <v>471</v>
      </c>
      <c r="N540" t="s">
        <v>12</v>
      </c>
      <c r="O540" t="s">
        <v>472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471</v>
      </c>
      <c r="AH540" t="s">
        <v>12</v>
      </c>
      <c r="AI540" t="s">
        <v>472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300.31</v>
      </c>
      <c r="AN540">
        <f>$H$540*$T$540</f>
        <v>300.31</v>
      </c>
      <c r="AO540">
        <f>$H$540*$U$540</f>
        <v>300.31</v>
      </c>
      <c r="AP540">
        <f>$H$540*$V$540</f>
        <v>300.31</v>
      </c>
      <c r="AQ540">
        <f>$H$540*$W$540</f>
        <v>300.31</v>
      </c>
      <c r="AR540">
        <f>$H$540*$X$540</f>
        <v>300.31</v>
      </c>
      <c r="AS540">
        <f>$H$540*$Y$540</f>
        <v>300.31</v>
      </c>
      <c r="AT540">
        <f>$H$540*$Z$540</f>
        <v>300.31</v>
      </c>
      <c r="AU540">
        <f>$H$540*$AA$540</f>
        <v>300.31</v>
      </c>
      <c r="AV540">
        <f>$H$540*$AB$540</f>
        <v>300.31</v>
      </c>
      <c r="AW540">
        <f>$H$540*$AC$540</f>
        <v>300.31</v>
      </c>
      <c r="AX540">
        <f>$H$540*$AD$540</f>
        <v>300.31</v>
      </c>
      <c r="AY540">
        <f>$H$540*$AE$540</f>
        <v>300.31</v>
      </c>
      <c r="AZ540">
        <f>$H$540*$AF$540</f>
        <v>300.31</v>
      </c>
    </row>
    <row r="541" spans="1:52" x14ac:dyDescent="0.25">
      <c r="A541">
        <v>606</v>
      </c>
      <c r="B541" t="s">
        <v>471</v>
      </c>
      <c r="C541" t="s">
        <v>528</v>
      </c>
      <c r="D541">
        <v>31.6</v>
      </c>
      <c r="E541">
        <v>662.02</v>
      </c>
      <c r="F541" t="s">
        <v>275</v>
      </c>
      <c r="G541">
        <v>20.95</v>
      </c>
      <c r="H541">
        <v>794.42</v>
      </c>
      <c r="I541" t="s">
        <v>348</v>
      </c>
      <c r="J541" t="s">
        <v>529</v>
      </c>
      <c r="K541" t="s">
        <v>645</v>
      </c>
      <c r="L541" t="s">
        <v>170</v>
      </c>
      <c r="M541" t="s">
        <v>471</v>
      </c>
      <c r="N541" t="s">
        <v>12</v>
      </c>
      <c r="O541" t="s">
        <v>472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471</v>
      </c>
      <c r="AH541" t="s">
        <v>12</v>
      </c>
      <c r="AI541" t="s">
        <v>472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794.42</v>
      </c>
      <c r="AT541">
        <f>$H$541*$Z$541</f>
        <v>794.42</v>
      </c>
      <c r="AU541">
        <f>$H$541*$AA$541</f>
        <v>794.42</v>
      </c>
      <c r="AV541">
        <f>$H$541*$AB$541</f>
        <v>794.42</v>
      </c>
      <c r="AW541">
        <f>$H$541*$AC$541</f>
        <v>794.42</v>
      </c>
      <c r="AX541">
        <f>$H$541*$AD$541</f>
        <v>794.42</v>
      </c>
      <c r="AY541">
        <f>$H$541*$AE$541</f>
        <v>794.42</v>
      </c>
      <c r="AZ541">
        <f>$H$541*$AF$541</f>
        <v>794.42</v>
      </c>
    </row>
    <row r="542" spans="1:52" x14ac:dyDescent="0.25">
      <c r="A542">
        <v>607</v>
      </c>
      <c r="B542" t="s">
        <v>471</v>
      </c>
      <c r="C542" t="s">
        <v>349</v>
      </c>
      <c r="D542">
        <v>63.21</v>
      </c>
      <c r="E542">
        <v>269.27</v>
      </c>
      <c r="F542" t="s">
        <v>275</v>
      </c>
      <c r="G542">
        <v>4.26</v>
      </c>
      <c r="H542">
        <v>323.13</v>
      </c>
      <c r="I542" t="s">
        <v>350</v>
      </c>
      <c r="J542" t="s">
        <v>351</v>
      </c>
      <c r="K542" t="s">
        <v>415</v>
      </c>
      <c r="L542" t="s">
        <v>170</v>
      </c>
      <c r="M542" t="s">
        <v>471</v>
      </c>
      <c r="N542" t="s">
        <v>12</v>
      </c>
      <c r="O542" t="s">
        <v>472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471</v>
      </c>
      <c r="AH542" t="s">
        <v>12</v>
      </c>
      <c r="AI542" t="s">
        <v>472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323.13</v>
      </c>
      <c r="AN542">
        <f>$H$542*$T$542</f>
        <v>323.13</v>
      </c>
      <c r="AO542">
        <f>$H$542*$U$542</f>
        <v>323.13</v>
      </c>
      <c r="AP542">
        <f>$H$542*$V$542</f>
        <v>323.13</v>
      </c>
      <c r="AQ542">
        <f>$H$542*$W$542</f>
        <v>323.13</v>
      </c>
      <c r="AR542">
        <f>$H$542*$X$542</f>
        <v>323.13</v>
      </c>
      <c r="AS542">
        <f>$H$542*$Y$542</f>
        <v>323.13</v>
      </c>
      <c r="AT542">
        <f>$H$542*$Z$542</f>
        <v>323.13</v>
      </c>
      <c r="AU542">
        <f>$H$542*$AA$542</f>
        <v>323.13</v>
      </c>
      <c r="AV542">
        <f>$H$542*$AB$542</f>
        <v>323.13</v>
      </c>
      <c r="AW542">
        <f>$H$542*$AC$542</f>
        <v>323.13</v>
      </c>
      <c r="AX542">
        <f>$H$542*$AD$542</f>
        <v>323.13</v>
      </c>
      <c r="AY542">
        <f>$H$542*$AE$542</f>
        <v>323.13</v>
      </c>
      <c r="AZ542">
        <f>$H$542*$AF$542</f>
        <v>323.13</v>
      </c>
    </row>
    <row r="543" spans="1:52" x14ac:dyDescent="0.25">
      <c r="A543">
        <v>608</v>
      </c>
      <c r="B543" t="s">
        <v>471</v>
      </c>
      <c r="C543" t="s">
        <v>352</v>
      </c>
      <c r="D543">
        <v>63.21</v>
      </c>
      <c r="E543">
        <v>678.88</v>
      </c>
      <c r="F543" t="s">
        <v>275</v>
      </c>
      <c r="G543">
        <v>10.74</v>
      </c>
      <c r="H543">
        <v>814.66</v>
      </c>
      <c r="I543" t="s">
        <v>350</v>
      </c>
      <c r="J543" t="s">
        <v>293</v>
      </c>
      <c r="K543" t="s">
        <v>416</v>
      </c>
      <c r="L543" t="s">
        <v>170</v>
      </c>
      <c r="M543" t="s">
        <v>471</v>
      </c>
      <c r="N543" t="s">
        <v>12</v>
      </c>
      <c r="O543" t="s">
        <v>472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471</v>
      </c>
      <c r="AH543" t="s">
        <v>12</v>
      </c>
      <c r="AI543" t="s">
        <v>472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814.66</v>
      </c>
      <c r="AN543">
        <f>$H$543*$T$543</f>
        <v>814.66</v>
      </c>
      <c r="AO543">
        <f>$H$543*$U$543</f>
        <v>814.66</v>
      </c>
      <c r="AP543">
        <f>$H$543*$V$543</f>
        <v>814.66</v>
      </c>
      <c r="AQ543">
        <f>$H$543*$W$543</f>
        <v>814.66</v>
      </c>
      <c r="AR543">
        <f>$H$543*$X$543</f>
        <v>814.66</v>
      </c>
      <c r="AS543">
        <f>$H$543*$Y$543</f>
        <v>814.66</v>
      </c>
      <c r="AT543">
        <f>$H$543*$Z$543</f>
        <v>814.66</v>
      </c>
      <c r="AU543">
        <f>$H$543*$AA$543</f>
        <v>814.66</v>
      </c>
      <c r="AV543">
        <f>$H$543*$AB$543</f>
        <v>814.66</v>
      </c>
      <c r="AW543">
        <f>$H$543*$AC$543</f>
        <v>814.66</v>
      </c>
      <c r="AX543">
        <f>$H$543*$AD$543</f>
        <v>814.66</v>
      </c>
      <c r="AY543">
        <f>$H$543*$AE$543</f>
        <v>814.66</v>
      </c>
      <c r="AZ543">
        <f>$H$543*$AF$543</f>
        <v>814.66</v>
      </c>
    </row>
    <row r="544" spans="1:52" x14ac:dyDescent="0.25">
      <c r="A544">
        <v>609</v>
      </c>
      <c r="B544" t="s">
        <v>471</v>
      </c>
      <c r="C544" t="s">
        <v>530</v>
      </c>
      <c r="D544">
        <v>72.69</v>
      </c>
      <c r="E544">
        <v>77.05</v>
      </c>
      <c r="F544" t="s">
        <v>275</v>
      </c>
      <c r="G544">
        <v>1.06</v>
      </c>
      <c r="H544">
        <v>92.47</v>
      </c>
      <c r="I544" t="s">
        <v>353</v>
      </c>
      <c r="J544" t="s">
        <v>531</v>
      </c>
      <c r="K544" t="s">
        <v>646</v>
      </c>
      <c r="L544" t="s">
        <v>170</v>
      </c>
      <c r="M544" t="s">
        <v>471</v>
      </c>
      <c r="N544" t="s">
        <v>12</v>
      </c>
      <c r="O544" t="s">
        <v>472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471</v>
      </c>
      <c r="AH544" t="s">
        <v>12</v>
      </c>
      <c r="AI544" t="s">
        <v>472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92.47</v>
      </c>
      <c r="AN544">
        <f>$H$544*$T$544</f>
        <v>92.47</v>
      </c>
      <c r="AO544">
        <f>$H$544*$U$544</f>
        <v>92.47</v>
      </c>
      <c r="AP544">
        <f>$H$544*$V$544</f>
        <v>92.47</v>
      </c>
      <c r="AQ544">
        <f>$H$544*$W$544</f>
        <v>92.47</v>
      </c>
      <c r="AR544">
        <f>$H$544*$X$544</f>
        <v>92.47</v>
      </c>
      <c r="AS544">
        <f>$H$544*$Y$544</f>
        <v>92.47</v>
      </c>
      <c r="AT544">
        <f>$H$544*$Z$544</f>
        <v>92.47</v>
      </c>
      <c r="AU544">
        <f>$H$544*$AA$544</f>
        <v>92.47</v>
      </c>
      <c r="AV544">
        <f>$H$544*$AB$544</f>
        <v>92.47</v>
      </c>
      <c r="AW544">
        <f>$H$544*$AC$544</f>
        <v>92.47</v>
      </c>
      <c r="AX544">
        <f>$H$544*$AD$544</f>
        <v>92.47</v>
      </c>
      <c r="AY544">
        <f>$H$544*$AE$544</f>
        <v>92.47</v>
      </c>
      <c r="AZ544">
        <f>$H$544*$AF$544</f>
        <v>92.47</v>
      </c>
    </row>
    <row r="545" spans="1:52" x14ac:dyDescent="0.25">
      <c r="A545">
        <v>610</v>
      </c>
      <c r="B545" t="s">
        <v>471</v>
      </c>
      <c r="C545" t="s">
        <v>532</v>
      </c>
      <c r="D545">
        <v>72.69</v>
      </c>
      <c r="E545">
        <v>627.30999999999995</v>
      </c>
      <c r="F545" t="s">
        <v>275</v>
      </c>
      <c r="G545">
        <v>8.6300000000000008</v>
      </c>
      <c r="H545">
        <v>752.77</v>
      </c>
      <c r="I545" t="s">
        <v>353</v>
      </c>
      <c r="J545" t="s">
        <v>529</v>
      </c>
      <c r="K545" t="s">
        <v>647</v>
      </c>
      <c r="L545" t="s">
        <v>170</v>
      </c>
      <c r="M545" t="s">
        <v>471</v>
      </c>
      <c r="N545" t="s">
        <v>12</v>
      </c>
      <c r="O545" t="s">
        <v>472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471</v>
      </c>
      <c r="AH545" t="s">
        <v>12</v>
      </c>
      <c r="AI545" t="s">
        <v>472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752.77</v>
      </c>
      <c r="AN545">
        <f>$H$545*$T$545</f>
        <v>752.77</v>
      </c>
      <c r="AO545">
        <f>$H$545*$U$545</f>
        <v>752.77</v>
      </c>
      <c r="AP545">
        <f>$H$545*$V$545</f>
        <v>752.77</v>
      </c>
      <c r="AQ545">
        <f>$H$545*$W$545</f>
        <v>752.77</v>
      </c>
      <c r="AR545">
        <f>$H$545*$X$545</f>
        <v>752.77</v>
      </c>
      <c r="AS545">
        <f>$H$545*$Y$545</f>
        <v>752.77</v>
      </c>
      <c r="AT545">
        <f>$H$545*$Z$545</f>
        <v>752.77</v>
      </c>
      <c r="AU545">
        <f>$H$545*$AA$545</f>
        <v>752.77</v>
      </c>
      <c r="AV545">
        <f>$H$545*$AB$545</f>
        <v>752.77</v>
      </c>
      <c r="AW545">
        <f>$H$545*$AC$545</f>
        <v>752.77</v>
      </c>
      <c r="AX545">
        <f>$H$545*$AD$545</f>
        <v>752.77</v>
      </c>
      <c r="AY545">
        <f>$H$545*$AE$545</f>
        <v>752.77</v>
      </c>
      <c r="AZ545">
        <f>$H$545*$AF$545</f>
        <v>752.77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1" t="s">
        <v>8</v>
      </c>
      <c r="B1" s="92" t="s">
        <v>16</v>
      </c>
      <c r="C1" s="90"/>
      <c r="D1" s="93" t="s">
        <v>9</v>
      </c>
      <c r="E1" s="89" t="s">
        <v>95</v>
      </c>
      <c r="F1" s="10" t="s">
        <v>96</v>
      </c>
      <c r="G1" s="10" t="s">
        <v>97</v>
      </c>
      <c r="H1" s="10" t="s">
        <v>98</v>
      </c>
      <c r="I1" s="10" t="s">
        <v>99</v>
      </c>
      <c r="J1" s="10" t="s">
        <v>100</v>
      </c>
    </row>
    <row r="2" spans="1:10" x14ac:dyDescent="0.25">
      <c r="A2" t="s">
        <v>473</v>
      </c>
      <c r="B2">
        <v>35.31</v>
      </c>
      <c r="D2" t="s">
        <v>694</v>
      </c>
      <c r="E2">
        <v>6</v>
      </c>
      <c r="F2">
        <v>10</v>
      </c>
      <c r="G2">
        <v>5</v>
      </c>
      <c r="H2">
        <v>2</v>
      </c>
      <c r="I2">
        <v>9</v>
      </c>
      <c r="J2">
        <v>0</v>
      </c>
    </row>
    <row r="3" spans="1:10" x14ac:dyDescent="0.25">
      <c r="A3" t="s">
        <v>240</v>
      </c>
      <c r="B3">
        <v>29.04</v>
      </c>
      <c r="D3" t="s">
        <v>695</v>
      </c>
      <c r="E3">
        <v>6</v>
      </c>
      <c r="F3">
        <v>10</v>
      </c>
      <c r="G3">
        <v>4</v>
      </c>
      <c r="H3">
        <v>3</v>
      </c>
      <c r="I3">
        <v>9</v>
      </c>
      <c r="J3">
        <v>0</v>
      </c>
    </row>
    <row r="4" spans="1:10" x14ac:dyDescent="0.25">
      <c r="A4" t="s">
        <v>465</v>
      </c>
      <c r="B4">
        <v>18.059999999999999</v>
      </c>
      <c r="D4" t="s">
        <v>696</v>
      </c>
      <c r="E4">
        <v>4</v>
      </c>
      <c r="F4">
        <v>3</v>
      </c>
      <c r="G4">
        <v>4</v>
      </c>
      <c r="H4">
        <v>3</v>
      </c>
      <c r="I4">
        <v>9</v>
      </c>
      <c r="J4">
        <v>0</v>
      </c>
    </row>
    <row r="5" spans="1:10" x14ac:dyDescent="0.25">
      <c r="A5" t="s">
        <v>241</v>
      </c>
      <c r="B5">
        <v>29.04</v>
      </c>
      <c r="D5" t="s">
        <v>695</v>
      </c>
      <c r="E5">
        <v>6</v>
      </c>
      <c r="F5">
        <v>10</v>
      </c>
      <c r="G5">
        <v>4</v>
      </c>
      <c r="H5">
        <v>3</v>
      </c>
      <c r="I5">
        <v>9</v>
      </c>
      <c r="J5">
        <v>0</v>
      </c>
    </row>
    <row r="6" spans="1:10" x14ac:dyDescent="0.25">
      <c r="A6" t="s">
        <v>475</v>
      </c>
      <c r="B6">
        <v>25.5</v>
      </c>
      <c r="D6" t="s">
        <v>697</v>
      </c>
      <c r="E6">
        <v>6</v>
      </c>
      <c r="F6">
        <v>0</v>
      </c>
      <c r="G6">
        <v>4</v>
      </c>
      <c r="H6">
        <v>3</v>
      </c>
      <c r="I6">
        <v>9</v>
      </c>
      <c r="J6">
        <v>0</v>
      </c>
    </row>
    <row r="7" spans="1:10" x14ac:dyDescent="0.25">
      <c r="A7" t="s">
        <v>247</v>
      </c>
      <c r="B7">
        <v>58.65</v>
      </c>
      <c r="D7" t="s">
        <v>698</v>
      </c>
      <c r="E7">
        <v>8</v>
      </c>
      <c r="F7">
        <v>7</v>
      </c>
      <c r="G7">
        <v>6</v>
      </c>
      <c r="H7">
        <v>10</v>
      </c>
      <c r="I7">
        <v>9</v>
      </c>
      <c r="J7">
        <v>0</v>
      </c>
    </row>
    <row r="8" spans="1:10" x14ac:dyDescent="0.25">
      <c r="A8" t="s">
        <v>478</v>
      </c>
      <c r="B8">
        <v>58.65</v>
      </c>
      <c r="D8" t="s">
        <v>698</v>
      </c>
      <c r="E8">
        <v>8</v>
      </c>
      <c r="F8">
        <v>7</v>
      </c>
      <c r="G8">
        <v>6</v>
      </c>
      <c r="H8">
        <v>10</v>
      </c>
      <c r="I8">
        <v>9</v>
      </c>
      <c r="J8">
        <v>0</v>
      </c>
    </row>
    <row r="9" spans="1:10" x14ac:dyDescent="0.25">
      <c r="A9" t="s">
        <v>469</v>
      </c>
      <c r="B9">
        <v>103</v>
      </c>
      <c r="D9" t="s">
        <v>699</v>
      </c>
      <c r="E9">
        <v>12</v>
      </c>
      <c r="F9">
        <v>0</v>
      </c>
      <c r="G9">
        <v>8</v>
      </c>
      <c r="H9">
        <v>7</v>
      </c>
      <c r="I9">
        <v>9</v>
      </c>
      <c r="J9">
        <v>0</v>
      </c>
    </row>
    <row r="10" spans="1:10" x14ac:dyDescent="0.25">
      <c r="A10" t="s">
        <v>243</v>
      </c>
      <c r="B10">
        <v>123</v>
      </c>
      <c r="D10" t="s">
        <v>700</v>
      </c>
      <c r="E10">
        <v>12</v>
      </c>
      <c r="F10">
        <v>0</v>
      </c>
      <c r="G10">
        <v>10</v>
      </c>
      <c r="H10">
        <v>3</v>
      </c>
      <c r="I10">
        <v>9</v>
      </c>
      <c r="J10">
        <v>0</v>
      </c>
    </row>
    <row r="11" spans="1:10" x14ac:dyDescent="0.25">
      <c r="A11" t="s">
        <v>7</v>
      </c>
      <c r="B11">
        <v>80.83</v>
      </c>
      <c r="D11" t="s">
        <v>701</v>
      </c>
      <c r="E11">
        <v>9</v>
      </c>
      <c r="F11">
        <v>5</v>
      </c>
      <c r="G11">
        <v>8</v>
      </c>
      <c r="H11">
        <v>7</v>
      </c>
      <c r="I11">
        <v>9</v>
      </c>
      <c r="J11">
        <v>0</v>
      </c>
    </row>
    <row r="12" spans="1:10" x14ac:dyDescent="0.25">
      <c r="A12" t="s">
        <v>245</v>
      </c>
      <c r="B12">
        <v>164</v>
      </c>
      <c r="D12" t="s">
        <v>702</v>
      </c>
      <c r="E12">
        <v>13</v>
      </c>
      <c r="F12">
        <v>8</v>
      </c>
      <c r="G12">
        <v>12</v>
      </c>
      <c r="H12">
        <v>0</v>
      </c>
      <c r="I12">
        <v>9</v>
      </c>
      <c r="J12">
        <v>0</v>
      </c>
    </row>
    <row r="13" spans="1:10" x14ac:dyDescent="0.25">
      <c r="A13" t="s">
        <v>4</v>
      </c>
      <c r="B13">
        <v>73.67</v>
      </c>
      <c r="D13" t="s">
        <v>703</v>
      </c>
      <c r="E13">
        <v>8</v>
      </c>
      <c r="F13">
        <v>7</v>
      </c>
      <c r="G13">
        <v>8</v>
      </c>
      <c r="H13">
        <v>7</v>
      </c>
      <c r="I13">
        <v>9</v>
      </c>
      <c r="J13">
        <v>0</v>
      </c>
    </row>
    <row r="14" spans="1:10" x14ac:dyDescent="0.25">
      <c r="A14" t="s">
        <v>5</v>
      </c>
      <c r="B14">
        <v>73.67</v>
      </c>
      <c r="D14" t="s">
        <v>703</v>
      </c>
      <c r="E14">
        <v>8</v>
      </c>
      <c r="F14">
        <v>7</v>
      </c>
      <c r="G14">
        <v>8</v>
      </c>
      <c r="H14">
        <v>7</v>
      </c>
      <c r="I14">
        <v>9</v>
      </c>
      <c r="J14">
        <v>0</v>
      </c>
    </row>
    <row r="15" spans="1:10" x14ac:dyDescent="0.25">
      <c r="A15" t="s">
        <v>246</v>
      </c>
      <c r="B15">
        <v>206</v>
      </c>
      <c r="D15" t="s">
        <v>704</v>
      </c>
      <c r="E15">
        <v>17</v>
      </c>
      <c r="F15">
        <v>2</v>
      </c>
      <c r="G15">
        <v>12</v>
      </c>
      <c r="H15">
        <v>0</v>
      </c>
      <c r="I15">
        <v>9</v>
      </c>
      <c r="J15">
        <v>0</v>
      </c>
    </row>
    <row r="16" spans="1:10" x14ac:dyDescent="0.25">
      <c r="A16" t="s">
        <v>376</v>
      </c>
      <c r="B16">
        <v>119.17</v>
      </c>
      <c r="D16" t="s">
        <v>705</v>
      </c>
      <c r="E16">
        <v>10</v>
      </c>
      <c r="F16">
        <v>11</v>
      </c>
      <c r="G16">
        <v>10</v>
      </c>
      <c r="H16">
        <v>11</v>
      </c>
      <c r="I16">
        <v>9</v>
      </c>
      <c r="J16">
        <v>0</v>
      </c>
    </row>
    <row r="17" spans="1:10" x14ac:dyDescent="0.25">
      <c r="A17" t="s">
        <v>6</v>
      </c>
      <c r="B17">
        <v>66.31</v>
      </c>
      <c r="D17" t="s">
        <v>706</v>
      </c>
      <c r="E17">
        <v>12</v>
      </c>
      <c r="F17">
        <v>10</v>
      </c>
      <c r="G17">
        <v>5</v>
      </c>
      <c r="H17">
        <v>2</v>
      </c>
      <c r="I17">
        <v>9</v>
      </c>
      <c r="J17">
        <v>0</v>
      </c>
    </row>
    <row r="18" spans="1:10" x14ac:dyDescent="0.25">
      <c r="A18" t="s">
        <v>471</v>
      </c>
      <c r="B18">
        <v>158.02000000000001</v>
      </c>
      <c r="D18" t="s">
        <v>707</v>
      </c>
      <c r="E18">
        <v>15</v>
      </c>
      <c r="F18">
        <v>5</v>
      </c>
      <c r="G18">
        <v>10</v>
      </c>
      <c r="H18">
        <v>3</v>
      </c>
      <c r="I18">
        <v>9</v>
      </c>
      <c r="J1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topLeftCell="A2" workbookViewId="0">
      <selection activeCell="C11" sqref="C1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32" t="s">
        <v>0</v>
      </c>
      <c r="B1" s="132"/>
      <c r="C1" s="132"/>
      <c r="D1" s="132"/>
      <c r="E1" s="132"/>
      <c r="F1" s="62" t="s">
        <v>101</v>
      </c>
      <c r="G1" s="135" t="s">
        <v>53</v>
      </c>
      <c r="H1" s="136"/>
      <c r="I1" s="136"/>
      <c r="J1" s="136"/>
      <c r="K1" s="136"/>
      <c r="L1" s="136"/>
      <c r="M1" s="136"/>
      <c r="N1" s="137" t="s">
        <v>708</v>
      </c>
      <c r="O1" s="137"/>
    </row>
    <row r="2" spans="1:16" ht="52.5" customHeight="1" x14ac:dyDescent="0.25">
      <c r="A2" s="70"/>
      <c r="B2" s="134"/>
      <c r="C2" s="134"/>
      <c r="D2" s="133" t="str">
        <f>Home!F22</f>
        <v>david.sol at 2023-09-07 22:54</v>
      </c>
      <c r="E2" s="133"/>
      <c r="F2" s="49" t="b">
        <f>Home!E22</f>
        <v>1</v>
      </c>
      <c r="G2" s="94" t="s">
        <v>58</v>
      </c>
      <c r="H2" s="94" t="s">
        <v>45</v>
      </c>
      <c r="I2" s="94" t="s">
        <v>46</v>
      </c>
      <c r="J2" s="96" t="s">
        <v>47</v>
      </c>
      <c r="K2" s="94" t="s">
        <v>48</v>
      </c>
      <c r="L2" s="95" t="s">
        <v>142</v>
      </c>
      <c r="M2" s="95" t="s">
        <v>143</v>
      </c>
      <c r="N2" s="95" t="s">
        <v>144</v>
      </c>
      <c r="O2" s="95" t="s">
        <v>148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384</v>
      </c>
      <c r="H3" s="66" t="s">
        <v>180</v>
      </c>
      <c r="I3" s="66" t="s">
        <v>180</v>
      </c>
      <c r="J3" s="65" t="s">
        <v>26</v>
      </c>
      <c r="K3" s="65" t="s">
        <v>67</v>
      </c>
      <c r="L3" s="65"/>
      <c r="M3" s="65" t="s">
        <v>180</v>
      </c>
      <c r="N3" s="100" t="s">
        <v>180</v>
      </c>
      <c r="O3" s="100" t="s">
        <v>180</v>
      </c>
    </row>
    <row r="4" spans="1:16" x14ac:dyDescent="0.25">
      <c r="A4" s="46"/>
      <c r="B4" s="46"/>
      <c r="C4" s="46"/>
      <c r="D4" s="1"/>
      <c r="E4" s="1"/>
      <c r="G4" s="65" t="s">
        <v>379</v>
      </c>
      <c r="H4" s="66" t="s">
        <v>180</v>
      </c>
      <c r="I4" s="66">
        <v>148.6448</v>
      </c>
      <c r="J4" s="65" t="s">
        <v>27</v>
      </c>
      <c r="K4" s="65" t="s">
        <v>66</v>
      </c>
      <c r="L4" s="65"/>
      <c r="M4" s="65" t="s">
        <v>146</v>
      </c>
      <c r="N4" s="100">
        <v>35</v>
      </c>
      <c r="O4" s="100">
        <v>5202.5680000000002</v>
      </c>
    </row>
    <row r="5" spans="1:16" x14ac:dyDescent="0.25">
      <c r="A5" s="41"/>
      <c r="B5" s="41"/>
      <c r="C5" s="41"/>
      <c r="D5" s="41"/>
      <c r="E5" s="41"/>
      <c r="G5" s="65" t="s">
        <v>395</v>
      </c>
      <c r="H5" s="66" t="s">
        <v>180</v>
      </c>
      <c r="I5" s="66" t="s">
        <v>180</v>
      </c>
      <c r="J5" s="65" t="s">
        <v>12</v>
      </c>
      <c r="K5" s="65" t="s">
        <v>68</v>
      </c>
      <c r="L5" s="65"/>
      <c r="M5" s="65" t="s">
        <v>180</v>
      </c>
      <c r="N5" s="100" t="s">
        <v>180</v>
      </c>
      <c r="O5" s="100" t="s">
        <v>180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80.83</v>
      </c>
      <c r="I6" s="65">
        <v>7.51</v>
      </c>
      <c r="J6" s="65" t="s">
        <v>12</v>
      </c>
      <c r="K6" s="65" t="s">
        <v>7</v>
      </c>
      <c r="L6" s="65" t="s">
        <v>430</v>
      </c>
      <c r="M6" s="65" t="s">
        <v>145</v>
      </c>
      <c r="N6" s="100">
        <v>285</v>
      </c>
      <c r="O6" s="100">
        <v>2140.35</v>
      </c>
      <c r="P6" s="105"/>
    </row>
    <row r="7" spans="1:16" x14ac:dyDescent="0.25">
      <c r="A7" s="2" t="s">
        <v>17</v>
      </c>
      <c r="B7" s="67">
        <v>1600</v>
      </c>
      <c r="C7" s="69">
        <v>148.63999999999999</v>
      </c>
      <c r="D7" s="1"/>
      <c r="E7" s="1"/>
      <c r="G7" s="65" t="s">
        <v>475</v>
      </c>
      <c r="H7" s="65">
        <v>25.5</v>
      </c>
      <c r="I7" s="65">
        <v>2.37</v>
      </c>
      <c r="J7" s="65" t="s">
        <v>12</v>
      </c>
      <c r="K7" s="65" t="s">
        <v>476</v>
      </c>
      <c r="L7" s="65" t="s">
        <v>709</v>
      </c>
      <c r="M7" s="65" t="s">
        <v>141</v>
      </c>
      <c r="N7" s="100">
        <v>138</v>
      </c>
      <c r="O7" s="100">
        <v>327.06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473</v>
      </c>
      <c r="H8" s="65">
        <v>35.31</v>
      </c>
      <c r="I8" s="65">
        <v>3.28</v>
      </c>
      <c r="J8" s="65" t="s">
        <v>12</v>
      </c>
      <c r="K8" s="65" t="s">
        <v>474</v>
      </c>
      <c r="L8" s="65" t="s">
        <v>710</v>
      </c>
      <c r="M8" s="65" t="s">
        <v>141</v>
      </c>
      <c r="N8" s="100">
        <v>138</v>
      </c>
      <c r="O8" s="100">
        <v>452.64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240</v>
      </c>
      <c r="H9" s="65">
        <v>29.04</v>
      </c>
      <c r="I9" s="65">
        <v>2.7</v>
      </c>
      <c r="J9" s="65" t="s">
        <v>12</v>
      </c>
      <c r="K9" s="65" t="s">
        <v>13</v>
      </c>
      <c r="L9" s="65" t="s">
        <v>428</v>
      </c>
      <c r="M9" s="65" t="s">
        <v>145</v>
      </c>
      <c r="N9" s="100">
        <v>285</v>
      </c>
      <c r="O9" s="100">
        <v>769.5</v>
      </c>
    </row>
    <row r="10" spans="1:16" x14ac:dyDescent="0.25">
      <c r="A10" s="116" t="s">
        <v>115</v>
      </c>
      <c r="B10" s="68" t="s">
        <v>61</v>
      </c>
      <c r="C10" s="1"/>
      <c r="D10" s="1"/>
      <c r="E10" s="1"/>
      <c r="G10" s="65" t="s">
        <v>465</v>
      </c>
      <c r="H10" s="65">
        <v>18.059999999999999</v>
      </c>
      <c r="I10" s="65">
        <v>1.68</v>
      </c>
      <c r="J10" s="65" t="s">
        <v>12</v>
      </c>
      <c r="K10" s="65" t="s">
        <v>466</v>
      </c>
      <c r="L10" s="65" t="s">
        <v>711</v>
      </c>
      <c r="M10" s="65" t="s">
        <v>145</v>
      </c>
      <c r="N10" s="100">
        <v>285</v>
      </c>
      <c r="O10" s="100">
        <v>478.79999999999995</v>
      </c>
    </row>
    <row r="11" spans="1:16" x14ac:dyDescent="0.25">
      <c r="A11" s="1" t="s">
        <v>57</v>
      </c>
      <c r="B11" s="42">
        <f>C14</f>
        <v>1600</v>
      </c>
      <c r="C11" s="42">
        <f>C16</f>
        <v>148.6448</v>
      </c>
      <c r="D11" s="1"/>
      <c r="E11" s="1"/>
      <c r="G11" s="65" t="s">
        <v>241</v>
      </c>
      <c r="H11" s="65">
        <v>29.04</v>
      </c>
      <c r="I11" s="65">
        <v>2.7</v>
      </c>
      <c r="J11" s="65" t="s">
        <v>12</v>
      </c>
      <c r="K11" s="65" t="s">
        <v>13</v>
      </c>
      <c r="L11" s="65" t="s">
        <v>428</v>
      </c>
      <c r="M11" s="65" t="s">
        <v>145</v>
      </c>
      <c r="N11" s="100">
        <v>285</v>
      </c>
      <c r="O11" s="100">
        <v>769.5</v>
      </c>
    </row>
    <row r="12" spans="1:16" x14ac:dyDescent="0.25">
      <c r="A12" s="1"/>
      <c r="B12" s="1"/>
      <c r="C12" s="1"/>
      <c r="D12" s="1"/>
      <c r="E12" s="1"/>
      <c r="G12" s="65" t="s">
        <v>247</v>
      </c>
      <c r="H12" s="65">
        <v>58.65</v>
      </c>
      <c r="I12" s="65">
        <v>5.45</v>
      </c>
      <c r="J12" s="65" t="s">
        <v>12</v>
      </c>
      <c r="K12" s="65" t="s">
        <v>15</v>
      </c>
      <c r="L12" s="65" t="s">
        <v>712</v>
      </c>
      <c r="M12" s="65" t="s">
        <v>141</v>
      </c>
      <c r="N12" s="100">
        <v>138</v>
      </c>
      <c r="O12" s="100">
        <v>752.1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478</v>
      </c>
      <c r="H13" s="65">
        <v>58.65</v>
      </c>
      <c r="I13" s="65">
        <v>5.45</v>
      </c>
      <c r="J13" s="65" t="s">
        <v>12</v>
      </c>
      <c r="K13" s="65" t="s">
        <v>713</v>
      </c>
      <c r="L13" s="65" t="s">
        <v>714</v>
      </c>
      <c r="M13" s="65" t="s">
        <v>141</v>
      </c>
      <c r="N13" s="100">
        <v>138</v>
      </c>
      <c r="O13" s="100">
        <v>752.1</v>
      </c>
    </row>
    <row r="14" spans="1:16" x14ac:dyDescent="0.25">
      <c r="A14" s="4" t="s">
        <v>49</v>
      </c>
      <c r="B14" s="42">
        <f>C14+D14+E14</f>
        <v>1600</v>
      </c>
      <c r="C14" s="42">
        <f>B7/B8</f>
        <v>1600</v>
      </c>
      <c r="D14" s="42">
        <f>C14*B9</f>
        <v>0</v>
      </c>
      <c r="E14" s="42">
        <f>B7-C14</f>
        <v>0</v>
      </c>
      <c r="F14"/>
      <c r="G14" s="65" t="s">
        <v>469</v>
      </c>
      <c r="H14" s="65">
        <v>103</v>
      </c>
      <c r="I14" s="65">
        <v>9.57</v>
      </c>
      <c r="J14" s="65" t="s">
        <v>12</v>
      </c>
      <c r="K14" s="65" t="s">
        <v>14</v>
      </c>
      <c r="L14" s="65" t="s">
        <v>715</v>
      </c>
      <c r="M14" s="65" t="s">
        <v>141</v>
      </c>
      <c r="N14" s="100">
        <v>138</v>
      </c>
      <c r="O14" s="100">
        <v>1320.66</v>
      </c>
    </row>
    <row r="15" spans="1:16" x14ac:dyDescent="0.25">
      <c r="A15" s="4" t="s">
        <v>50</v>
      </c>
      <c r="B15" s="42">
        <f>SUMIFS(H:H,G:G,"&lt;&gt;mech_single",G:G,"&lt;&gt;general",G:G,"&lt;&gt;general_main")</f>
        <v>1302.7499999999998</v>
      </c>
      <c r="C15" s="42">
        <f>SUMIFS(H:H,G:G,"&lt;&gt;general_main",J:J,C13)</f>
        <v>1302.7499999999998</v>
      </c>
      <c r="D15" s="42">
        <f>SUMIF($J:$J,D13,$H:$H)</f>
        <v>0</v>
      </c>
      <c r="E15" s="42">
        <f>SUMIF($J:$J,E13,$H:$H)</f>
        <v>0</v>
      </c>
      <c r="F15"/>
      <c r="G15" s="65" t="s">
        <v>243</v>
      </c>
      <c r="H15" s="65">
        <v>123</v>
      </c>
      <c r="I15" s="65">
        <v>11.43</v>
      </c>
      <c r="J15" s="65" t="s">
        <v>12</v>
      </c>
      <c r="K15" s="65" t="s">
        <v>4</v>
      </c>
      <c r="L15" s="65" t="s">
        <v>431</v>
      </c>
      <c r="M15" s="65" t="s">
        <v>141</v>
      </c>
      <c r="N15" s="100">
        <v>138</v>
      </c>
      <c r="O15" s="100">
        <v>1577.34</v>
      </c>
    </row>
    <row r="16" spans="1:16" x14ac:dyDescent="0.25">
      <c r="A16" s="4" t="s">
        <v>59</v>
      </c>
      <c r="B16" s="42">
        <f>B14*0.092903</f>
        <v>148.6448</v>
      </c>
      <c r="C16" s="42">
        <f t="shared" ref="C16:E17" si="0">C14*0.092903</f>
        <v>148.6448</v>
      </c>
      <c r="D16" s="42">
        <f t="shared" si="0"/>
        <v>0</v>
      </c>
      <c r="E16" s="42">
        <f t="shared" si="0"/>
        <v>0</v>
      </c>
      <c r="F16"/>
      <c r="G16" s="65" t="s">
        <v>245</v>
      </c>
      <c r="H16" s="65">
        <v>164</v>
      </c>
      <c r="I16" s="65">
        <v>15.24</v>
      </c>
      <c r="J16" s="65" t="s">
        <v>12</v>
      </c>
      <c r="K16" s="65" t="s">
        <v>4</v>
      </c>
      <c r="L16" s="65" t="s">
        <v>716</v>
      </c>
      <c r="M16" s="65" t="s">
        <v>141</v>
      </c>
      <c r="N16" s="100">
        <v>138</v>
      </c>
      <c r="O16" s="100">
        <v>2103.12</v>
      </c>
    </row>
    <row r="17" spans="1:15" x14ac:dyDescent="0.25">
      <c r="A17" s="4" t="s">
        <v>60</v>
      </c>
      <c r="B17" s="42">
        <f>B15*0.092903</f>
        <v>121.02938324999998</v>
      </c>
      <c r="C17" s="42">
        <f t="shared" si="0"/>
        <v>121.02938324999998</v>
      </c>
      <c r="D17" s="42">
        <f t="shared" si="0"/>
        <v>0</v>
      </c>
      <c r="E17" s="42">
        <f t="shared" si="0"/>
        <v>0</v>
      </c>
      <c r="F17"/>
      <c r="G17" s="65" t="s">
        <v>4</v>
      </c>
      <c r="H17" s="65">
        <v>73.67</v>
      </c>
      <c r="I17" s="65">
        <v>6.84</v>
      </c>
      <c r="J17" s="65" t="s">
        <v>12</v>
      </c>
      <c r="K17" s="65" t="s">
        <v>4</v>
      </c>
      <c r="L17" s="65" t="s">
        <v>429</v>
      </c>
      <c r="M17" s="65" t="s">
        <v>141</v>
      </c>
      <c r="N17" s="100">
        <v>138</v>
      </c>
      <c r="O17" s="100">
        <v>943.92</v>
      </c>
    </row>
    <row r="18" spans="1:15" x14ac:dyDescent="0.25">
      <c r="A18" s="4" t="s">
        <v>44</v>
      </c>
      <c r="B18" s="43">
        <f>IF(B14&gt;0,B15/B14,"")</f>
        <v>0.81421874999999988</v>
      </c>
      <c r="C18" s="43">
        <f t="shared" ref="C18:E18" si="1">IF(C14&gt;0,C15/C14,"")</f>
        <v>0.81421874999999988</v>
      </c>
      <c r="D18" s="43" t="str">
        <f t="shared" si="1"/>
        <v/>
      </c>
      <c r="E18" s="43" t="str">
        <f t="shared" si="1"/>
        <v/>
      </c>
      <c r="F18"/>
      <c r="G18" s="65" t="s">
        <v>5</v>
      </c>
      <c r="H18" s="65">
        <v>73.67</v>
      </c>
      <c r="I18" s="65">
        <v>6.84</v>
      </c>
      <c r="J18" s="65" t="s">
        <v>12</v>
      </c>
      <c r="K18" s="65" t="s">
        <v>5</v>
      </c>
      <c r="L18" s="65" t="s">
        <v>717</v>
      </c>
      <c r="M18" s="65" t="s">
        <v>141</v>
      </c>
      <c r="N18" s="100">
        <v>138</v>
      </c>
      <c r="O18" s="100">
        <v>943.92</v>
      </c>
    </row>
    <row r="19" spans="1:15" x14ac:dyDescent="0.25">
      <c r="A19" s="1"/>
      <c r="B19" s="1"/>
      <c r="C19" s="1"/>
      <c r="D19" s="1"/>
      <c r="E19" s="1"/>
      <c r="F19"/>
      <c r="G19" s="65" t="s">
        <v>246</v>
      </c>
      <c r="H19" s="65">
        <v>206</v>
      </c>
      <c r="I19" s="65">
        <v>19.14</v>
      </c>
      <c r="J19" s="65" t="s">
        <v>12</v>
      </c>
      <c r="K19" s="65" t="s">
        <v>14</v>
      </c>
      <c r="L19" s="65" t="s">
        <v>718</v>
      </c>
      <c r="M19" s="65" t="s">
        <v>141</v>
      </c>
      <c r="N19" s="100">
        <v>138</v>
      </c>
      <c r="O19" s="100">
        <v>2641.32</v>
      </c>
    </row>
    <row r="20" spans="1:15" x14ac:dyDescent="0.25">
      <c r="A20" s="99" t="s">
        <v>249</v>
      </c>
      <c r="B20" s="97" t="s">
        <v>1</v>
      </c>
      <c r="C20" s="97" t="s">
        <v>12</v>
      </c>
      <c r="D20" s="97" t="s">
        <v>11</v>
      </c>
      <c r="E20" s="97" t="s">
        <v>51</v>
      </c>
      <c r="F20"/>
      <c r="G20" s="65" t="s">
        <v>6</v>
      </c>
      <c r="H20" s="65">
        <v>66.31</v>
      </c>
      <c r="I20" s="65">
        <v>6.16</v>
      </c>
      <c r="J20" s="65" t="s">
        <v>12</v>
      </c>
      <c r="K20" s="65" t="s">
        <v>6</v>
      </c>
      <c r="L20" s="65" t="s">
        <v>719</v>
      </c>
      <c r="M20" s="65" t="s">
        <v>141</v>
      </c>
      <c r="N20" s="100">
        <v>138</v>
      </c>
      <c r="O20" s="100">
        <v>850.08</v>
      </c>
    </row>
    <row r="21" spans="1:15" x14ac:dyDescent="0.25">
      <c r="A21" s="82" t="s">
        <v>146</v>
      </c>
      <c r="B21" s="101">
        <f>SUM(C21:E21)</f>
        <v>5202.5680000000002</v>
      </c>
      <c r="C21" s="101">
        <f>C16*VLOOKUP($A21,$M$3:$N$37,2,FALSE)</f>
        <v>5202.5680000000002</v>
      </c>
      <c r="D21" s="101">
        <f t="shared" ref="D21:E21" si="2">D16*VLOOKUP($A21,$M$3:$N$37,2,FALSE)</f>
        <v>0</v>
      </c>
      <c r="E21" s="101">
        <f t="shared" si="2"/>
        <v>0</v>
      </c>
      <c r="F21"/>
      <c r="G21" s="65" t="s">
        <v>471</v>
      </c>
      <c r="H21" s="65">
        <v>158.02000000000001</v>
      </c>
      <c r="I21" s="65">
        <v>14.68</v>
      </c>
      <c r="J21" s="65" t="s">
        <v>12</v>
      </c>
      <c r="K21" s="65" t="s">
        <v>472</v>
      </c>
      <c r="L21" s="65" t="s">
        <v>720</v>
      </c>
      <c r="M21" s="65" t="s">
        <v>141</v>
      </c>
      <c r="N21" s="100">
        <v>138</v>
      </c>
      <c r="O21" s="100">
        <v>2025.84</v>
      </c>
    </row>
    <row r="22" spans="1:15" x14ac:dyDescent="0.25">
      <c r="A22" s="82" t="s">
        <v>145</v>
      </c>
      <c r="B22" s="101">
        <f t="shared" ref="B22:B24" si="3">SUM(C22:E22)</f>
        <v>4158.1499999999996</v>
      </c>
      <c r="C22" s="101">
        <f>SUMIFS($O$3:$O$37,$J$3:$J$37,C$20,$M$3:$M$37,$A22)</f>
        <v>4158.1499999999996</v>
      </c>
      <c r="D22" s="101">
        <f t="shared" ref="D22:E24" si="4">SUMIFS($O$3:$O$37,$J$3:$J$37,D$20,$M$3:$M$37,$A22)</f>
        <v>0</v>
      </c>
      <c r="E22" s="101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100"/>
      <c r="O22" s="100"/>
    </row>
    <row r="23" spans="1:15" x14ac:dyDescent="0.25">
      <c r="A23" s="82" t="s">
        <v>141</v>
      </c>
      <c r="B23" s="101">
        <f t="shared" si="3"/>
        <v>14690.1</v>
      </c>
      <c r="C23" s="101">
        <f t="shared" ref="C23:C24" si="5">SUMIFS($O$3:$O$37,$J$3:$J$37,C$20,$M$3:$M$37,$A23)</f>
        <v>14690.1</v>
      </c>
      <c r="D23" s="101">
        <f t="shared" si="4"/>
        <v>0</v>
      </c>
      <c r="E23" s="101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100"/>
      <c r="O23" s="100"/>
    </row>
    <row r="24" spans="1:15" x14ac:dyDescent="0.25">
      <c r="A24" s="82" t="s">
        <v>147</v>
      </c>
      <c r="B24" s="101">
        <f t="shared" si="3"/>
        <v>0</v>
      </c>
      <c r="C24" s="101">
        <f t="shared" si="5"/>
        <v>0</v>
      </c>
      <c r="D24" s="101">
        <f t="shared" si="4"/>
        <v>0</v>
      </c>
      <c r="E24" s="101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0"/>
      <c r="O24" s="100"/>
    </row>
    <row r="25" spans="1:15" x14ac:dyDescent="0.25">
      <c r="A25" s="98" t="s">
        <v>1</v>
      </c>
      <c r="B25" s="101">
        <f>SUM(B21:B24)</f>
        <v>24050.817999999999</v>
      </c>
      <c r="C25" s="103">
        <f t="shared" ref="C25:E25" si="6">SUM(C21:C24)</f>
        <v>24050.817999999999</v>
      </c>
      <c r="D25" s="103">
        <f t="shared" si="6"/>
        <v>0</v>
      </c>
      <c r="E25" s="103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100"/>
      <c r="O25" s="100"/>
    </row>
    <row r="26" spans="1:15" x14ac:dyDescent="0.25">
      <c r="A26" s="98" t="s">
        <v>149</v>
      </c>
      <c r="B26" s="101">
        <f>IF(B16&gt;0,B25/B16,"")</f>
        <v>161.8006011646556</v>
      </c>
      <c r="C26" s="101">
        <f t="shared" ref="C26:E26" si="7">IF(C16&gt;0,C25/C16,"")</f>
        <v>161.8006011646556</v>
      </c>
      <c r="D26" s="101" t="str">
        <f t="shared" si="7"/>
        <v/>
      </c>
      <c r="E26" s="101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100"/>
      <c r="O26" s="100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00"/>
      <c r="O27" s="100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0"/>
      <c r="O28" s="100"/>
    </row>
    <row r="29" spans="1:15" x14ac:dyDescent="0.25">
      <c r="A29" s="117" t="s">
        <v>7</v>
      </c>
      <c r="B29" s="117">
        <v>1</v>
      </c>
      <c r="C29" s="117">
        <v>1</v>
      </c>
      <c r="D29" s="117">
        <v>0</v>
      </c>
      <c r="E29" s="117">
        <v>0</v>
      </c>
      <c r="F29"/>
      <c r="G29" s="65"/>
      <c r="H29" s="65"/>
      <c r="I29" s="65"/>
      <c r="J29" s="65"/>
      <c r="K29" s="65"/>
      <c r="L29" s="65"/>
      <c r="M29" s="65"/>
      <c r="N29" s="100"/>
      <c r="O29" s="100"/>
    </row>
    <row r="30" spans="1:15" x14ac:dyDescent="0.25">
      <c r="A30" s="117" t="s">
        <v>476</v>
      </c>
      <c r="B30" s="117">
        <v>1</v>
      </c>
      <c r="C30" s="117">
        <v>1</v>
      </c>
      <c r="D30" s="117">
        <v>0</v>
      </c>
      <c r="E30" s="117">
        <v>0</v>
      </c>
      <c r="F30"/>
      <c r="G30" s="65"/>
      <c r="H30" s="65"/>
      <c r="I30" s="65"/>
      <c r="J30" s="65"/>
      <c r="K30" s="65"/>
      <c r="L30" s="65"/>
      <c r="M30" s="65"/>
      <c r="N30" s="100"/>
      <c r="O30" s="100"/>
    </row>
    <row r="31" spans="1:15" x14ac:dyDescent="0.25">
      <c r="A31" s="117" t="s">
        <v>474</v>
      </c>
      <c r="B31" s="117">
        <v>1</v>
      </c>
      <c r="C31" s="117">
        <v>1</v>
      </c>
      <c r="D31" s="117">
        <v>0</v>
      </c>
      <c r="E31" s="117">
        <v>0</v>
      </c>
      <c r="F31"/>
      <c r="G31" s="65"/>
      <c r="H31" s="65"/>
      <c r="I31" s="65"/>
      <c r="J31" s="65"/>
      <c r="K31" s="65"/>
      <c r="L31" s="65"/>
      <c r="M31" s="65"/>
      <c r="N31" s="100"/>
      <c r="O31" s="100"/>
    </row>
    <row r="32" spans="1:15" x14ac:dyDescent="0.25">
      <c r="A32" s="117" t="s">
        <v>13</v>
      </c>
      <c r="B32" s="117">
        <v>2</v>
      </c>
      <c r="C32" s="117">
        <v>2</v>
      </c>
      <c r="D32" s="117">
        <v>0</v>
      </c>
      <c r="E32" s="117">
        <v>0</v>
      </c>
      <c r="G32" s="65"/>
      <c r="H32" s="65"/>
      <c r="I32" s="65"/>
      <c r="J32" s="65"/>
      <c r="K32" s="65"/>
      <c r="L32" s="65"/>
      <c r="M32" s="65"/>
      <c r="N32" s="100"/>
      <c r="O32" s="100"/>
    </row>
    <row r="33" spans="1:15" x14ac:dyDescent="0.25">
      <c r="A33" s="117" t="s">
        <v>466</v>
      </c>
      <c r="B33" s="117">
        <v>1</v>
      </c>
      <c r="C33" s="117">
        <v>1</v>
      </c>
      <c r="D33" s="117">
        <v>0</v>
      </c>
      <c r="E33" s="117">
        <v>0</v>
      </c>
      <c r="G33" s="65"/>
      <c r="H33" s="65"/>
      <c r="I33" s="65"/>
      <c r="J33" s="65"/>
      <c r="K33" s="65"/>
      <c r="L33" s="65"/>
      <c r="M33" s="65"/>
      <c r="N33" s="100"/>
      <c r="O33" s="100"/>
    </row>
    <row r="34" spans="1:15" x14ac:dyDescent="0.25">
      <c r="A34" s="117" t="s">
        <v>15</v>
      </c>
      <c r="B34" s="117">
        <v>1</v>
      </c>
      <c r="C34" s="117">
        <v>1</v>
      </c>
      <c r="D34" s="117">
        <v>0</v>
      </c>
      <c r="E34" s="117">
        <v>0</v>
      </c>
      <c r="G34" s="65"/>
      <c r="H34" s="65"/>
      <c r="I34" s="65"/>
      <c r="J34" s="65"/>
      <c r="K34" s="65"/>
      <c r="L34" s="65"/>
      <c r="M34" s="65"/>
      <c r="N34" s="100"/>
      <c r="O34" s="100"/>
    </row>
    <row r="35" spans="1:15" x14ac:dyDescent="0.25">
      <c r="A35" s="117" t="s">
        <v>713</v>
      </c>
      <c r="B35" s="117">
        <v>1</v>
      </c>
      <c r="C35" s="117">
        <v>1</v>
      </c>
      <c r="D35" s="117">
        <v>0</v>
      </c>
      <c r="E35" s="117">
        <v>0</v>
      </c>
      <c r="G35" s="65"/>
      <c r="H35" s="65"/>
      <c r="I35" s="65"/>
      <c r="J35" s="65"/>
      <c r="K35" s="65"/>
      <c r="L35" s="65"/>
      <c r="M35" s="65"/>
      <c r="N35" s="100"/>
      <c r="O35" s="100"/>
    </row>
    <row r="36" spans="1:15" x14ac:dyDescent="0.25">
      <c r="A36" s="117" t="s">
        <v>14</v>
      </c>
      <c r="B36" s="117">
        <v>2</v>
      </c>
      <c r="C36" s="117">
        <v>2</v>
      </c>
      <c r="D36" s="117">
        <v>0</v>
      </c>
      <c r="E36" s="117">
        <v>0</v>
      </c>
      <c r="G36" s="65"/>
      <c r="H36" s="65"/>
      <c r="I36" s="65"/>
      <c r="J36" s="65"/>
      <c r="K36" s="65"/>
      <c r="L36" s="65"/>
      <c r="M36" s="65"/>
      <c r="N36" s="100"/>
      <c r="O36" s="100"/>
    </row>
    <row r="37" spans="1:15" x14ac:dyDescent="0.25">
      <c r="A37" s="117" t="s">
        <v>4</v>
      </c>
      <c r="B37" s="117">
        <v>3</v>
      </c>
      <c r="C37" s="117">
        <v>3</v>
      </c>
      <c r="D37" s="117">
        <v>0</v>
      </c>
      <c r="E37" s="117">
        <v>0</v>
      </c>
      <c r="G37" s="65"/>
      <c r="H37" s="65"/>
      <c r="I37" s="65"/>
      <c r="J37" s="65"/>
      <c r="K37" s="65"/>
      <c r="L37" s="65"/>
      <c r="M37" s="65"/>
      <c r="N37" s="100"/>
      <c r="O37" s="100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472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1">
    <sortCondition ref="J3:J21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8.85546875" style="1" bestFit="1" customWidth="1"/>
    <col min="15" max="15" width="13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6217.9750000000004</v>
      </c>
      <c r="C8" s="8">
        <v>14322.5</v>
      </c>
      <c r="D8" s="8">
        <v>0</v>
      </c>
      <c r="E8" s="8">
        <v>20540.474999999999</v>
      </c>
      <c r="F8"/>
      <c r="G8"/>
    </row>
    <row r="9" spans="1:7" x14ac:dyDescent="0.25">
      <c r="A9" s="3" t="s">
        <v>29</v>
      </c>
      <c r="B9" s="8">
        <v>6217.9750000000004</v>
      </c>
      <c r="C9" s="8">
        <v>14322.5</v>
      </c>
      <c r="D9" s="8">
        <v>0</v>
      </c>
      <c r="E9" s="8">
        <v>20540.474999999999</v>
      </c>
      <c r="F9"/>
      <c r="G9"/>
    </row>
    <row r="10" spans="1:7" x14ac:dyDescent="0.25">
      <c r="A10" s="3" t="s">
        <v>30</v>
      </c>
      <c r="B10" s="8">
        <v>57931.331249999988</v>
      </c>
      <c r="C10" s="8">
        <v>14322.5</v>
      </c>
      <c r="D10" s="8">
        <v>860.07999999999993</v>
      </c>
      <c r="E10" s="8">
        <v>73113.91124999999</v>
      </c>
      <c r="F10"/>
      <c r="G10"/>
    </row>
    <row r="11" spans="1:7" x14ac:dyDescent="0.25">
      <c r="A11" s="3" t="s">
        <v>31</v>
      </c>
      <c r="B11" s="8">
        <v>91817.061249999926</v>
      </c>
      <c r="C11" s="8">
        <v>14322.5</v>
      </c>
      <c r="D11" s="8">
        <v>2839.7570000000001</v>
      </c>
      <c r="E11" s="8">
        <v>108979.31824999992</v>
      </c>
      <c r="F11"/>
      <c r="G11"/>
    </row>
    <row r="12" spans="1:7" x14ac:dyDescent="0.25">
      <c r="A12" s="3" t="s">
        <v>32</v>
      </c>
      <c r="B12" s="8">
        <v>91817.061249999926</v>
      </c>
      <c r="C12" s="8">
        <v>16158.89</v>
      </c>
      <c r="D12" s="8">
        <v>2839.7570000000001</v>
      </c>
      <c r="E12" s="8">
        <v>110815.70824999992</v>
      </c>
      <c r="F12"/>
      <c r="G12"/>
    </row>
    <row r="13" spans="1:7" x14ac:dyDescent="0.25">
      <c r="A13" s="3" t="s">
        <v>33</v>
      </c>
      <c r="B13" s="8">
        <v>110754.57124999991</v>
      </c>
      <c r="C13" s="8">
        <v>21529.370000000003</v>
      </c>
      <c r="D13" s="8">
        <v>3408.9739999999997</v>
      </c>
      <c r="E13" s="8">
        <v>135692.9152499999</v>
      </c>
      <c r="F13"/>
      <c r="G13"/>
    </row>
    <row r="14" spans="1:7" x14ac:dyDescent="0.25">
      <c r="A14" s="3" t="s">
        <v>34</v>
      </c>
      <c r="B14" s="8">
        <v>119036.09374999993</v>
      </c>
      <c r="C14" s="8">
        <v>21529.370000000003</v>
      </c>
      <c r="D14" s="8">
        <v>3711.2940000000003</v>
      </c>
      <c r="E14" s="8">
        <v>144276.75774999993</v>
      </c>
      <c r="F14"/>
      <c r="G14"/>
    </row>
    <row r="15" spans="1:7" x14ac:dyDescent="0.25">
      <c r="A15" s="3" t="s">
        <v>35</v>
      </c>
      <c r="B15" s="8">
        <v>127185.81749999998</v>
      </c>
      <c r="C15" s="8">
        <v>23298.440000000002</v>
      </c>
      <c r="D15" s="8">
        <v>9345.9940000000006</v>
      </c>
      <c r="E15" s="8">
        <v>159830.25149999998</v>
      </c>
      <c r="F15"/>
      <c r="G15"/>
    </row>
    <row r="16" spans="1:7" x14ac:dyDescent="0.25">
      <c r="A16" s="3" t="s">
        <v>36</v>
      </c>
      <c r="B16" s="8">
        <v>158841.60750000001</v>
      </c>
      <c r="C16" s="8">
        <v>23298.440000000002</v>
      </c>
      <c r="D16" s="8">
        <v>10364.690999999999</v>
      </c>
      <c r="E16" s="8">
        <v>192504.73850000001</v>
      </c>
      <c r="F16"/>
      <c r="G16"/>
    </row>
    <row r="17" spans="1:23" x14ac:dyDescent="0.25">
      <c r="A17" s="3" t="s">
        <v>37</v>
      </c>
      <c r="B17" s="8">
        <v>170803.71749999994</v>
      </c>
      <c r="C17" s="8">
        <v>23298.440000000002</v>
      </c>
      <c r="D17" s="8">
        <v>11250.290999999999</v>
      </c>
      <c r="E17" s="8">
        <v>205352.44849999994</v>
      </c>
      <c r="F17"/>
      <c r="G17"/>
    </row>
    <row r="18" spans="1:23" x14ac:dyDescent="0.25">
      <c r="A18" s="3" t="s">
        <v>38</v>
      </c>
      <c r="B18" s="8">
        <v>216061.30250000008</v>
      </c>
      <c r="C18" s="8">
        <v>25320.06</v>
      </c>
      <c r="D18" s="8">
        <v>15207.264999999998</v>
      </c>
      <c r="E18" s="8">
        <v>256588.62750000006</v>
      </c>
      <c r="F18"/>
      <c r="G18"/>
    </row>
    <row r="19" spans="1:23" x14ac:dyDescent="0.25">
      <c r="A19" s="3" t="s">
        <v>39</v>
      </c>
      <c r="B19" s="8">
        <v>227071.03000000006</v>
      </c>
      <c r="C19" s="8">
        <v>25320.06</v>
      </c>
      <c r="D19" s="8">
        <v>15839.349999999997</v>
      </c>
      <c r="E19" s="8">
        <v>268230.44000000006</v>
      </c>
      <c r="F19"/>
      <c r="G19"/>
    </row>
    <row r="20" spans="1:23" x14ac:dyDescent="0.25">
      <c r="A20" s="3" t="s">
        <v>40</v>
      </c>
      <c r="B20" s="8">
        <v>230679.85000000006</v>
      </c>
      <c r="C20" s="8">
        <v>25320.06</v>
      </c>
      <c r="D20" s="8">
        <v>16077.899999999998</v>
      </c>
      <c r="E20" s="8">
        <v>272077.81000000006</v>
      </c>
      <c r="F20"/>
      <c r="G20"/>
    </row>
    <row r="21" spans="1:23" x14ac:dyDescent="0.25">
      <c r="A21" s="3" t="s">
        <v>41</v>
      </c>
      <c r="B21" s="8">
        <v>240810.62000000011</v>
      </c>
      <c r="C21" s="8">
        <v>25320.06</v>
      </c>
      <c r="D21" s="8">
        <v>17291.859999999997</v>
      </c>
      <c r="E21" s="8">
        <v>283422.5400000001</v>
      </c>
      <c r="F21"/>
      <c r="G21"/>
    </row>
    <row r="22" spans="1:23" x14ac:dyDescent="0.25">
      <c r="A22" s="3" t="s">
        <v>42</v>
      </c>
      <c r="B22" s="8">
        <v>240810.62000000011</v>
      </c>
      <c r="C22" s="8">
        <v>25320.06</v>
      </c>
      <c r="D22" s="8">
        <v>17291.859999999997</v>
      </c>
      <c r="E22" s="8">
        <v>283422.5400000001</v>
      </c>
      <c r="F22"/>
      <c r="G22"/>
    </row>
    <row r="23" spans="1:23" x14ac:dyDescent="0.25">
      <c r="A23" s="3" t="s">
        <v>43</v>
      </c>
      <c r="B23" s="8">
        <v>240810.62000000011</v>
      </c>
      <c r="C23" s="8">
        <v>25320.06</v>
      </c>
      <c r="D23" s="8">
        <v>17291.859999999997</v>
      </c>
      <c r="E23" s="8">
        <v>283422.5400000001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476</v>
      </c>
      <c r="M31" t="s">
        <v>474</v>
      </c>
      <c r="N31" t="s">
        <v>466</v>
      </c>
      <c r="O31" t="s">
        <v>713</v>
      </c>
      <c r="P31" t="s">
        <v>472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14322.5</v>
      </c>
      <c r="D33" s="8">
        <v>6217.9750000000004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20540.474999999999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14322.5</v>
      </c>
      <c r="D34" s="8">
        <v>6217.9750000000004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20540.474999999999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860.07999999999993</v>
      </c>
      <c r="C35" s="8">
        <v>14322.5</v>
      </c>
      <c r="D35" s="8">
        <v>7772.46875</v>
      </c>
      <c r="E35" s="8">
        <v>8786.4750000000004</v>
      </c>
      <c r="F35" s="8">
        <v>2312.9749999999999</v>
      </c>
      <c r="G35" s="8">
        <v>12120.527499999998</v>
      </c>
      <c r="H35" s="8">
        <v>2561.81</v>
      </c>
      <c r="I35" s="8">
        <v>2470.3500000000004</v>
      </c>
      <c r="J35" s="8">
        <v>8706.4050000000007</v>
      </c>
      <c r="K35" s="8">
        <v>2342.0724999999998</v>
      </c>
      <c r="L35" s="8">
        <v>1427.1225000000002</v>
      </c>
      <c r="M35" s="8">
        <v>1464.5</v>
      </c>
      <c r="N35" s="8">
        <v>1184.51</v>
      </c>
      <c r="O35" s="8">
        <v>2312.9749999999999</v>
      </c>
      <c r="P35" s="8">
        <v>4469.1399999999994</v>
      </c>
      <c r="Q35" s="8">
        <v>73113.91124999999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2839.7570000000001</v>
      </c>
      <c r="C36" s="8">
        <v>14322.5</v>
      </c>
      <c r="D36" s="8">
        <v>11800.468749999998</v>
      </c>
      <c r="E36" s="8">
        <v>14900.815000000001</v>
      </c>
      <c r="F36" s="8">
        <v>3075.0850000000005</v>
      </c>
      <c r="G36" s="8">
        <v>16401.4575</v>
      </c>
      <c r="H36" s="8">
        <v>15857.070000000002</v>
      </c>
      <c r="I36" s="8">
        <v>2770.7</v>
      </c>
      <c r="J36" s="8">
        <v>9576.8450000000012</v>
      </c>
      <c r="K36" s="8">
        <v>2656.9924999999998</v>
      </c>
      <c r="L36" s="8">
        <v>2098.8425000000002</v>
      </c>
      <c r="M36" s="8">
        <v>1674.46</v>
      </c>
      <c r="N36" s="8">
        <v>3011.0400000000004</v>
      </c>
      <c r="O36" s="8">
        <v>3075.0850000000005</v>
      </c>
      <c r="P36" s="8">
        <v>4918.1999999999989</v>
      </c>
      <c r="Q36" s="8">
        <v>108979.31825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2839.7570000000001</v>
      </c>
      <c r="C37" s="8">
        <v>16158.89</v>
      </c>
      <c r="D37" s="8">
        <v>11800.468749999998</v>
      </c>
      <c r="E37" s="8">
        <v>14900.815000000001</v>
      </c>
      <c r="F37" s="8">
        <v>3075.0850000000005</v>
      </c>
      <c r="G37" s="8">
        <v>16401.4575</v>
      </c>
      <c r="H37" s="8">
        <v>15857.070000000002</v>
      </c>
      <c r="I37" s="8">
        <v>2770.7</v>
      </c>
      <c r="J37" s="8">
        <v>9576.8450000000012</v>
      </c>
      <c r="K37" s="8">
        <v>2656.9924999999998</v>
      </c>
      <c r="L37" s="8">
        <v>2098.8425000000002</v>
      </c>
      <c r="M37" s="8">
        <v>1674.46</v>
      </c>
      <c r="N37" s="8">
        <v>3011.0400000000004</v>
      </c>
      <c r="O37" s="8">
        <v>3075.0850000000005</v>
      </c>
      <c r="P37" s="8">
        <v>4918.1999999999989</v>
      </c>
      <c r="Q37" s="8">
        <v>110815.70825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3408.9739999999997</v>
      </c>
      <c r="C38" s="8">
        <v>21529.370000000003</v>
      </c>
      <c r="D38" s="8">
        <v>11800.468749999998</v>
      </c>
      <c r="E38" s="8">
        <v>14900.815000000001</v>
      </c>
      <c r="F38" s="8">
        <v>3075.0850000000005</v>
      </c>
      <c r="G38" s="8">
        <v>16401.4575</v>
      </c>
      <c r="H38" s="8">
        <v>34749.239999999991</v>
      </c>
      <c r="I38" s="8">
        <v>2770.7</v>
      </c>
      <c r="J38" s="8">
        <v>9576.8450000000012</v>
      </c>
      <c r="K38" s="8">
        <v>2656.9924999999998</v>
      </c>
      <c r="L38" s="8">
        <v>2144.1825000000003</v>
      </c>
      <c r="M38" s="8">
        <v>1674.46</v>
      </c>
      <c r="N38" s="8">
        <v>3011.0400000000004</v>
      </c>
      <c r="O38" s="8">
        <v>3075.0850000000005</v>
      </c>
      <c r="P38" s="8">
        <v>4918.1999999999989</v>
      </c>
      <c r="Q38" s="8">
        <v>135692.91524999999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3711.2940000000003</v>
      </c>
      <c r="C39" s="8">
        <v>21529.370000000003</v>
      </c>
      <c r="D39" s="8">
        <v>11800.468749999998</v>
      </c>
      <c r="E39" s="8">
        <v>15467.135</v>
      </c>
      <c r="F39" s="8">
        <v>3491.5750000000003</v>
      </c>
      <c r="G39" s="8">
        <v>18484.832500000004</v>
      </c>
      <c r="H39" s="8">
        <v>35250.822499999995</v>
      </c>
      <c r="I39" s="8">
        <v>3282.6174999999994</v>
      </c>
      <c r="J39" s="8">
        <v>11227.719999999998</v>
      </c>
      <c r="K39" s="8">
        <v>3140.5875000000001</v>
      </c>
      <c r="L39" s="8">
        <v>2404.3749999999995</v>
      </c>
      <c r="M39" s="8">
        <v>2003.9375</v>
      </c>
      <c r="N39" s="8">
        <v>3222.9850000000006</v>
      </c>
      <c r="O39" s="8">
        <v>3491.5750000000003</v>
      </c>
      <c r="P39" s="8">
        <v>5767.4624999999996</v>
      </c>
      <c r="Q39" s="8">
        <v>144276.75774999996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9345.9940000000006</v>
      </c>
      <c r="C40" s="8">
        <v>23298.440000000002</v>
      </c>
      <c r="D40" s="8">
        <v>13457.646499999997</v>
      </c>
      <c r="E40" s="8">
        <v>19574.097999999994</v>
      </c>
      <c r="F40" s="8">
        <v>3642.5700000000006</v>
      </c>
      <c r="G40" s="8">
        <v>19096.575000000004</v>
      </c>
      <c r="H40" s="8">
        <v>35651.469999999994</v>
      </c>
      <c r="I40" s="8">
        <v>3418.3099999999995</v>
      </c>
      <c r="J40" s="8">
        <v>11765.879999999997</v>
      </c>
      <c r="K40" s="8">
        <v>3239.5850000000005</v>
      </c>
      <c r="L40" s="8">
        <v>2473.9289999999996</v>
      </c>
      <c r="M40" s="8">
        <v>2069.9499999999998</v>
      </c>
      <c r="N40" s="8">
        <v>3307.8440000000001</v>
      </c>
      <c r="O40" s="8">
        <v>3565.3900000000003</v>
      </c>
      <c r="P40" s="8">
        <v>5922.57</v>
      </c>
      <c r="Q40" s="8">
        <v>159830.25150000004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10364.690999999999</v>
      </c>
      <c r="C41" s="8">
        <v>23298.440000000002</v>
      </c>
      <c r="D41" s="8">
        <v>13457.646499999997</v>
      </c>
      <c r="E41" s="8">
        <v>37323.147999999986</v>
      </c>
      <c r="F41" s="8">
        <v>3937.4500000000007</v>
      </c>
      <c r="G41" s="8">
        <v>20909.934999999998</v>
      </c>
      <c r="H41" s="8">
        <v>39726.439999999995</v>
      </c>
      <c r="I41" s="8">
        <v>3788.62</v>
      </c>
      <c r="J41" s="8">
        <v>13319.529999999999</v>
      </c>
      <c r="K41" s="8">
        <v>3572.9450000000002</v>
      </c>
      <c r="L41" s="8">
        <v>3804.0590000000002</v>
      </c>
      <c r="M41" s="8">
        <v>2247.44</v>
      </c>
      <c r="N41" s="8">
        <v>6177.134</v>
      </c>
      <c r="O41" s="8">
        <v>3860.2700000000004</v>
      </c>
      <c r="P41" s="8">
        <v>6716.99</v>
      </c>
      <c r="Q41" s="8">
        <v>192504.73849999995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11250.290999999999</v>
      </c>
      <c r="C42" s="8">
        <v>23298.440000000002</v>
      </c>
      <c r="D42" s="8">
        <v>13457.646499999997</v>
      </c>
      <c r="E42" s="8">
        <v>39765.867999999988</v>
      </c>
      <c r="F42" s="8">
        <v>4241.6200000000008</v>
      </c>
      <c r="G42" s="8">
        <v>21170.634999999998</v>
      </c>
      <c r="H42" s="8">
        <v>47643.969999999987</v>
      </c>
      <c r="I42" s="8">
        <v>3788.62</v>
      </c>
      <c r="J42" s="8">
        <v>13319.529999999999</v>
      </c>
      <c r="K42" s="8">
        <v>3572.9450000000002</v>
      </c>
      <c r="L42" s="8">
        <v>3804.0590000000002</v>
      </c>
      <c r="M42" s="8">
        <v>2247.44</v>
      </c>
      <c r="N42" s="8">
        <v>6909.9539999999997</v>
      </c>
      <c r="O42" s="8">
        <v>4164.4400000000005</v>
      </c>
      <c r="P42" s="8">
        <v>6716.99</v>
      </c>
      <c r="Q42" s="8">
        <v>205352.44849999997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15207.264999999998</v>
      </c>
      <c r="C43" s="8">
        <v>25320.06</v>
      </c>
      <c r="D43" s="8">
        <v>13713.266499999998</v>
      </c>
      <c r="E43" s="8">
        <v>54240.157999999974</v>
      </c>
      <c r="F43" s="8">
        <v>5990.5899999999992</v>
      </c>
      <c r="G43" s="8">
        <v>28361.369999999992</v>
      </c>
      <c r="H43" s="8">
        <v>50952.239999999991</v>
      </c>
      <c r="I43" s="8">
        <v>5388.590000000002</v>
      </c>
      <c r="J43" s="8">
        <v>19703.370000000003</v>
      </c>
      <c r="K43" s="8">
        <v>5144.3199999999988</v>
      </c>
      <c r="L43" s="8">
        <v>5074.9839999999986</v>
      </c>
      <c r="M43" s="8">
        <v>3309.1900000000005</v>
      </c>
      <c r="N43" s="8">
        <v>8992.8639999999996</v>
      </c>
      <c r="O43" s="8">
        <v>5913.4099999999989</v>
      </c>
      <c r="P43" s="8">
        <v>9276.9500000000007</v>
      </c>
      <c r="Q43" s="8">
        <v>256588.62749999997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15839.349999999997</v>
      </c>
      <c r="C44" s="8">
        <v>25320.06</v>
      </c>
      <c r="D44" s="8">
        <v>16822.254000000001</v>
      </c>
      <c r="E44" s="8">
        <v>54956.477999999981</v>
      </c>
      <c r="F44" s="8">
        <v>5990.5899999999992</v>
      </c>
      <c r="G44" s="8">
        <v>28361.369999999992</v>
      </c>
      <c r="H44" s="8">
        <v>56920.759999999987</v>
      </c>
      <c r="I44" s="8">
        <v>5388.590000000002</v>
      </c>
      <c r="J44" s="8">
        <v>19703.370000000003</v>
      </c>
      <c r="K44" s="8">
        <v>5144.3199999999988</v>
      </c>
      <c r="L44" s="8">
        <v>5932.7239999999993</v>
      </c>
      <c r="M44" s="8">
        <v>3309.1900000000005</v>
      </c>
      <c r="N44" s="8">
        <v>9351.0239999999994</v>
      </c>
      <c r="O44" s="8">
        <v>5913.4099999999989</v>
      </c>
      <c r="P44" s="8">
        <v>9276.9500000000007</v>
      </c>
      <c r="Q44" s="8">
        <v>268230.43999999994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16077.899999999998</v>
      </c>
      <c r="C45" s="8">
        <v>25320.06</v>
      </c>
      <c r="D45" s="8">
        <v>16822.254000000001</v>
      </c>
      <c r="E45" s="8">
        <v>54956.477999999981</v>
      </c>
      <c r="F45" s="8">
        <v>5990.5899999999992</v>
      </c>
      <c r="G45" s="8">
        <v>28480.589999999993</v>
      </c>
      <c r="H45" s="8">
        <v>60271.259999999987</v>
      </c>
      <c r="I45" s="8">
        <v>5388.590000000002</v>
      </c>
      <c r="J45" s="8">
        <v>19703.370000000003</v>
      </c>
      <c r="K45" s="8">
        <v>5144.3199999999988</v>
      </c>
      <c r="L45" s="8">
        <v>5932.7239999999993</v>
      </c>
      <c r="M45" s="8">
        <v>3309.1900000000005</v>
      </c>
      <c r="N45" s="8">
        <v>9351.0239999999994</v>
      </c>
      <c r="O45" s="8">
        <v>6052.5099999999984</v>
      </c>
      <c r="P45" s="8">
        <v>9276.9500000000007</v>
      </c>
      <c r="Q45" s="8">
        <v>272077.80999999994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17291.859999999997</v>
      </c>
      <c r="C46" s="8">
        <v>25320.06</v>
      </c>
      <c r="D46" s="8">
        <v>18278.560000000001</v>
      </c>
      <c r="E46" s="8">
        <v>56342.909999999974</v>
      </c>
      <c r="F46" s="8">
        <v>6337.5399999999981</v>
      </c>
      <c r="G46" s="8">
        <v>30457.21</v>
      </c>
      <c r="H46" s="8">
        <v>60883.459999999977</v>
      </c>
      <c r="I46" s="8">
        <v>5763.7300000000014</v>
      </c>
      <c r="J46" s="8">
        <v>20977.06</v>
      </c>
      <c r="K46" s="8">
        <v>5637.48</v>
      </c>
      <c r="L46" s="8">
        <v>6208.0599999999995</v>
      </c>
      <c r="M46" s="8">
        <v>3613.7300000000005</v>
      </c>
      <c r="N46" s="8">
        <v>9984.029999999997</v>
      </c>
      <c r="O46" s="8">
        <v>6399.4599999999982</v>
      </c>
      <c r="P46" s="8">
        <v>9927.39</v>
      </c>
      <c r="Q46" s="8">
        <v>283422.53999999998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17291.859999999997</v>
      </c>
      <c r="C47" s="8">
        <v>25320.06</v>
      </c>
      <c r="D47" s="8">
        <v>18278.560000000001</v>
      </c>
      <c r="E47" s="8">
        <v>56342.909999999974</v>
      </c>
      <c r="F47" s="8">
        <v>6337.5399999999981</v>
      </c>
      <c r="G47" s="8">
        <v>30457.21</v>
      </c>
      <c r="H47" s="8">
        <v>60883.459999999977</v>
      </c>
      <c r="I47" s="8">
        <v>5763.7300000000014</v>
      </c>
      <c r="J47" s="8">
        <v>20977.06</v>
      </c>
      <c r="K47" s="8">
        <v>5637.48</v>
      </c>
      <c r="L47" s="8">
        <v>6208.0599999999995</v>
      </c>
      <c r="M47" s="8">
        <v>3613.7300000000005</v>
      </c>
      <c r="N47" s="8">
        <v>9984.029999999997</v>
      </c>
      <c r="O47" s="8">
        <v>6399.4599999999982</v>
      </c>
      <c r="P47" s="8">
        <v>9927.39</v>
      </c>
      <c r="Q47" s="8">
        <v>283422.53999999998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17291.859999999997</v>
      </c>
      <c r="C48" s="8">
        <v>25320.06</v>
      </c>
      <c r="D48" s="8">
        <v>18278.560000000001</v>
      </c>
      <c r="E48" s="8">
        <v>56342.909999999974</v>
      </c>
      <c r="F48" s="8">
        <v>6337.5399999999981</v>
      </c>
      <c r="G48" s="8">
        <v>30457.21</v>
      </c>
      <c r="H48" s="8">
        <v>60883.459999999977</v>
      </c>
      <c r="I48" s="8">
        <v>5763.7300000000014</v>
      </c>
      <c r="J48" s="8">
        <v>20977.06</v>
      </c>
      <c r="K48" s="8">
        <v>5637.48</v>
      </c>
      <c r="L48" s="8">
        <v>6208.0599999999995</v>
      </c>
      <c r="M48" s="8">
        <v>3613.7300000000005</v>
      </c>
      <c r="N48" s="8">
        <v>9984.029999999997</v>
      </c>
      <c r="O48" s="8">
        <v>6399.4599999999982</v>
      </c>
      <c r="P48" s="8">
        <v>9927.39</v>
      </c>
      <c r="Q48" s="8">
        <v>283422.53999999998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CE4E2-6E39-4671-BD32-D504458AD8F6}">
  <sheetPr codeName="Sheet9"/>
  <dimension ref="A1:R33"/>
  <sheetViews>
    <sheetView workbookViewId="0">
      <selection activeCell="K4" sqref="K4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3" style="71" customWidth="1"/>
    <col min="12" max="12" width="13.7109375" style="81" customWidth="1"/>
    <col min="13" max="13" width="12.7109375" style="81" customWidth="1"/>
    <col min="14" max="14" width="10.7109375" style="81" customWidth="1"/>
    <col min="15" max="15" width="12.5703125" style="71" customWidth="1"/>
    <col min="16" max="16" width="9.140625" style="71" bestFit="1" customWidth="1"/>
    <col min="17" max="17" width="25.28515625" style="71" bestFit="1" customWidth="1"/>
    <col min="18" max="18" width="10.7109375" style="71" customWidth="1"/>
    <col min="19" max="16384" width="9.140625" style="71"/>
  </cols>
  <sheetData>
    <row r="1" spans="1:18" ht="30" customHeight="1" x14ac:dyDescent="0.25">
      <c r="A1" s="138" t="s">
        <v>155</v>
      </c>
      <c r="B1" s="138"/>
      <c r="C1" s="138"/>
      <c r="D1" s="138"/>
      <c r="E1" s="138"/>
      <c r="F1" s="138"/>
      <c r="G1" s="138"/>
      <c r="H1" s="138"/>
      <c r="I1" s="138"/>
      <c r="K1" s="139" t="s">
        <v>158</v>
      </c>
      <c r="L1" s="140"/>
      <c r="M1" s="144" t="s">
        <v>156</v>
      </c>
      <c r="N1" s="144"/>
      <c r="O1" s="104" t="s">
        <v>159</v>
      </c>
    </row>
    <row r="2" spans="1:18" ht="30" customHeight="1" x14ac:dyDescent="0.25">
      <c r="A2" s="138"/>
      <c r="B2" s="138"/>
      <c r="C2" s="138"/>
      <c r="D2" s="138"/>
      <c r="E2" s="138"/>
      <c r="F2" s="138"/>
      <c r="G2" s="138"/>
      <c r="H2" s="138"/>
      <c r="I2" s="138"/>
      <c r="L2" s="145" t="s">
        <v>137</v>
      </c>
      <c r="M2" s="145"/>
      <c r="N2" s="145"/>
    </row>
    <row r="3" spans="1:18" ht="15" customHeight="1" x14ac:dyDescent="0.25">
      <c r="A3" s="72" t="s">
        <v>131</v>
      </c>
      <c r="B3" s="73" t="s">
        <v>442</v>
      </c>
      <c r="C3" s="72"/>
      <c r="D3" s="154" t="s">
        <v>438</v>
      </c>
      <c r="E3" s="154"/>
      <c r="F3" s="154"/>
      <c r="G3" s="154"/>
      <c r="H3" s="154"/>
      <c r="I3" s="146"/>
      <c r="J3" s="146"/>
      <c r="L3" s="141" t="s">
        <v>106</v>
      </c>
      <c r="M3" s="147" t="s">
        <v>110</v>
      </c>
      <c r="N3" s="147"/>
      <c r="O3" s="74"/>
      <c r="P3" s="71" t="s">
        <v>133</v>
      </c>
    </row>
    <row r="4" spans="1:18" ht="30" customHeight="1" x14ac:dyDescent="0.25">
      <c r="A4" s="71" t="s">
        <v>103</v>
      </c>
      <c r="B4" s="76">
        <v>1</v>
      </c>
      <c r="C4" s="76"/>
      <c r="D4" s="155" t="s">
        <v>106</v>
      </c>
      <c r="E4" s="156" t="s">
        <v>12</v>
      </c>
      <c r="F4" s="156" t="s">
        <v>26</v>
      </c>
      <c r="G4" s="156" t="s">
        <v>27</v>
      </c>
      <c r="H4" s="156" t="s">
        <v>28</v>
      </c>
      <c r="I4" s="74"/>
      <c r="J4" s="74"/>
      <c r="L4" s="142"/>
      <c r="M4" s="148" t="s">
        <v>443</v>
      </c>
      <c r="N4" s="121" t="s">
        <v>134</v>
      </c>
      <c r="O4" s="74"/>
      <c r="P4" s="73" t="s">
        <v>106</v>
      </c>
      <c r="Q4" s="73" t="s">
        <v>110</v>
      </c>
      <c r="R4" s="73" t="s">
        <v>134</v>
      </c>
    </row>
    <row r="5" spans="1:18" x14ac:dyDescent="0.25">
      <c r="A5" s="71" t="s">
        <v>104</v>
      </c>
      <c r="B5" s="75" t="s">
        <v>61</v>
      </c>
      <c r="D5" s="157">
        <v>-0.9</v>
      </c>
      <c r="E5" s="158">
        <v>0</v>
      </c>
      <c r="F5" s="158">
        <v>0</v>
      </c>
      <c r="G5" s="158">
        <v>0</v>
      </c>
      <c r="H5" s="158">
        <v>0</v>
      </c>
      <c r="I5" s="77"/>
      <c r="J5" s="77"/>
      <c r="L5" s="149">
        <f>D5</f>
        <v>-0.9</v>
      </c>
      <c r="M5" s="150">
        <f>(E5+F5+G5)*$B$9</f>
        <v>0</v>
      </c>
      <c r="N5" s="150">
        <f>M5/$B$7</f>
        <v>0</v>
      </c>
      <c r="O5" s="77"/>
      <c r="P5" s="78" t="str">
        <f ca="1">_xlfn.FORMULATEXT(L5)</f>
        <v>=D5</v>
      </c>
      <c r="Q5" s="78" t="str">
        <f ca="1">_xlfn.FORMULATEXT(M5)</f>
        <v>=(E5+F5+G5)*$B$9</v>
      </c>
      <c r="R5" s="78" t="str">
        <f ca="1">_xlfn.FORMULATEXT(N5)</f>
        <v>=M5/$B$7</v>
      </c>
    </row>
    <row r="6" spans="1:18" x14ac:dyDescent="0.25">
      <c r="A6" s="71" t="s">
        <v>105</v>
      </c>
      <c r="B6" s="75" t="s">
        <v>12</v>
      </c>
      <c r="D6" s="157">
        <v>-0.46</v>
      </c>
      <c r="E6" s="158">
        <v>6217.9750000000004</v>
      </c>
      <c r="F6" s="158">
        <v>14322.5</v>
      </c>
      <c r="G6" s="158">
        <v>0</v>
      </c>
      <c r="H6" s="158">
        <v>20540.474999999999</v>
      </c>
      <c r="I6" s="77"/>
      <c r="J6" s="77"/>
      <c r="L6" s="149">
        <f t="shared" ref="L6:L21" si="0">D6</f>
        <v>-0.46</v>
      </c>
      <c r="M6" s="150">
        <f>(E6+F6+G6)*$B$9</f>
        <v>20540.474999999999</v>
      </c>
      <c r="N6" s="150">
        <f t="shared" ref="N6:N21" si="1">M6/$B$7</f>
        <v>138.18495500683508</v>
      </c>
      <c r="O6" s="77"/>
      <c r="P6" s="78" t="str">
        <f t="shared" ref="P6:R21" ca="1" si="2">_xlfn.FORMULATEXT(L6)</f>
        <v>=D6</v>
      </c>
      <c r="Q6" s="78" t="str">
        <f t="shared" ca="1" si="2"/>
        <v>=(E6+F6+G6)*$B$9</v>
      </c>
      <c r="R6" s="78" t="str">
        <f t="shared" ca="1" si="2"/>
        <v>=M6/$B$7</v>
      </c>
    </row>
    <row r="7" spans="1:18" x14ac:dyDescent="0.25">
      <c r="A7" s="71" t="s">
        <v>135</v>
      </c>
      <c r="B7" s="79">
        <v>148.6448</v>
      </c>
      <c r="D7" s="157">
        <v>0</v>
      </c>
      <c r="E7" s="158">
        <v>6217.9750000000004</v>
      </c>
      <c r="F7" s="158">
        <v>14322.5</v>
      </c>
      <c r="G7" s="158">
        <v>0</v>
      </c>
      <c r="H7" s="158">
        <v>20540.474999999999</v>
      </c>
      <c r="I7" s="77"/>
      <c r="J7" s="77"/>
      <c r="L7" s="149">
        <f t="shared" si="0"/>
        <v>0</v>
      </c>
      <c r="M7" s="150">
        <f t="shared" ref="M7" si="3">(E7+F7+G7/2)*$B$9</f>
        <v>20540.474999999999</v>
      </c>
      <c r="N7" s="150">
        <f t="shared" si="1"/>
        <v>138.18495500683508</v>
      </c>
      <c r="O7" s="77"/>
      <c r="P7" s="78" t="str">
        <f t="shared" ca="1" si="2"/>
        <v>=D7</v>
      </c>
      <c r="Q7" s="78" t="str">
        <f t="shared" ca="1" si="2"/>
        <v>=(E7+F7+G7/2)*$B$9</v>
      </c>
      <c r="R7" s="78" t="str">
        <f t="shared" ca="1" si="2"/>
        <v>=M7/$B$7</v>
      </c>
    </row>
    <row r="8" spans="1:18" x14ac:dyDescent="0.25">
      <c r="A8" s="71" t="s">
        <v>132</v>
      </c>
      <c r="B8" s="75" t="s">
        <v>140</v>
      </c>
      <c r="D8" s="157">
        <v>0.03</v>
      </c>
      <c r="E8" s="158">
        <v>57931.331249999988</v>
      </c>
      <c r="F8" s="158">
        <v>14322.5</v>
      </c>
      <c r="G8" s="158">
        <v>860.07999999999993</v>
      </c>
      <c r="H8" s="158">
        <v>73113.91124999999</v>
      </c>
      <c r="I8" s="77"/>
      <c r="J8" s="77"/>
      <c r="L8" s="149">
        <f t="shared" si="0"/>
        <v>0.03</v>
      </c>
      <c r="M8" s="150">
        <f>(E8+F8+G8+$B$17)*$B$9</f>
        <v>97164.729249999989</v>
      </c>
      <c r="N8" s="150">
        <f t="shared" si="1"/>
        <v>653.67055726133697</v>
      </c>
      <c r="O8" s="77"/>
      <c r="P8" s="78" t="str">
        <f t="shared" ca="1" si="2"/>
        <v>=D8</v>
      </c>
      <c r="Q8" s="78" t="str">
        <f t="shared" ca="1" si="2"/>
        <v>=(E8+F8+G8+$B$17)*$B$9</v>
      </c>
      <c r="R8" s="78" t="str">
        <f t="shared" ca="1" si="2"/>
        <v>=M8/$B$7</v>
      </c>
    </row>
    <row r="9" spans="1:18" x14ac:dyDescent="0.25">
      <c r="A9" s="71" t="s">
        <v>126</v>
      </c>
      <c r="B9" s="75">
        <v>1</v>
      </c>
      <c r="D9" s="157">
        <v>0.05</v>
      </c>
      <c r="E9" s="158">
        <v>91817.061249999926</v>
      </c>
      <c r="F9" s="158">
        <v>14322.5</v>
      </c>
      <c r="G9" s="158">
        <v>2839.7570000000001</v>
      </c>
      <c r="H9" s="158">
        <v>108979.31824999992</v>
      </c>
      <c r="I9" s="77"/>
      <c r="J9" s="77"/>
      <c r="L9" s="149">
        <f t="shared" si="0"/>
        <v>0.05</v>
      </c>
      <c r="M9" s="150">
        <f t="shared" ref="M9:M21" si="4">(E9+F9+G9+$B$17)*$B$9</f>
        <v>133030.13624999992</v>
      </c>
      <c r="N9" s="150">
        <f t="shared" si="1"/>
        <v>894.9531786513885</v>
      </c>
      <c r="O9" s="77"/>
      <c r="P9" s="78" t="str">
        <f t="shared" ca="1" si="2"/>
        <v>=D9</v>
      </c>
      <c r="Q9" s="78" t="str">
        <f t="shared" ca="1" si="2"/>
        <v>=(E9+F9+G9+$B$17)*$B$9</v>
      </c>
      <c r="R9" s="78" t="str">
        <f t="shared" ca="1" si="2"/>
        <v>=M9/$B$7</v>
      </c>
    </row>
    <row r="10" spans="1:18" x14ac:dyDescent="0.25">
      <c r="A10" s="71" t="s">
        <v>94</v>
      </c>
      <c r="B10" s="80" t="b">
        <f>(H21+B17)*B9=M21</f>
        <v>1</v>
      </c>
      <c r="D10" s="157">
        <v>0.1</v>
      </c>
      <c r="E10" s="158">
        <v>91817.061249999926</v>
      </c>
      <c r="F10" s="158">
        <v>16158.89</v>
      </c>
      <c r="G10" s="158">
        <v>2839.7570000000001</v>
      </c>
      <c r="H10" s="158">
        <v>110815.70824999992</v>
      </c>
      <c r="I10" s="77"/>
      <c r="J10" s="77"/>
      <c r="L10" s="149">
        <f t="shared" si="0"/>
        <v>0.1</v>
      </c>
      <c r="M10" s="150">
        <f t="shared" si="4"/>
        <v>134866.52624999994</v>
      </c>
      <c r="N10" s="150">
        <f t="shared" si="1"/>
        <v>907.30739487691415</v>
      </c>
      <c r="O10" s="77"/>
      <c r="P10" s="78" t="str">
        <f t="shared" ca="1" si="2"/>
        <v>=D10</v>
      </c>
      <c r="Q10" s="78" t="str">
        <f t="shared" ca="1" si="2"/>
        <v>=(E10+F10+G10+$B$17)*$B$9</v>
      </c>
      <c r="R10" s="78" t="str">
        <f t="shared" ca="1" si="2"/>
        <v>=M10/$B$7</v>
      </c>
    </row>
    <row r="11" spans="1:18" x14ac:dyDescent="0.25">
      <c r="D11" s="157">
        <v>0.15</v>
      </c>
      <c r="E11" s="158">
        <v>110754.57124999991</v>
      </c>
      <c r="F11" s="158">
        <v>21529.370000000003</v>
      </c>
      <c r="G11" s="158">
        <v>3408.9739999999997</v>
      </c>
      <c r="H11" s="158">
        <v>135692.9152499999</v>
      </c>
      <c r="I11" s="77"/>
      <c r="J11" s="77"/>
      <c r="L11" s="149">
        <f t="shared" si="0"/>
        <v>0.15</v>
      </c>
      <c r="M11" s="150">
        <f t="shared" si="4"/>
        <v>159743.7332499999</v>
      </c>
      <c r="N11" s="150">
        <f t="shared" si="1"/>
        <v>1074.6674841635893</v>
      </c>
      <c r="O11" s="77"/>
      <c r="P11" s="78" t="str">
        <f t="shared" ca="1" si="2"/>
        <v>=D11</v>
      </c>
      <c r="Q11" s="78" t="str">
        <f t="shared" ca="1" si="2"/>
        <v>=(E11+F11+G11+$B$17)*$B$9</v>
      </c>
      <c r="R11" s="78" t="str">
        <f t="shared" ca="1" si="2"/>
        <v>=M11/$B$7</v>
      </c>
    </row>
    <row r="12" spans="1:18" x14ac:dyDescent="0.25">
      <c r="A12" s="71" t="s">
        <v>107</v>
      </c>
      <c r="B12" s="75" t="s">
        <v>180</v>
      </c>
      <c r="D12" s="157">
        <v>0.3</v>
      </c>
      <c r="E12" s="158">
        <v>119036.09374999993</v>
      </c>
      <c r="F12" s="158">
        <v>21529.370000000003</v>
      </c>
      <c r="G12" s="158">
        <v>3711.2940000000003</v>
      </c>
      <c r="H12" s="158">
        <v>144276.75774999993</v>
      </c>
      <c r="I12" s="77"/>
      <c r="J12" s="77"/>
      <c r="L12" s="149">
        <f t="shared" si="0"/>
        <v>0.3</v>
      </c>
      <c r="M12" s="150">
        <f t="shared" si="4"/>
        <v>168327.57574999993</v>
      </c>
      <c r="N12" s="150">
        <f t="shared" si="1"/>
        <v>1132.4148288402953</v>
      </c>
      <c r="O12" s="77"/>
      <c r="P12" s="78" t="str">
        <f t="shared" ca="1" si="2"/>
        <v>=D12</v>
      </c>
      <c r="Q12" s="78" t="str">
        <f t="shared" ca="1" si="2"/>
        <v>=(E12+F12+G12+$B$17)*$B$9</v>
      </c>
      <c r="R12" s="78" t="str">
        <f t="shared" ca="1" si="2"/>
        <v>=M12/$B$7</v>
      </c>
    </row>
    <row r="13" spans="1:18" x14ac:dyDescent="0.25">
      <c r="A13" s="71" t="s">
        <v>108</v>
      </c>
      <c r="B13" s="75" t="s">
        <v>180</v>
      </c>
      <c r="D13" s="157">
        <v>0.46</v>
      </c>
      <c r="E13" s="158">
        <v>127185.81749999998</v>
      </c>
      <c r="F13" s="158">
        <v>23298.440000000002</v>
      </c>
      <c r="G13" s="158">
        <v>9345.9940000000006</v>
      </c>
      <c r="H13" s="158">
        <v>159830.25149999998</v>
      </c>
      <c r="I13" s="77"/>
      <c r="J13" s="77"/>
      <c r="L13" s="149">
        <f t="shared" si="0"/>
        <v>0.46</v>
      </c>
      <c r="M13" s="150">
        <f t="shared" si="4"/>
        <v>183881.06949999998</v>
      </c>
      <c r="N13" s="150">
        <f t="shared" si="1"/>
        <v>1237.050132261606</v>
      </c>
      <c r="O13" s="77"/>
      <c r="P13" s="78" t="str">
        <f t="shared" ca="1" si="2"/>
        <v>=D13</v>
      </c>
      <c r="Q13" s="78" t="str">
        <f t="shared" ca="1" si="2"/>
        <v>=(E13+F13+G13+$B$17)*$B$9</v>
      </c>
      <c r="R13" s="78" t="str">
        <f t="shared" ca="1" si="2"/>
        <v>=M13/$B$7</v>
      </c>
    </row>
    <row r="14" spans="1:18" x14ac:dyDescent="0.25">
      <c r="A14" s="71" t="s">
        <v>109</v>
      </c>
      <c r="B14" s="75" t="s">
        <v>180</v>
      </c>
      <c r="D14" s="157">
        <v>0.61</v>
      </c>
      <c r="E14" s="158">
        <v>158841.60750000001</v>
      </c>
      <c r="F14" s="158">
        <v>23298.440000000002</v>
      </c>
      <c r="G14" s="158">
        <v>10364.690999999999</v>
      </c>
      <c r="H14" s="158">
        <v>192504.73850000001</v>
      </c>
      <c r="I14" s="77"/>
      <c r="J14" s="77"/>
      <c r="L14" s="149">
        <f t="shared" si="0"/>
        <v>0.61</v>
      </c>
      <c r="M14" s="150">
        <f t="shared" si="4"/>
        <v>216555.55650000001</v>
      </c>
      <c r="N14" s="150">
        <f t="shared" si="1"/>
        <v>1456.8660087672088</v>
      </c>
      <c r="O14" s="77"/>
      <c r="P14" s="78" t="str">
        <f t="shared" ca="1" si="2"/>
        <v>=D14</v>
      </c>
      <c r="Q14" s="78" t="str">
        <f t="shared" ca="1" si="2"/>
        <v>=(E14+F14+G14+$B$17)*$B$9</v>
      </c>
      <c r="R14" s="78" t="str">
        <f t="shared" ca="1" si="2"/>
        <v>=M14/$B$7</v>
      </c>
    </row>
    <row r="15" spans="1:18" x14ac:dyDescent="0.25">
      <c r="D15" s="157">
        <v>0.76</v>
      </c>
      <c r="E15" s="158">
        <v>170803.71749999994</v>
      </c>
      <c r="F15" s="158">
        <v>23298.440000000002</v>
      </c>
      <c r="G15" s="158">
        <v>11250.290999999999</v>
      </c>
      <c r="H15" s="158">
        <v>205352.44849999994</v>
      </c>
      <c r="I15" s="77"/>
      <c r="J15" s="77"/>
      <c r="L15" s="149">
        <f t="shared" si="0"/>
        <v>0.76</v>
      </c>
      <c r="M15" s="150">
        <f t="shared" si="4"/>
        <v>229403.26649999994</v>
      </c>
      <c r="N15" s="150">
        <f t="shared" si="1"/>
        <v>1543.2982956686001</v>
      </c>
      <c r="O15" s="77"/>
      <c r="P15" s="78" t="str">
        <f t="shared" ca="1" si="2"/>
        <v>=D15</v>
      </c>
      <c r="Q15" s="78" t="str">
        <f t="shared" ca="1" si="2"/>
        <v>=(E15+F15+G15+$B$17)*$B$9</v>
      </c>
      <c r="R15" s="78" t="str">
        <f t="shared" ca="1" si="2"/>
        <v>=M15/$B$7</v>
      </c>
    </row>
    <row r="16" spans="1:18" x14ac:dyDescent="0.25">
      <c r="A16" s="72" t="s">
        <v>154</v>
      </c>
      <c r="D16" s="157">
        <v>0.91</v>
      </c>
      <c r="E16" s="158">
        <v>216061.30250000008</v>
      </c>
      <c r="F16" s="158">
        <v>25320.06</v>
      </c>
      <c r="G16" s="158">
        <v>15207.264999999998</v>
      </c>
      <c r="H16" s="158">
        <v>256588.62750000006</v>
      </c>
      <c r="I16" s="77"/>
      <c r="J16" s="77"/>
      <c r="L16" s="149">
        <f t="shared" si="0"/>
        <v>0.91</v>
      </c>
      <c r="M16" s="150">
        <f t="shared" si="4"/>
        <v>280639.44550000003</v>
      </c>
      <c r="N16" s="150">
        <f t="shared" si="1"/>
        <v>1887.9869696080859</v>
      </c>
      <c r="O16" s="77"/>
      <c r="P16" s="78" t="str">
        <f t="shared" ca="1" si="2"/>
        <v>=D16</v>
      </c>
      <c r="Q16" s="78" t="str">
        <f t="shared" ca="1" si="2"/>
        <v>=(E16+F16+G16+$B$17)*$B$9</v>
      </c>
      <c r="R16" s="78" t="str">
        <f t="shared" ca="1" si="2"/>
        <v>=M16/$B$7</v>
      </c>
    </row>
    <row r="17" spans="1:18" x14ac:dyDescent="0.25">
      <c r="A17" s="71" t="s">
        <v>151</v>
      </c>
      <c r="B17" s="80">
        <v>24050.817999999999</v>
      </c>
      <c r="D17" s="157">
        <v>1.02</v>
      </c>
      <c r="E17" s="158">
        <v>227071.03000000006</v>
      </c>
      <c r="F17" s="158">
        <v>25320.06</v>
      </c>
      <c r="G17" s="158">
        <v>15839.349999999997</v>
      </c>
      <c r="H17" s="158">
        <v>268230.44000000006</v>
      </c>
      <c r="I17" s="77"/>
      <c r="J17" s="77"/>
      <c r="L17" s="149">
        <f t="shared" si="0"/>
        <v>1.02</v>
      </c>
      <c r="M17" s="150">
        <f t="shared" si="4"/>
        <v>292281.25800000003</v>
      </c>
      <c r="N17" s="150">
        <f t="shared" si="1"/>
        <v>1966.306645102957</v>
      </c>
      <c r="O17" s="77"/>
      <c r="P17" s="78" t="str">
        <f t="shared" ca="1" si="2"/>
        <v>=D17</v>
      </c>
      <c r="Q17" s="78" t="str">
        <f t="shared" ca="1" si="2"/>
        <v>=(E17+F17+G17+$B$17)*$B$9</v>
      </c>
      <c r="R17" s="78" t="str">
        <f t="shared" ca="1" si="2"/>
        <v>=M17/$B$7</v>
      </c>
    </row>
    <row r="18" spans="1:18" x14ac:dyDescent="0.25">
      <c r="A18" s="71" t="s">
        <v>152</v>
      </c>
      <c r="B18" s="80">
        <v>0</v>
      </c>
      <c r="D18" s="157">
        <v>1.22</v>
      </c>
      <c r="E18" s="158">
        <v>230679.85000000006</v>
      </c>
      <c r="F18" s="158">
        <v>25320.06</v>
      </c>
      <c r="G18" s="158">
        <v>16077.899999999998</v>
      </c>
      <c r="H18" s="158">
        <v>272077.81000000006</v>
      </c>
      <c r="I18" s="77"/>
      <c r="J18" s="77"/>
      <c r="L18" s="149">
        <f t="shared" si="0"/>
        <v>1.22</v>
      </c>
      <c r="M18" s="150">
        <f t="shared" si="4"/>
        <v>296128.62800000003</v>
      </c>
      <c r="N18" s="150">
        <f t="shared" si="1"/>
        <v>1992.1896225094993</v>
      </c>
      <c r="O18" s="77"/>
      <c r="P18" s="78" t="str">
        <f t="shared" ca="1" si="2"/>
        <v>=D18</v>
      </c>
      <c r="Q18" s="78" t="str">
        <f t="shared" ca="1" si="2"/>
        <v>=(E18+F18+G18+$B$17)*$B$9</v>
      </c>
      <c r="R18" s="78" t="str">
        <f t="shared" ca="1" si="2"/>
        <v>=M18/$B$7</v>
      </c>
    </row>
    <row r="19" spans="1:18" x14ac:dyDescent="0.25">
      <c r="A19" s="71" t="s">
        <v>153</v>
      </c>
      <c r="B19" s="80">
        <v>0</v>
      </c>
      <c r="D19" s="157">
        <v>1.52</v>
      </c>
      <c r="E19" s="158">
        <v>240810.62000000011</v>
      </c>
      <c r="F19" s="158">
        <v>25320.06</v>
      </c>
      <c r="G19" s="158">
        <v>17291.859999999997</v>
      </c>
      <c r="H19" s="158">
        <v>283422.5400000001</v>
      </c>
      <c r="I19" s="77"/>
      <c r="J19" s="77"/>
      <c r="L19" s="149">
        <f t="shared" si="0"/>
        <v>1.52</v>
      </c>
      <c r="M19" s="150">
        <f t="shared" si="4"/>
        <v>307473.35800000012</v>
      </c>
      <c r="N19" s="150">
        <f t="shared" si="1"/>
        <v>2068.5106912586252</v>
      </c>
      <c r="O19" s="77"/>
      <c r="P19" s="78" t="str">
        <f t="shared" ca="1" si="2"/>
        <v>=D19</v>
      </c>
      <c r="Q19" s="78" t="str">
        <f t="shared" ca="1" si="2"/>
        <v>=(E19+F19+G19+$B$17)*$B$9</v>
      </c>
      <c r="R19" s="78" t="str">
        <f t="shared" ca="1" si="2"/>
        <v>=M19/$B$7</v>
      </c>
    </row>
    <row r="20" spans="1:18" x14ac:dyDescent="0.25">
      <c r="D20" s="157">
        <v>1.83</v>
      </c>
      <c r="E20" s="158">
        <v>240810.62000000011</v>
      </c>
      <c r="F20" s="158">
        <v>25320.06</v>
      </c>
      <c r="G20" s="158">
        <v>17291.859999999997</v>
      </c>
      <c r="H20" s="158">
        <v>283422.5400000001</v>
      </c>
      <c r="I20" s="77"/>
      <c r="J20" s="77"/>
      <c r="L20" s="149">
        <f t="shared" si="0"/>
        <v>1.83</v>
      </c>
      <c r="M20" s="150">
        <f t="shared" si="4"/>
        <v>307473.35800000012</v>
      </c>
      <c r="N20" s="150">
        <f t="shared" si="1"/>
        <v>2068.5106912586252</v>
      </c>
      <c r="O20" s="77"/>
      <c r="P20" s="78" t="str">
        <f t="shared" ca="1" si="2"/>
        <v>=D20</v>
      </c>
      <c r="Q20" s="78" t="str">
        <f t="shared" ca="1" si="2"/>
        <v>=(E20+F20+G20+$B$17)*$B$9</v>
      </c>
      <c r="R20" s="78" t="str">
        <f t="shared" ca="1" si="2"/>
        <v>=M20/$B$7</v>
      </c>
    </row>
    <row r="21" spans="1:18" x14ac:dyDescent="0.25">
      <c r="D21" s="157">
        <v>2.7</v>
      </c>
      <c r="E21" s="158">
        <v>240810.62000000011</v>
      </c>
      <c r="F21" s="158">
        <v>25320.06</v>
      </c>
      <c r="G21" s="158">
        <v>17291.859999999997</v>
      </c>
      <c r="H21" s="158">
        <v>283422.5400000001</v>
      </c>
      <c r="I21" s="77"/>
      <c r="J21" s="77"/>
      <c r="L21" s="149">
        <f t="shared" si="0"/>
        <v>2.7</v>
      </c>
      <c r="M21" s="150">
        <f t="shared" si="4"/>
        <v>307473.35800000012</v>
      </c>
      <c r="N21" s="150">
        <f t="shared" si="1"/>
        <v>2068.5106912586252</v>
      </c>
      <c r="O21" s="77"/>
      <c r="P21" s="78" t="str">
        <f t="shared" ca="1" si="2"/>
        <v>=D21</v>
      </c>
      <c r="Q21" s="78" t="str">
        <f t="shared" ca="1" si="2"/>
        <v>=(E21+F21+G21+$B$17)*$B$9</v>
      </c>
      <c r="R21" s="78" t="str">
        <f t="shared" ca="1" si="2"/>
        <v>=M21/$B$7</v>
      </c>
    </row>
    <row r="22" spans="1:18" x14ac:dyDescent="0.25">
      <c r="L22" s="149"/>
      <c r="M22" s="150"/>
      <c r="N22" s="150"/>
      <c r="O22" s="77"/>
      <c r="P22" s="78"/>
      <c r="Q22" s="78"/>
      <c r="R22" s="151"/>
    </row>
    <row r="23" spans="1:18" x14ac:dyDescent="0.25">
      <c r="L23" s="149"/>
      <c r="M23" s="150"/>
      <c r="N23" s="150"/>
      <c r="O23" s="77"/>
      <c r="P23" s="78"/>
      <c r="Q23" s="78"/>
      <c r="R23" s="151"/>
    </row>
    <row r="24" spans="1:18" x14ac:dyDescent="0.25">
      <c r="L24" s="149"/>
      <c r="M24" s="150"/>
      <c r="N24" s="150"/>
      <c r="O24" s="77"/>
      <c r="P24" s="78"/>
      <c r="Q24" s="78"/>
      <c r="R24" s="151"/>
    </row>
    <row r="25" spans="1:18" x14ac:dyDescent="0.25">
      <c r="L25" s="149"/>
      <c r="M25" s="150"/>
      <c r="N25" s="150"/>
      <c r="O25" s="77"/>
      <c r="P25" s="78"/>
      <c r="Q25" s="78"/>
      <c r="R25" s="151"/>
    </row>
    <row r="26" spans="1:18" x14ac:dyDescent="0.25">
      <c r="L26" s="149"/>
      <c r="M26" s="150"/>
      <c r="N26" s="150"/>
      <c r="O26" s="77"/>
      <c r="P26" s="78"/>
      <c r="Q26" s="78"/>
      <c r="R26" s="151"/>
    </row>
    <row r="27" spans="1:18" x14ac:dyDescent="0.25">
      <c r="L27" s="149"/>
      <c r="M27" s="150"/>
      <c r="N27" s="150"/>
      <c r="O27" s="77"/>
      <c r="P27" s="78"/>
      <c r="Q27" s="78"/>
      <c r="R27" s="151"/>
    </row>
    <row r="28" spans="1:18" x14ac:dyDescent="0.25">
      <c r="L28" s="149"/>
      <c r="M28" s="150"/>
      <c r="N28" s="150"/>
      <c r="O28" s="77"/>
      <c r="P28" s="78"/>
      <c r="Q28" s="78"/>
      <c r="R28" s="151"/>
    </row>
    <row r="29" spans="1:18" x14ac:dyDescent="0.25">
      <c r="L29" s="149"/>
      <c r="M29" s="150"/>
      <c r="N29" s="150"/>
      <c r="O29" s="77"/>
      <c r="P29" s="78"/>
      <c r="Q29" s="78"/>
      <c r="R29" s="151"/>
    </row>
    <row r="30" spans="1:18" x14ac:dyDescent="0.25">
      <c r="L30" s="149"/>
      <c r="M30" s="150"/>
      <c r="N30" s="150"/>
      <c r="O30" s="77"/>
      <c r="P30" s="78"/>
      <c r="Q30" s="78"/>
      <c r="R30" s="151"/>
    </row>
    <row r="31" spans="1:18" x14ac:dyDescent="0.25">
      <c r="L31" s="149"/>
      <c r="M31" s="150"/>
      <c r="N31" s="150"/>
      <c r="O31" s="77"/>
      <c r="P31" s="78"/>
      <c r="Q31" s="78"/>
      <c r="R31" s="151"/>
    </row>
    <row r="32" spans="1:18" x14ac:dyDescent="0.25">
      <c r="L32" s="149"/>
      <c r="M32" s="150"/>
      <c r="N32" s="150"/>
      <c r="O32" s="77"/>
      <c r="P32" s="78"/>
      <c r="Q32" s="78"/>
      <c r="R32" s="151"/>
    </row>
    <row r="33" spans="12:18" x14ac:dyDescent="0.25">
      <c r="L33" s="149"/>
      <c r="M33" s="150"/>
      <c r="N33" s="150"/>
      <c r="O33" s="77"/>
      <c r="P33" s="78"/>
      <c r="Q33" s="78"/>
      <c r="R33" s="151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ADFA0FD0-581F-4A91-8B4D-DFF47B43FEE8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9" t="s">
        <v>439</v>
      </c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8"/>
    </row>
    <row r="4" spans="4:21" ht="45" customHeight="1" x14ac:dyDescent="0.25">
      <c r="D4" s="161" t="s">
        <v>106</v>
      </c>
      <c r="E4" s="162" t="s">
        <v>66</v>
      </c>
      <c r="F4" s="162" t="s">
        <v>67</v>
      </c>
      <c r="G4" s="162" t="s">
        <v>68</v>
      </c>
      <c r="H4" s="162" t="s">
        <v>13</v>
      </c>
      <c r="I4" s="162" t="s">
        <v>15</v>
      </c>
      <c r="J4" s="162" t="s">
        <v>4</v>
      </c>
      <c r="K4" s="162" t="s">
        <v>7</v>
      </c>
      <c r="L4" s="162" t="s">
        <v>5</v>
      </c>
      <c r="M4" s="162" t="s">
        <v>14</v>
      </c>
      <c r="N4" s="162" t="s">
        <v>6</v>
      </c>
      <c r="O4" s="162" t="s">
        <v>476</v>
      </c>
      <c r="P4" s="162" t="s">
        <v>474</v>
      </c>
      <c r="Q4" s="162" t="s">
        <v>466</v>
      </c>
      <c r="R4" s="162" t="s">
        <v>713</v>
      </c>
      <c r="S4" s="162" t="s">
        <v>472</v>
      </c>
      <c r="T4" s="162" t="s">
        <v>28</v>
      </c>
      <c r="U4" s="8"/>
    </row>
    <row r="5" spans="4:21" x14ac:dyDescent="0.25">
      <c r="D5" s="163">
        <v>-0.9</v>
      </c>
      <c r="E5" s="164">
        <v>0</v>
      </c>
      <c r="F5" s="164">
        <v>0</v>
      </c>
      <c r="G5" s="164">
        <v>0</v>
      </c>
      <c r="H5" s="164">
        <v>0</v>
      </c>
      <c r="I5" s="164">
        <v>0</v>
      </c>
      <c r="J5" s="164">
        <v>0</v>
      </c>
      <c r="K5" s="164">
        <v>0</v>
      </c>
      <c r="L5" s="164">
        <v>0</v>
      </c>
      <c r="M5" s="164">
        <v>0</v>
      </c>
      <c r="N5" s="164">
        <v>0</v>
      </c>
      <c r="O5" s="164">
        <v>0</v>
      </c>
      <c r="P5" s="164">
        <v>0</v>
      </c>
      <c r="Q5" s="164">
        <v>0</v>
      </c>
      <c r="R5" s="164">
        <v>0</v>
      </c>
      <c r="S5" s="164">
        <v>0</v>
      </c>
      <c r="T5" s="164">
        <v>0</v>
      </c>
      <c r="U5" s="8"/>
    </row>
    <row r="6" spans="4:21" x14ac:dyDescent="0.25">
      <c r="D6" s="163">
        <v>-0.46</v>
      </c>
      <c r="E6" s="164">
        <v>0</v>
      </c>
      <c r="F6" s="164">
        <v>14322.5</v>
      </c>
      <c r="G6" s="164">
        <v>6217.9750000000004</v>
      </c>
      <c r="H6" s="164">
        <v>0</v>
      </c>
      <c r="I6" s="164">
        <v>0</v>
      </c>
      <c r="J6" s="164">
        <v>0</v>
      </c>
      <c r="K6" s="164">
        <v>0</v>
      </c>
      <c r="L6" s="164">
        <v>0</v>
      </c>
      <c r="M6" s="164">
        <v>0</v>
      </c>
      <c r="N6" s="164">
        <v>0</v>
      </c>
      <c r="O6" s="164">
        <v>0</v>
      </c>
      <c r="P6" s="164">
        <v>0</v>
      </c>
      <c r="Q6" s="164">
        <v>0</v>
      </c>
      <c r="R6" s="164">
        <v>0</v>
      </c>
      <c r="S6" s="164">
        <v>0</v>
      </c>
      <c r="T6" s="164">
        <v>20540.474999999999</v>
      </c>
      <c r="U6" s="8"/>
    </row>
    <row r="7" spans="4:21" x14ac:dyDescent="0.25">
      <c r="D7" s="163">
        <v>0</v>
      </c>
      <c r="E7" s="164">
        <v>0</v>
      </c>
      <c r="F7" s="164">
        <v>14322.5</v>
      </c>
      <c r="G7" s="164">
        <v>6217.9750000000004</v>
      </c>
      <c r="H7" s="164">
        <v>0</v>
      </c>
      <c r="I7" s="164">
        <v>0</v>
      </c>
      <c r="J7" s="164">
        <v>0</v>
      </c>
      <c r="K7" s="164">
        <v>0</v>
      </c>
      <c r="L7" s="164">
        <v>0</v>
      </c>
      <c r="M7" s="164">
        <v>0</v>
      </c>
      <c r="N7" s="164">
        <v>0</v>
      </c>
      <c r="O7" s="164">
        <v>0</v>
      </c>
      <c r="P7" s="164">
        <v>0</v>
      </c>
      <c r="Q7" s="164">
        <v>0</v>
      </c>
      <c r="R7" s="164">
        <v>0</v>
      </c>
      <c r="S7" s="164">
        <v>0</v>
      </c>
      <c r="T7" s="164">
        <v>20540.474999999999</v>
      </c>
      <c r="U7" s="8"/>
    </row>
    <row r="8" spans="4:21" x14ac:dyDescent="0.25">
      <c r="D8" s="163">
        <v>0.03</v>
      </c>
      <c r="E8" s="164">
        <v>860.07999999999993</v>
      </c>
      <c r="F8" s="164">
        <v>14322.5</v>
      </c>
      <c r="G8" s="164">
        <v>7772.46875</v>
      </c>
      <c r="H8" s="164">
        <v>8786.4750000000004</v>
      </c>
      <c r="I8" s="164">
        <v>2312.9749999999999</v>
      </c>
      <c r="J8" s="164">
        <v>12120.527499999998</v>
      </c>
      <c r="K8" s="164">
        <v>2561.81</v>
      </c>
      <c r="L8" s="164">
        <v>2470.3500000000004</v>
      </c>
      <c r="M8" s="164">
        <v>8706.4050000000007</v>
      </c>
      <c r="N8" s="164">
        <v>2342.0724999999998</v>
      </c>
      <c r="O8" s="164">
        <v>1427.1225000000002</v>
      </c>
      <c r="P8" s="164">
        <v>1464.5</v>
      </c>
      <c r="Q8" s="164">
        <v>1184.51</v>
      </c>
      <c r="R8" s="164">
        <v>2312.9749999999999</v>
      </c>
      <c r="S8" s="164">
        <v>4469.1399999999994</v>
      </c>
      <c r="T8" s="164">
        <v>73113.91124999999</v>
      </c>
      <c r="U8" s="8"/>
    </row>
    <row r="9" spans="4:21" x14ac:dyDescent="0.25">
      <c r="D9" s="163">
        <v>0.05</v>
      </c>
      <c r="E9" s="164">
        <v>2839.7570000000001</v>
      </c>
      <c r="F9" s="164">
        <v>14322.5</v>
      </c>
      <c r="G9" s="164">
        <v>11800.468749999998</v>
      </c>
      <c r="H9" s="164">
        <v>14900.815000000001</v>
      </c>
      <c r="I9" s="164">
        <v>3075.0850000000005</v>
      </c>
      <c r="J9" s="164">
        <v>16401.4575</v>
      </c>
      <c r="K9" s="164">
        <v>15857.070000000002</v>
      </c>
      <c r="L9" s="164">
        <v>2770.7</v>
      </c>
      <c r="M9" s="164">
        <v>9576.8450000000012</v>
      </c>
      <c r="N9" s="164">
        <v>2656.9924999999998</v>
      </c>
      <c r="O9" s="164">
        <v>2098.8425000000002</v>
      </c>
      <c r="P9" s="164">
        <v>1674.46</v>
      </c>
      <c r="Q9" s="164">
        <v>3011.0400000000004</v>
      </c>
      <c r="R9" s="164">
        <v>3075.0850000000005</v>
      </c>
      <c r="S9" s="164">
        <v>4918.1999999999989</v>
      </c>
      <c r="T9" s="164">
        <v>108979.31825</v>
      </c>
      <c r="U9" s="8"/>
    </row>
    <row r="10" spans="4:21" x14ac:dyDescent="0.25">
      <c r="D10" s="163">
        <v>0.1</v>
      </c>
      <c r="E10" s="164">
        <v>2839.7570000000001</v>
      </c>
      <c r="F10" s="164">
        <v>16158.89</v>
      </c>
      <c r="G10" s="164">
        <v>11800.468749999998</v>
      </c>
      <c r="H10" s="164">
        <v>14900.815000000001</v>
      </c>
      <c r="I10" s="164">
        <v>3075.0850000000005</v>
      </c>
      <c r="J10" s="164">
        <v>16401.4575</v>
      </c>
      <c r="K10" s="164">
        <v>15857.070000000002</v>
      </c>
      <c r="L10" s="164">
        <v>2770.7</v>
      </c>
      <c r="M10" s="164">
        <v>9576.8450000000012</v>
      </c>
      <c r="N10" s="164">
        <v>2656.9924999999998</v>
      </c>
      <c r="O10" s="164">
        <v>2098.8425000000002</v>
      </c>
      <c r="P10" s="164">
        <v>1674.46</v>
      </c>
      <c r="Q10" s="164">
        <v>3011.0400000000004</v>
      </c>
      <c r="R10" s="164">
        <v>3075.0850000000005</v>
      </c>
      <c r="S10" s="164">
        <v>4918.1999999999989</v>
      </c>
      <c r="T10" s="164">
        <v>110815.70825</v>
      </c>
      <c r="U10" s="8"/>
    </row>
    <row r="11" spans="4:21" x14ac:dyDescent="0.25">
      <c r="D11" s="163">
        <v>0.15</v>
      </c>
      <c r="E11" s="164">
        <v>3408.9739999999997</v>
      </c>
      <c r="F11" s="164">
        <v>21529.370000000003</v>
      </c>
      <c r="G11" s="164">
        <v>11800.468749999998</v>
      </c>
      <c r="H11" s="164">
        <v>14900.815000000001</v>
      </c>
      <c r="I11" s="164">
        <v>3075.0850000000005</v>
      </c>
      <c r="J11" s="164">
        <v>16401.4575</v>
      </c>
      <c r="K11" s="164">
        <v>34749.239999999991</v>
      </c>
      <c r="L11" s="164">
        <v>2770.7</v>
      </c>
      <c r="M11" s="164">
        <v>9576.8450000000012</v>
      </c>
      <c r="N11" s="164">
        <v>2656.9924999999998</v>
      </c>
      <c r="O11" s="164">
        <v>2144.1825000000003</v>
      </c>
      <c r="P11" s="164">
        <v>1674.46</v>
      </c>
      <c r="Q11" s="164">
        <v>3011.0400000000004</v>
      </c>
      <c r="R11" s="164">
        <v>3075.0850000000005</v>
      </c>
      <c r="S11" s="164">
        <v>4918.1999999999989</v>
      </c>
      <c r="T11" s="164">
        <v>135692.91524999999</v>
      </c>
      <c r="U11" s="8"/>
    </row>
    <row r="12" spans="4:21" x14ac:dyDescent="0.25">
      <c r="D12" s="163">
        <v>0.3</v>
      </c>
      <c r="E12" s="164">
        <v>3711.2940000000003</v>
      </c>
      <c r="F12" s="164">
        <v>21529.370000000003</v>
      </c>
      <c r="G12" s="164">
        <v>11800.468749999998</v>
      </c>
      <c r="H12" s="164">
        <v>15467.135</v>
      </c>
      <c r="I12" s="164">
        <v>3491.5750000000003</v>
      </c>
      <c r="J12" s="164">
        <v>18484.832500000004</v>
      </c>
      <c r="K12" s="164">
        <v>35250.822499999995</v>
      </c>
      <c r="L12" s="164">
        <v>3282.6174999999994</v>
      </c>
      <c r="M12" s="164">
        <v>11227.719999999998</v>
      </c>
      <c r="N12" s="164">
        <v>3140.5875000000001</v>
      </c>
      <c r="O12" s="164">
        <v>2404.3749999999995</v>
      </c>
      <c r="P12" s="164">
        <v>2003.9375</v>
      </c>
      <c r="Q12" s="164">
        <v>3222.9850000000006</v>
      </c>
      <c r="R12" s="164">
        <v>3491.5750000000003</v>
      </c>
      <c r="S12" s="164">
        <v>5767.4624999999996</v>
      </c>
      <c r="T12" s="164">
        <v>144276.75774999996</v>
      </c>
      <c r="U12" s="8"/>
    </row>
    <row r="13" spans="4:21" x14ac:dyDescent="0.25">
      <c r="D13" s="163">
        <v>0.46</v>
      </c>
      <c r="E13" s="164">
        <v>9345.9940000000006</v>
      </c>
      <c r="F13" s="164">
        <v>23298.440000000002</v>
      </c>
      <c r="G13" s="164">
        <v>13457.646499999997</v>
      </c>
      <c r="H13" s="164">
        <v>19574.097999999994</v>
      </c>
      <c r="I13" s="164">
        <v>3642.5700000000006</v>
      </c>
      <c r="J13" s="164">
        <v>19096.575000000004</v>
      </c>
      <c r="K13" s="164">
        <v>35651.469999999994</v>
      </c>
      <c r="L13" s="164">
        <v>3418.3099999999995</v>
      </c>
      <c r="M13" s="164">
        <v>11765.879999999997</v>
      </c>
      <c r="N13" s="164">
        <v>3239.5850000000005</v>
      </c>
      <c r="O13" s="164">
        <v>2473.9289999999996</v>
      </c>
      <c r="P13" s="164">
        <v>2069.9499999999998</v>
      </c>
      <c r="Q13" s="164">
        <v>3307.8440000000001</v>
      </c>
      <c r="R13" s="164">
        <v>3565.3900000000003</v>
      </c>
      <c r="S13" s="164">
        <v>5922.57</v>
      </c>
      <c r="T13" s="164">
        <v>159830.25150000004</v>
      </c>
      <c r="U13" s="8"/>
    </row>
    <row r="14" spans="4:21" x14ac:dyDescent="0.25">
      <c r="D14" s="163">
        <v>0.61</v>
      </c>
      <c r="E14" s="164">
        <v>10364.690999999999</v>
      </c>
      <c r="F14" s="164">
        <v>23298.440000000002</v>
      </c>
      <c r="G14" s="164">
        <v>13457.646499999997</v>
      </c>
      <c r="H14" s="164">
        <v>37323.147999999986</v>
      </c>
      <c r="I14" s="164">
        <v>3937.4500000000007</v>
      </c>
      <c r="J14" s="164">
        <v>20909.934999999998</v>
      </c>
      <c r="K14" s="164">
        <v>39726.439999999995</v>
      </c>
      <c r="L14" s="164">
        <v>3788.62</v>
      </c>
      <c r="M14" s="164">
        <v>13319.529999999999</v>
      </c>
      <c r="N14" s="164">
        <v>3572.9450000000002</v>
      </c>
      <c r="O14" s="164">
        <v>3804.0590000000002</v>
      </c>
      <c r="P14" s="164">
        <v>2247.44</v>
      </c>
      <c r="Q14" s="164">
        <v>6177.134</v>
      </c>
      <c r="R14" s="164">
        <v>3860.2700000000004</v>
      </c>
      <c r="S14" s="164">
        <v>6716.99</v>
      </c>
      <c r="T14" s="164">
        <v>192504.73849999995</v>
      </c>
      <c r="U14" s="8"/>
    </row>
    <row r="15" spans="4:21" x14ac:dyDescent="0.25">
      <c r="D15" s="163">
        <v>0.76</v>
      </c>
      <c r="E15" s="164">
        <v>11250.290999999999</v>
      </c>
      <c r="F15" s="164">
        <v>23298.440000000002</v>
      </c>
      <c r="G15" s="164">
        <v>13457.646499999997</v>
      </c>
      <c r="H15" s="164">
        <v>39765.867999999988</v>
      </c>
      <c r="I15" s="164">
        <v>4241.6200000000008</v>
      </c>
      <c r="J15" s="164">
        <v>21170.634999999998</v>
      </c>
      <c r="K15" s="164">
        <v>47643.969999999987</v>
      </c>
      <c r="L15" s="164">
        <v>3788.62</v>
      </c>
      <c r="M15" s="164">
        <v>13319.529999999999</v>
      </c>
      <c r="N15" s="164">
        <v>3572.9450000000002</v>
      </c>
      <c r="O15" s="164">
        <v>3804.0590000000002</v>
      </c>
      <c r="P15" s="164">
        <v>2247.44</v>
      </c>
      <c r="Q15" s="164">
        <v>6909.9539999999997</v>
      </c>
      <c r="R15" s="164">
        <v>4164.4400000000005</v>
      </c>
      <c r="S15" s="164">
        <v>6716.99</v>
      </c>
      <c r="T15" s="164">
        <v>205352.44849999997</v>
      </c>
      <c r="U15" s="8"/>
    </row>
    <row r="16" spans="4:21" x14ac:dyDescent="0.25">
      <c r="D16" s="163">
        <v>0.91</v>
      </c>
      <c r="E16" s="164">
        <v>15207.264999999998</v>
      </c>
      <c r="F16" s="164">
        <v>25320.06</v>
      </c>
      <c r="G16" s="164">
        <v>13713.266499999998</v>
      </c>
      <c r="H16" s="164">
        <v>54240.157999999974</v>
      </c>
      <c r="I16" s="164">
        <v>5990.5899999999992</v>
      </c>
      <c r="J16" s="164">
        <v>28361.369999999992</v>
      </c>
      <c r="K16" s="164">
        <v>50952.239999999991</v>
      </c>
      <c r="L16" s="164">
        <v>5388.590000000002</v>
      </c>
      <c r="M16" s="164">
        <v>19703.370000000003</v>
      </c>
      <c r="N16" s="164">
        <v>5144.3199999999988</v>
      </c>
      <c r="O16" s="164">
        <v>5074.9839999999986</v>
      </c>
      <c r="P16" s="164">
        <v>3309.1900000000005</v>
      </c>
      <c r="Q16" s="164">
        <v>8992.8639999999996</v>
      </c>
      <c r="R16" s="164">
        <v>5913.4099999999989</v>
      </c>
      <c r="S16" s="164">
        <v>9276.9500000000007</v>
      </c>
      <c r="T16" s="164">
        <v>256588.62749999997</v>
      </c>
      <c r="U16" s="8"/>
    </row>
    <row r="17" spans="4:21" x14ac:dyDescent="0.25">
      <c r="D17" s="163">
        <v>1.02</v>
      </c>
      <c r="E17" s="164">
        <v>15839.349999999997</v>
      </c>
      <c r="F17" s="164">
        <v>25320.06</v>
      </c>
      <c r="G17" s="164">
        <v>16822.254000000001</v>
      </c>
      <c r="H17" s="164">
        <v>54956.477999999981</v>
      </c>
      <c r="I17" s="164">
        <v>5990.5899999999992</v>
      </c>
      <c r="J17" s="164">
        <v>28361.369999999992</v>
      </c>
      <c r="K17" s="164">
        <v>56920.759999999987</v>
      </c>
      <c r="L17" s="164">
        <v>5388.590000000002</v>
      </c>
      <c r="M17" s="164">
        <v>19703.370000000003</v>
      </c>
      <c r="N17" s="164">
        <v>5144.3199999999988</v>
      </c>
      <c r="O17" s="164">
        <v>5932.7239999999993</v>
      </c>
      <c r="P17" s="164">
        <v>3309.1900000000005</v>
      </c>
      <c r="Q17" s="164">
        <v>9351.0239999999994</v>
      </c>
      <c r="R17" s="164">
        <v>5913.4099999999989</v>
      </c>
      <c r="S17" s="164">
        <v>9276.9500000000007</v>
      </c>
      <c r="T17" s="164">
        <v>268230.43999999994</v>
      </c>
      <c r="U17" s="8"/>
    </row>
    <row r="18" spans="4:21" x14ac:dyDescent="0.25">
      <c r="D18" s="163">
        <v>1.22</v>
      </c>
      <c r="E18" s="164">
        <v>16077.899999999998</v>
      </c>
      <c r="F18" s="164">
        <v>25320.06</v>
      </c>
      <c r="G18" s="164">
        <v>16822.254000000001</v>
      </c>
      <c r="H18" s="164">
        <v>54956.477999999981</v>
      </c>
      <c r="I18" s="164">
        <v>5990.5899999999992</v>
      </c>
      <c r="J18" s="164">
        <v>28480.589999999993</v>
      </c>
      <c r="K18" s="164">
        <v>60271.259999999987</v>
      </c>
      <c r="L18" s="164">
        <v>5388.590000000002</v>
      </c>
      <c r="M18" s="164">
        <v>19703.370000000003</v>
      </c>
      <c r="N18" s="164">
        <v>5144.3199999999988</v>
      </c>
      <c r="O18" s="164">
        <v>5932.7239999999993</v>
      </c>
      <c r="P18" s="164">
        <v>3309.1900000000005</v>
      </c>
      <c r="Q18" s="164">
        <v>9351.0239999999994</v>
      </c>
      <c r="R18" s="164">
        <v>6052.5099999999984</v>
      </c>
      <c r="S18" s="164">
        <v>9276.9500000000007</v>
      </c>
      <c r="T18" s="164">
        <v>272077.80999999994</v>
      </c>
      <c r="U18" s="8"/>
    </row>
    <row r="19" spans="4:21" x14ac:dyDescent="0.25">
      <c r="D19" s="163">
        <v>1.52</v>
      </c>
      <c r="E19" s="164">
        <v>17291.859999999997</v>
      </c>
      <c r="F19" s="164">
        <v>25320.06</v>
      </c>
      <c r="G19" s="164">
        <v>18278.560000000001</v>
      </c>
      <c r="H19" s="164">
        <v>56342.909999999974</v>
      </c>
      <c r="I19" s="164">
        <v>6337.5399999999981</v>
      </c>
      <c r="J19" s="164">
        <v>30457.21</v>
      </c>
      <c r="K19" s="164">
        <v>60883.459999999977</v>
      </c>
      <c r="L19" s="164">
        <v>5763.7300000000014</v>
      </c>
      <c r="M19" s="164">
        <v>20977.06</v>
      </c>
      <c r="N19" s="164">
        <v>5637.48</v>
      </c>
      <c r="O19" s="164">
        <v>6208.0599999999995</v>
      </c>
      <c r="P19" s="164">
        <v>3613.7300000000005</v>
      </c>
      <c r="Q19" s="164">
        <v>9984.029999999997</v>
      </c>
      <c r="R19" s="164">
        <v>6399.4599999999982</v>
      </c>
      <c r="S19" s="164">
        <v>9927.39</v>
      </c>
      <c r="T19" s="164">
        <v>283422.53999999998</v>
      </c>
      <c r="U19" s="8"/>
    </row>
    <row r="20" spans="4:21" x14ac:dyDescent="0.25">
      <c r="D20" s="163">
        <v>1.83</v>
      </c>
      <c r="E20" s="164">
        <v>17291.859999999997</v>
      </c>
      <c r="F20" s="164">
        <v>25320.06</v>
      </c>
      <c r="G20" s="164">
        <v>18278.560000000001</v>
      </c>
      <c r="H20" s="164">
        <v>56342.909999999974</v>
      </c>
      <c r="I20" s="164">
        <v>6337.5399999999981</v>
      </c>
      <c r="J20" s="164">
        <v>30457.21</v>
      </c>
      <c r="K20" s="164">
        <v>60883.459999999977</v>
      </c>
      <c r="L20" s="164">
        <v>5763.7300000000014</v>
      </c>
      <c r="M20" s="164">
        <v>20977.06</v>
      </c>
      <c r="N20" s="164">
        <v>5637.48</v>
      </c>
      <c r="O20" s="164">
        <v>6208.0599999999995</v>
      </c>
      <c r="P20" s="164">
        <v>3613.7300000000005</v>
      </c>
      <c r="Q20" s="164">
        <v>9984.029999999997</v>
      </c>
      <c r="R20" s="164">
        <v>6399.4599999999982</v>
      </c>
      <c r="S20" s="164">
        <v>9927.39</v>
      </c>
      <c r="T20" s="164">
        <v>283422.53999999998</v>
      </c>
      <c r="U20" s="8"/>
    </row>
    <row r="21" spans="4:21" x14ac:dyDescent="0.25">
      <c r="D21" s="163">
        <v>2.7</v>
      </c>
      <c r="E21" s="164">
        <v>17291.859999999997</v>
      </c>
      <c r="F21" s="164">
        <v>25320.06</v>
      </c>
      <c r="G21" s="164">
        <v>18278.560000000001</v>
      </c>
      <c r="H21" s="164">
        <v>56342.909999999974</v>
      </c>
      <c r="I21" s="164">
        <v>6337.5399999999981</v>
      </c>
      <c r="J21" s="164">
        <v>30457.21</v>
      </c>
      <c r="K21" s="164">
        <v>60883.459999999977</v>
      </c>
      <c r="L21" s="164">
        <v>5763.7300000000014</v>
      </c>
      <c r="M21" s="164">
        <v>20977.06</v>
      </c>
      <c r="N21" s="164">
        <v>5637.48</v>
      </c>
      <c r="O21" s="164">
        <v>6208.0599999999995</v>
      </c>
      <c r="P21" s="164">
        <v>3613.7300000000005</v>
      </c>
      <c r="Q21" s="164">
        <v>9984.029999999997</v>
      </c>
      <c r="R21" s="164">
        <v>6399.4599999999982</v>
      </c>
      <c r="S21" s="164">
        <v>9927.39</v>
      </c>
      <c r="T21" s="164">
        <v>283422.53999999998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J2" sqref="J2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  <col min="10" max="10" width="31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s="165" t="s">
        <v>136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s="166" t="s">
        <v>156</v>
      </c>
    </row>
    <row r="3" spans="1:9" x14ac:dyDescent="0.25">
      <c r="A3" t="s">
        <v>11</v>
      </c>
      <c r="C3" t="s">
        <v>83</v>
      </c>
      <c r="G3" t="s">
        <v>86</v>
      </c>
      <c r="I3" s="143" t="s">
        <v>157</v>
      </c>
    </row>
    <row r="4" spans="1:9" x14ac:dyDescent="0.25">
      <c r="A4" t="s">
        <v>12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726</v>
      </c>
    </row>
    <row r="2" spans="1:2" x14ac:dyDescent="0.25">
      <c r="A2" s="33" t="s">
        <v>112</v>
      </c>
      <c r="B2" s="55" t="s">
        <v>444</v>
      </c>
    </row>
    <row r="3" spans="1:2" x14ac:dyDescent="0.25">
      <c r="A3" s="33" t="s">
        <v>102</v>
      </c>
      <c r="B3" s="55" t="s">
        <v>168</v>
      </c>
    </row>
    <row r="4" spans="1:2" x14ac:dyDescent="0.25">
      <c r="A4" s="33" t="s">
        <v>114</v>
      </c>
      <c r="B4" s="55">
        <v>1</v>
      </c>
    </row>
    <row r="5" spans="1:2" x14ac:dyDescent="0.25">
      <c r="A5" s="33" t="s">
        <v>113</v>
      </c>
      <c r="B5" s="55" t="s">
        <v>169</v>
      </c>
    </row>
    <row r="6" spans="1:2" x14ac:dyDescent="0.25">
      <c r="A6" s="33" t="s">
        <v>115</v>
      </c>
      <c r="B6" s="55" t="s">
        <v>61</v>
      </c>
    </row>
    <row r="7" spans="1:2" x14ac:dyDescent="0.25">
      <c r="A7" s="33" t="s">
        <v>116</v>
      </c>
      <c r="B7" s="55" t="s">
        <v>180</v>
      </c>
    </row>
    <row r="8" spans="1:2" x14ac:dyDescent="0.25">
      <c r="A8" s="33" t="s">
        <v>21</v>
      </c>
      <c r="B8" s="55" t="s">
        <v>445</v>
      </c>
    </row>
    <row r="9" spans="1:2" x14ac:dyDescent="0.25">
      <c r="A9" s="33" t="s">
        <v>20</v>
      </c>
      <c r="B9" s="55" t="s">
        <v>250</v>
      </c>
    </row>
    <row r="10" spans="1:2" x14ac:dyDescent="0.25">
      <c r="A10" s="33" t="s">
        <v>117</v>
      </c>
      <c r="B10" s="55" t="s">
        <v>79</v>
      </c>
    </row>
    <row r="11" spans="1:2" x14ac:dyDescent="0.25">
      <c r="A11" s="33" t="s">
        <v>118</v>
      </c>
      <c r="B11" s="56">
        <v>45176</v>
      </c>
    </row>
    <row r="12" spans="1:2" x14ac:dyDescent="0.25">
      <c r="A12" s="33" t="s">
        <v>119</v>
      </c>
      <c r="B12" s="55" t="s">
        <v>693</v>
      </c>
    </row>
    <row r="13" spans="1:2" x14ac:dyDescent="0.25">
      <c r="A13" s="85" t="s">
        <v>139</v>
      </c>
      <c r="B13" s="55" t="s">
        <v>140</v>
      </c>
    </row>
    <row r="14" spans="1:2" x14ac:dyDescent="0.25">
      <c r="A14" s="33" t="s">
        <v>120</v>
      </c>
      <c r="B14" s="55" t="s">
        <v>223</v>
      </c>
    </row>
    <row r="15" spans="1:2" x14ac:dyDescent="0.25">
      <c r="A15" s="33" t="s">
        <v>121</v>
      </c>
      <c r="B15" s="55" t="s">
        <v>453</v>
      </c>
    </row>
    <row r="16" spans="1:2" x14ac:dyDescent="0.25">
      <c r="A16" s="33" t="s">
        <v>122</v>
      </c>
      <c r="B16" s="55">
        <v>1600</v>
      </c>
    </row>
    <row r="17" spans="1:2" x14ac:dyDescent="0.25">
      <c r="A17" s="33" t="s">
        <v>123</v>
      </c>
      <c r="B17" s="55">
        <v>148.63999999999999</v>
      </c>
    </row>
    <row r="18" spans="1:2" x14ac:dyDescent="0.25">
      <c r="A18" s="33" t="s">
        <v>124</v>
      </c>
      <c r="B18" s="55" t="s">
        <v>725</v>
      </c>
    </row>
    <row r="19" spans="1:2" x14ac:dyDescent="0.25">
      <c r="A19" s="33" t="s">
        <v>125</v>
      </c>
      <c r="B19" s="55" t="s">
        <v>440</v>
      </c>
    </row>
    <row r="20" spans="1:2" x14ac:dyDescent="0.25">
      <c r="A20" s="33" t="s">
        <v>127</v>
      </c>
      <c r="B20" s="55" t="s">
        <v>12</v>
      </c>
    </row>
    <row r="21" spans="1:2" x14ac:dyDescent="0.25">
      <c r="A21" s="33" t="s">
        <v>128</v>
      </c>
      <c r="B21" s="55" t="s">
        <v>140</v>
      </c>
    </row>
    <row r="22" spans="1:2" x14ac:dyDescent="0.25">
      <c r="A22" s="33" t="s">
        <v>129</v>
      </c>
      <c r="B22" s="55">
        <v>1</v>
      </c>
    </row>
    <row r="23" spans="1:2" x14ac:dyDescent="0.25">
      <c r="A23" s="33" t="s">
        <v>130</v>
      </c>
      <c r="B23" s="61" t="s">
        <v>180</v>
      </c>
    </row>
    <row r="24" spans="1:2" x14ac:dyDescent="0.25">
      <c r="A24" s="60" t="s">
        <v>138</v>
      </c>
      <c r="B24" s="84" t="s">
        <v>156</v>
      </c>
    </row>
    <row r="25" spans="1:2" x14ac:dyDescent="0.25">
      <c r="A25" s="63" t="s">
        <v>22</v>
      </c>
      <c r="B25" s="63" t="s">
        <v>441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20540.474999999999</v>
      </c>
    </row>
    <row r="28" spans="1:2" x14ac:dyDescent="0.25">
      <c r="A28" s="54">
        <v>0</v>
      </c>
      <c r="B28" s="53">
        <v>20540.474999999999</v>
      </c>
    </row>
    <row r="29" spans="1:2" x14ac:dyDescent="0.25">
      <c r="A29" s="54">
        <v>0.03</v>
      </c>
      <c r="B29" s="53">
        <v>97164.729249999989</v>
      </c>
    </row>
    <row r="30" spans="1:2" x14ac:dyDescent="0.25">
      <c r="A30" s="54">
        <v>0.05</v>
      </c>
      <c r="B30" s="53">
        <v>133030.13624999992</v>
      </c>
    </row>
    <row r="31" spans="1:2" x14ac:dyDescent="0.25">
      <c r="A31" s="54">
        <v>0.1</v>
      </c>
      <c r="B31" s="53">
        <v>134866.52624999994</v>
      </c>
    </row>
    <row r="32" spans="1:2" x14ac:dyDescent="0.25">
      <c r="A32" s="54">
        <v>0.15</v>
      </c>
      <c r="B32" s="53">
        <v>159743.7332499999</v>
      </c>
    </row>
    <row r="33" spans="1:2" x14ac:dyDescent="0.25">
      <c r="A33" s="54">
        <v>0.3</v>
      </c>
      <c r="B33" s="53">
        <v>168327.57574999993</v>
      </c>
    </row>
    <row r="34" spans="1:2" x14ac:dyDescent="0.25">
      <c r="A34" s="54">
        <v>0.46</v>
      </c>
      <c r="B34" s="53">
        <v>183881.06949999998</v>
      </c>
    </row>
    <row r="35" spans="1:2" x14ac:dyDescent="0.25">
      <c r="A35" s="54">
        <v>0.61</v>
      </c>
      <c r="B35" s="53">
        <v>216555.55650000001</v>
      </c>
    </row>
    <row r="36" spans="1:2" x14ac:dyDescent="0.25">
      <c r="A36" s="54">
        <v>0.76</v>
      </c>
      <c r="B36" s="53">
        <v>229403.26649999994</v>
      </c>
    </row>
    <row r="37" spans="1:2" x14ac:dyDescent="0.25">
      <c r="A37" s="54">
        <v>0.91</v>
      </c>
      <c r="B37" s="53">
        <v>280639.44550000003</v>
      </c>
    </row>
    <row r="38" spans="1:2" x14ac:dyDescent="0.25">
      <c r="A38" s="54">
        <v>1.02</v>
      </c>
      <c r="B38" s="53">
        <v>292281.25800000003</v>
      </c>
    </row>
    <row r="39" spans="1:2" x14ac:dyDescent="0.25">
      <c r="A39" s="54">
        <v>1.22</v>
      </c>
      <c r="B39" s="53">
        <v>296128.62800000003</v>
      </c>
    </row>
    <row r="40" spans="1:2" x14ac:dyDescent="0.25">
      <c r="A40" s="54">
        <v>1.52</v>
      </c>
      <c r="B40" s="53">
        <v>307473.35800000012</v>
      </c>
    </row>
    <row r="41" spans="1:2" x14ac:dyDescent="0.25">
      <c r="A41" s="54">
        <v>1.83</v>
      </c>
      <c r="B41" s="53">
        <v>307473.35800000012</v>
      </c>
    </row>
    <row r="42" spans="1:2" x14ac:dyDescent="0.25">
      <c r="A42" s="54">
        <v>2.7</v>
      </c>
      <c r="B42" s="53">
        <v>307473.35800000012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88"/>
      <c r="B54" s="83"/>
    </row>
    <row r="55" spans="1:2" x14ac:dyDescent="0.25">
      <c r="A55" s="86"/>
      <c r="B55" s="87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R_1-M-C-CU_info</vt:lpstr>
      <vt:lpstr>R_1-M-C-CU_ABCA_m2</vt:lpstr>
      <vt:lpstr>R_1-M-C-CU_ABCA_struct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2023-09-08T05:22:23Z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