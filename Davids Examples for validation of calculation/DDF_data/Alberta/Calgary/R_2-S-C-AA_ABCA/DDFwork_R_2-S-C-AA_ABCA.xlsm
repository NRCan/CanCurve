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S-C-AA_ABCA\"/>
    </mc:Choice>
  </mc:AlternateContent>
  <xr:revisionPtr revIDLastSave="0" documentId="13_ncr:1_{648D192B-264F-4E50-92F3-BAE0A93D5537}" xr6:coauthVersionLast="47" xr6:coauthVersionMax="47" xr10:uidLastSave="{00000000-0000-0000-0000-000000000000}"/>
  <bookViews>
    <workbookView xWindow="-120" yWindow="-120" windowWidth="25440" windowHeight="15390" tabRatio="813" firstSheet="1" activeTab="1" xr2:uid="{7C5655A8-2A5B-4B20-ABA5-441C5835F3C9}"/>
  </bookViews>
  <sheets>
    <sheet name="R_2-S-C-AA_info" sheetId="58" r:id="rId1"/>
    <sheet name="Home" sheetId="29" r:id="rId2"/>
    <sheet name="LineItems" sheetId="59" r:id="rId3"/>
    <sheet name="Rooms_Rpt" sheetId="20" r:id="rId4"/>
    <sheet name="Groups-Layout" sheetId="2" r:id="rId5"/>
    <sheet name="Pivot_Tables" sheetId="33" r:id="rId6"/>
    <sheet name="DDFwrk_grp2" sheetId="57" r:id="rId7"/>
    <sheet name="DDFwrk_grp3" sheetId="42" r:id="rId8"/>
    <sheet name="lists" sheetId="43" r:id="rId9"/>
    <sheet name="CanFlood_DDF" sheetId="48" r:id="rId10"/>
  </sheets>
  <functionGroups builtInGroupCount="19"/>
  <definedNames>
    <definedName name="_xlnm._FilterDatabase" localSheetId="4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61" r:id="rId11"/>
    <pivotCache cacheId="67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E2" i="58" l="1"/>
  <c r="M21" i="57" l="1"/>
  <c r="M20" i="57"/>
  <c r="M19" i="57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P11" i="57"/>
  <c r="R19" i="57"/>
  <c r="Q11" i="57"/>
  <c r="R21" i="57"/>
  <c r="Q14" i="57"/>
  <c r="R20" i="57"/>
  <c r="Q16" i="57"/>
  <c r="Q20" i="57"/>
  <c r="P20" i="57"/>
  <c r="R17" i="57"/>
  <c r="R18" i="57"/>
  <c r="R12" i="57"/>
  <c r="P17" i="57"/>
  <c r="Q9" i="57"/>
  <c r="Q6" i="57"/>
  <c r="Q17" i="57"/>
  <c r="R6" i="57"/>
  <c r="P7" i="57"/>
  <c r="P13" i="57"/>
  <c r="Q7" i="57"/>
  <c r="P18" i="57"/>
  <c r="Q12" i="57"/>
  <c r="P8" i="57"/>
  <c r="P21" i="57"/>
  <c r="Q13" i="57"/>
  <c r="Q18" i="57"/>
  <c r="R5" i="57"/>
  <c r="R14" i="57"/>
  <c r="Q15" i="57"/>
  <c r="P19" i="57"/>
  <c r="R15" i="57"/>
  <c r="R7" i="57"/>
  <c r="Q10" i="57"/>
  <c r="R10" i="57"/>
  <c r="Q8" i="57"/>
  <c r="P15" i="57"/>
  <c r="R13" i="57"/>
  <c r="P5" i="57"/>
  <c r="R11" i="57"/>
  <c r="P12" i="57"/>
  <c r="R8" i="57"/>
  <c r="P16" i="57"/>
  <c r="Q5" i="57"/>
  <c r="P9" i="57"/>
  <c r="Q21" i="57"/>
  <c r="Q19" i="57"/>
  <c r="R16" i="57"/>
  <c r="P10" i="57"/>
  <c r="R9" i="57"/>
  <c r="P6" i="57"/>
  <c r="P14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<sst xmlns="http://schemas.openxmlformats.org/spreadsheetml/2006/main" count="5114" uniqueCount="626">
  <si>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</si>
  <si>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</si>
  <si>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</si>
  <si>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</si>
  <si>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</si>
  <si>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</si>
  <si>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</si>
  <si>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</si>
  <si>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</si>
  <si>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</si>
  <si>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</si>
  <si>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</si>
  <si>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</si>
  <si>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</si>
  <si>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</si>
  <si>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</si>
  <si>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</si>
  <si>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</si>
  <si>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</si>
  <si>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</si>
  <si>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</si>
  <si>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</si>
  <si>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</si>
  <si>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</si>
  <si>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</si>
  <si>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</si>
  <si>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</si>
  <si>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</si>
  <si>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</si>
  <si>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</si>
  <si>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</si>
  <si>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</si>
  <si>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</si>
  <si>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</si>
  <si>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</si>
  <si>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</si>
  <si>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</si>
  <si>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</si>
  <si>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</si>
  <si>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</si>
  <si>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</si>
  <si>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</si>
  <si>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</si>
  <si>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</si>
  <si>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</si>
  <si>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</si>
  <si>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</si>
  <si>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</si>
  <si>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</si>
  <si>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</si>
  <si>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</si>
  <si>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</si>
  <si>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</si>
  <si>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</si>
  <si>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</si>
  <si>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</si>
  <si>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</si>
  <si>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</si>
  <si>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</si>
  <si>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</si>
  <si>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</si>
  <si>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</si>
  <si>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</si>
  <si>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</si>
  <si>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</si>
  <si>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</si>
  <si>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</si>
  <si>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</si>
  <si>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</si>
  <si>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</si>
  <si>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</si>
  <si>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</si>
  <si>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</si>
  <si>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</si>
  <si>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</si>
  <si>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</si>
  <si>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</si>
  <si>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</si>
  <si>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</si>
  <si>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</si>
  <si>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</si>
  <si>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</si>
  <si>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</si>
  <si>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</si>
  <si>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</si>
  <si>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</si>
  <si>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</si>
  <si>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</si>
  <si>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</si>
  <si>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</si>
  <si>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</si>
  <si>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</si>
  <si>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</si>
  <si>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</si>
  <si>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</si>
  <si>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</si>
  <si>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</si>
  <si>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</si>
  <si>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</si>
  <si>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</si>
  <si>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</si>
  <si>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</si>
  <si>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</si>
  <si>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</si>
  <si>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</si>
  <si>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</si>
  <si>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</si>
  <si>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</si>
  <si>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</si>
  <si>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</si>
  <si>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</si>
  <si>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</si>
  <si>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</si>
  <si>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</si>
  <si>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</si>
  <si>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</si>
  <si>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</si>
  <si>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</si>
  <si>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</si>
  <si>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</si>
  <si>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</si>
  <si>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</si>
  <si>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</si>
  <si>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</si>
  <si>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</si>
  <si>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</si>
  <si>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</si>
  <si>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</si>
  <si>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</si>
  <si>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</si>
  <si>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</si>
  <si>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</si>
  <si>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</si>
  <si>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</si>
  <si>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</si>
  <si>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</si>
  <si>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</si>
  <si>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</si>
  <si>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</si>
  <si>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</si>
  <si>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</si>
  <si>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</si>
  <si>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</si>
  <si>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</si>
  <si>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</si>
  <si>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</si>
  <si>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R_2-C</t>
  </si>
  <si>
    <t>Half Bath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</si>
  <si>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</si>
  <si>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</si>
  <si>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</si>
  <si>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</si>
  <si>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</si>
  <si>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</si>
  <si>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</si>
  <si>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</si>
  <si>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</si>
  <si>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</si>
  <si>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</si>
  <si>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</si>
  <si>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</si>
  <si>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</si>
  <si>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</si>
  <si>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</si>
  <si>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</si>
  <si>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</si>
  <si>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</si>
  <si>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R_2-S-C-AA_ABCA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</si>
  <si>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</si>
  <si>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</si>
  <si>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</si>
  <si>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</si>
  <si>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</si>
  <si>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</si>
  <si>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</si>
  <si>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</si>
  <si>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R_2-S-C-AA</t>
  </si>
  <si>
    <t>residential</t>
  </si>
  <si>
    <t>small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</si>
  <si>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</si>
  <si>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</si>
  <si>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</si>
  <si>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</si>
  <si>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</si>
  <si>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</si>
  <si>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</si>
  <si>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</si>
  <si>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</si>
  <si>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</si>
  <si>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</si>
  <si>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</si>
  <si>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</si>
  <si>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</si>
  <si>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</si>
  <si>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</si>
  <si>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</si>
  <si>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</si>
  <si>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</si>
  <si>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</si>
  <si>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</si>
  <si>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</si>
  <si>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</si>
  <si>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</si>
  <si>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</si>
  <si>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</si>
  <si>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</si>
  <si>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</si>
  <si>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Stucco -Traditional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</si>
  <si>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</si>
  <si>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</si>
  <si>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</si>
  <si>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</si>
  <si>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</si>
  <si>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</si>
  <si>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</si>
  <si>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</si>
  <si>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</si>
  <si>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</si>
  <si>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</si>
  <si>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</si>
  <si>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</si>
  <si>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</si>
  <si>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</si>
  <si>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</si>
  <si>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</si>
  <si>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</si>
  <si>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</si>
  <si>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</si>
  <si>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</si>
  <si>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</si>
  <si>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</si>
  <si>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</si>
  <si>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</si>
  <si>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</si>
  <si>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</si>
  <si>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</si>
  <si>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</si>
  <si>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</si>
  <si>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</si>
  <si>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>Add location/level for DDF</t>
  </si>
  <si>
    <t xml:space="preserve">cooling system </t>
  </si>
  <si>
    <t>central air conditioning</t>
  </si>
  <si>
    <t>specitaly systems</t>
  </si>
  <si>
    <t>electrical service</t>
  </si>
  <si>
    <t>100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</si>
  <si>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</si>
  <si>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</si>
  <si>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</si>
  <si>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</si>
  <si>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</si>
  <si>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</si>
  <si>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</si>
  <si>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</si>
  <si>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</si>
  <si>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</si>
  <si>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</si>
  <si>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</si>
  <si>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</si>
  <si>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</si>
  <si>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</si>
  <si>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</si>
  <si>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</si>
  <si>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</si>
  <si>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</si>
  <si>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Bath2</t>
  </si>
  <si>
    <t>Bedroom2</t>
  </si>
  <si>
    <t>Bedroom3</t>
  </si>
  <si>
    <t>large</t>
  </si>
  <si>
    <t>LivingRoom</t>
  </si>
  <si>
    <t>DiningRoom</t>
  </si>
  <si>
    <t>UtilityRoom</t>
  </si>
  <si>
    <t>Calgary, Alberta</t>
  </si>
  <si>
    <t>R_2-S-C-AA_info</t>
  </si>
  <si>
    <t>R_2-S-C-AA_ABCA.xlsx</t>
  </si>
  <si>
    <t>R_2-S-C-AA_ABCA_rep.xlsx</t>
  </si>
  <si>
    <t>david.sol at 2023-09-06 03:47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</si>
  <si>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</si>
  <si>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</si>
  <si>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</si>
  <si>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</si>
  <si>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</si>
  <si>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</si>
  <si>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</si>
  <si>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</si>
  <si>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</si>
  <si>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</si>
  <si>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</si>
  <si>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</si>
  <si>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</si>
  <si>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</si>
  <si>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</si>
  <si>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</si>
  <si>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</si>
  <si>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</si>
  <si>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</si>
  <si>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</si>
  <si>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</si>
  <si>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</si>
  <si>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</si>
  <si>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</si>
  <si>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</si>
  <si>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</si>
  <si>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</si>
  <si>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</si>
  <si>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</si>
  <si>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</si>
  <si>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</si>
  <si>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</si>
  <si>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</si>
  <si>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</si>
  <si>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</si>
  <si>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</si>
  <si>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</si>
  <si>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</si>
  <si>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</si>
  <si>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</si>
  <si>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</si>
  <si>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</si>
  <si>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</si>
  <si>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</si>
  <si>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</si>
  <si>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</si>
  <si>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</si>
  <si>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</si>
  <si>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</si>
  <si>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</si>
  <si>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</si>
  <si>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</si>
  <si>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</si>
  <si>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</si>
  <si>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</si>
  <si>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</si>
  <si>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</si>
  <si>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</si>
  <si>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</si>
  <si>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</si>
  <si>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</si>
  <si>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</si>
  <si>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</si>
  <si>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</si>
  <si>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</si>
  <si>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</si>
  <si>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</si>
  <si>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</si>
  <si>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</si>
  <si>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</si>
  <si>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</si>
  <si>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</si>
  <si>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</si>
  <si>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</si>
  <si>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</si>
  <si>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</si>
  <si>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</si>
  <si>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</si>
  <si>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</si>
  <si>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</si>
  <si>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</si>
  <si>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</si>
  <si>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</si>
  <si>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</si>
  <si>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</si>
  <si>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</si>
  <si>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</si>
  <si>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</si>
  <si>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</si>
  <si>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</si>
  <si>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</si>
  <si>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</si>
  <si>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</si>
  <si>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</si>
  <si>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</si>
  <si>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</si>
  <si>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</si>
  <si>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</si>
  <si>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</si>
  <si>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</si>
  <si>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</si>
  <si>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</si>
  <si>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</si>
  <si>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</si>
  <si>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</si>
  <si>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</si>
  <si>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</si>
  <si>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</si>
  <si>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</si>
  <si>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</si>
  <si>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</si>
  <si>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</si>
  <si>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</si>
  <si>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</si>
  <si>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</si>
  <si>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</si>
  <si>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</si>
  <si>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</si>
  <si>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</si>
  <si>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</si>
  <si>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</si>
  <si>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</si>
  <si>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</si>
  <si>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</si>
  <si>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</si>
  <si>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</si>
  <si>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</si>
  <si>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</si>
  <si>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</si>
  <si>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</si>
  <si>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</si>
  <si>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</si>
  <si>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</si>
  <si>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</si>
  <si>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</si>
  <si>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</si>
  <si>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</si>
  <si>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</si>
  <si>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</si>
  <si>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</si>
  <si>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</si>
  <si>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</si>
  <si>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</si>
  <si>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</si>
  <si>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</si>
  <si>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</si>
  <si>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</si>
  <si>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</si>
  <si>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</si>
  <si>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</si>
  <si>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</si>
  <si>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</si>
  <si>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</si>
  <si>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</si>
  <si>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</si>
  <si>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</si>
  <si>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</si>
  <si>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</si>
  <si>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</si>
  <si>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</si>
  <si>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</si>
  <si>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</si>
  <si>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</si>
  <si>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PRE3/8</t>
  </si>
  <si>
    <t>Carpet - High grade</t>
  </si>
  <si>
    <t>Light bar - 4 lights</t>
  </si>
  <si>
    <t>BAR4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</si>
  <si>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</si>
  <si>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</si>
  <si>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</si>
  <si>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</si>
  <si>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</si>
  <si>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</si>
  <si>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</si>
  <si>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</si>
  <si>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</si>
  <si>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</si>
  <si>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</si>
  <si>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</si>
  <si>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</si>
  <si>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</si>
  <si>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</si>
  <si>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</si>
  <si>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</si>
  <si>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</si>
  <si>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</si>
  <si>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</si>
  <si>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</si>
  <si>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</si>
  <si>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</si>
  <si>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</si>
  <si>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</si>
  <si>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</si>
  <si>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</si>
  <si>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</si>
  <si>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</si>
  <si>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</si>
  <si>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</si>
  <si>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</si>
  <si>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</si>
  <si>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</si>
  <si>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</si>
  <si>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</si>
  <si>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</si>
  <si>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</si>
  <si>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</si>
  <si>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</si>
  <si>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</si>
  <si>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</si>
  <si>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</si>
  <si>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</si>
  <si>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</si>
  <si>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</si>
  <si>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</si>
  <si>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</si>
  <si>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</si>
  <si>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</si>
  <si>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</si>
  <si>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</si>
  <si>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</si>
  <si>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</si>
  <si>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</si>
  <si>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PNT.BALS</t>
  </si>
  <si>
    <t>FNC.BAL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</si>
  <si>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</si>
  <si>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</si>
  <si>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</si>
  <si>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</si>
  <si>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</si>
  <si>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</si>
  <si>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</si>
  <si>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</si>
  <si>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</si>
  <si>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</si>
  <si>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</si>
  <si>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</si>
  <si>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</si>
  <si>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</si>
  <si>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HVC.DCT_m2</t>
  </si>
  <si>
    <t>HVC.TS+</t>
  </si>
  <si>
    <t>HVC.DRNL</t>
  </si>
  <si>
    <t>HVC.AC&gt;_m</t>
  </si>
  <si>
    <t>LIT.FN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</si>
  <si>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</si>
  <si>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</si>
  <si>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</si>
  <si>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</si>
  <si>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</si>
  <si>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</si>
  <si>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</si>
  <si>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</si>
  <si>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</si>
  <si>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</si>
  <si>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</si>
  <si>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</si>
  <si>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</si>
  <si>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</si>
  <si>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</si>
  <si>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</si>
  <si>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</si>
  <si>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</si>
  <si>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</si>
  <si>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</si>
  <si>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</si>
  <si>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</si>
  <si>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</si>
  <si>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</si>
  <si>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</si>
  <si>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</si>
  <si>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</si>
  <si>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</si>
  <si>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</si>
  <si>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</si>
  <si>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</si>
  <si>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</si>
  <si>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</si>
  <si>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</si>
  <si>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</si>
  <si>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</si>
  <si>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</si>
  <si>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</si>
  <si>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</si>
  <si>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</si>
  <si>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</si>
  <si>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</si>
  <si>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</si>
  <si>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</si>
  <si>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</si>
  <si>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LIT.BAR4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</si>
  <si>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</si>
  <si>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</si>
  <si>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</si>
  <si>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</si>
  <si>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</si>
  <si>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</si>
  <si>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</si>
  <si>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</si>
  <si>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</si>
  <si>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</si>
  <si>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</si>
  <si>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</si>
  <si>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</si>
  <si>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</si>
  <si>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</si>
  <si>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</si>
  <si>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</si>
  <si>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</si>
  <si>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</si>
  <si>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</si>
  <si>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</si>
  <si>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</si>
  <si>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</si>
  <si>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</si>
  <si>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david.sol at 2023-09-06 03:48</t>
  </si>
  <si>
    <t>ABCA8X_SEP23</t>
  </si>
  <si>
    <t>7' 2" x 4' 6" x 8'</t>
  </si>
  <si>
    <t>4' 6" x 4' 6" x 8'</t>
  </si>
  <si>
    <t>9' x 9' x 8'</t>
  </si>
  <si>
    <t>9' 10" x 9' x 8'</t>
  </si>
  <si>
    <t>12' 7" x 10' 9" x 8'</t>
  </si>
  <si>
    <t>7' 2" x 5' 5" x 8'</t>
  </si>
  <si>
    <t>17' 11" x 12' 7" x 8'</t>
  </si>
  <si>
    <t>7' 1" x 7' 1" x 8'</t>
  </si>
  <si>
    <t>12' 7" x 9' x 8'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</si>
  <si>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</si>
  <si>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</si>
  <si>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</si>
  <si>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</si>
  <si>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</si>
  <si>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</si>
  <si>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</si>
  <si>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</si>
  <si>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</si>
  <si>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</si>
  <si>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david.sol at 2023-09-06 03:54</t>
  </si>
  <si>
    <t>group_2</t>
  </si>
  <si>
    <t>group_3</t>
  </si>
  <si>
    <t>raw_est</t>
  </si>
  <si>
    <t>level</t>
  </si>
  <si>
    <t>Depth-Replacement</t>
  </si>
  <si>
    <t>Depth-Cost</t>
  </si>
  <si>
    <t>david.sol at 2023-09-06 03:56</t>
  </si>
  <si>
    <t>Copy of group_2 pivot</t>
  </si>
  <si>
    <t>Copy of group_3 pivot</t>
  </si>
  <si>
    <t xml:space="preserve">$/structure </t>
  </si>
  <si>
    <t>DDFwork_R_2-S-C-AA_ABCA.xlsm</t>
  </si>
  <si>
    <t>david.sol</t>
  </si>
  <si>
    <t>impact</t>
  </si>
  <si>
    <t>david.sol at 2023-09-06 03:59</t>
  </si>
  <si>
    <t>R_2-S-C-AA_ABCA_m2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</si>
</sst>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9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10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Fill="1" applyBorder="1"/>
    <xf numFmtId="164" fontId="3" fillId="0" borderId="14" xfId="5" applyNumberFormat="1" applyFill="1" applyBorder="1"/>
    <xf numFmtId="0" fontId="4" fillId="3" borderId="11" xfId="0" applyFont="1" applyFill="1" applyBorder="1" applyAlignment="1">
      <alignment horizontal="center"/>
    </xf>
    <xf numFmtId="164" fontId="4" fillId="3" borderId="11" xfId="0" applyNumberFormat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164177546299" createdVersion="3" refreshedVersion="8" minRefreshableVersion="3" recordCount="348" xr:uid="{AE751A12-1EE7-454A-A6BF-708D0BBE0392}">
  <cacheSource type="worksheet">
    <worksheetSource ref="AH2:AZ350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644.2"/>
    </cacheField>
    <cacheField name="0" numFmtId="0">
      <sharedItems containsSemiMixedTypes="0" containsString="0" containsNumber="1" minValue="0" maxValue="5644.2"/>
    </cacheField>
    <cacheField name="0.03" numFmtId="0">
      <sharedItems containsSemiMixedTypes="0" containsString="0" containsNumber="1" minValue="0" maxValue="5644.2"/>
    </cacheField>
    <cacheField name="0.05" numFmtId="0">
      <sharedItems containsSemiMixedTypes="0" containsString="0" containsNumber="1" minValue="0" maxValue="6077.38"/>
    </cacheField>
    <cacheField name="0.1" numFmtId="0">
      <sharedItems containsSemiMixedTypes="0" containsString="0" containsNumber="1" minValue="0" maxValue="6077.38"/>
    </cacheField>
    <cacheField name="0.15" numFmtId="0">
      <sharedItems containsSemiMixedTypes="0" containsString="0" containsNumber="1" minValue="0" maxValue="6077.38"/>
    </cacheField>
    <cacheField name="0.3" numFmtId="0">
      <sharedItems containsSemiMixedTypes="0" containsString="0" containsNumber="1" minValue="0" maxValue="6077.38"/>
    </cacheField>
    <cacheField name="0.46" numFmtId="0">
      <sharedItems containsSemiMixedTypes="0" containsString="0" containsNumber="1" minValue="0" maxValue="6077.38"/>
    </cacheField>
    <cacheField name="0.61" numFmtId="0">
      <sharedItems containsSemiMixedTypes="0" containsString="0" containsNumber="1" minValue="0" maxValue="6077.38"/>
    </cacheField>
    <cacheField name="0.76" numFmtId="0">
      <sharedItems containsSemiMixedTypes="0" containsString="0" containsNumber="1" minValue="0" maxValue="6077.38"/>
    </cacheField>
    <cacheField name="0.91" numFmtId="0">
      <sharedItems containsSemiMixedTypes="0" containsString="0" containsNumber="1" minValue="0" maxValue="6077.38"/>
    </cacheField>
    <cacheField name="1.02" numFmtId="0">
      <sharedItems containsSemiMixedTypes="0" containsString="0" containsNumber="1" minValue="0" maxValue="6077.38"/>
    </cacheField>
    <cacheField name="1.22" numFmtId="0">
      <sharedItems containsSemiMixedTypes="0" containsString="0" containsNumber="1" minValue="0" maxValue="6077.38"/>
    </cacheField>
    <cacheField name="1.52" numFmtId="0">
      <sharedItems containsSemiMixedTypes="0" containsString="0" containsNumber="1" minValue="6.08" maxValue="6077.38"/>
    </cacheField>
    <cacheField name="1.83" numFmtId="0">
      <sharedItems containsSemiMixedTypes="0" containsString="0" containsNumber="1" minValue="6.08" maxValue="6077.38"/>
    </cacheField>
    <cacheField name="2.7" numFmtId="0">
      <sharedItems containsSemiMixedTypes="0" containsString="0" containsNumber="1" minValue="6.08" maxValue="6077.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5.164179282408" createdVersion="3" refreshedVersion="8" minRefreshableVersion="3" recordCount="348" xr:uid="{5429F5BF-FA57-4502-A0C2-3CDD11FD8274}">
  <cacheSource type="worksheet">
    <worksheetSource ref="AH2:AZ350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644.2"/>
    </cacheField>
    <cacheField name="0" numFmtId="0">
      <sharedItems containsSemiMixedTypes="0" containsString="0" containsNumber="1" minValue="0" maxValue="5644.2"/>
    </cacheField>
    <cacheField name="0.03" numFmtId="0">
      <sharedItems containsSemiMixedTypes="0" containsString="0" containsNumber="1" minValue="0" maxValue="5644.2"/>
    </cacheField>
    <cacheField name="0.05" numFmtId="0">
      <sharedItems containsSemiMixedTypes="0" containsString="0" containsNumber="1" minValue="0" maxValue="6077.38"/>
    </cacheField>
    <cacheField name="0.1" numFmtId="0">
      <sharedItems containsSemiMixedTypes="0" containsString="0" containsNumber="1" minValue="0" maxValue="6077.38"/>
    </cacheField>
    <cacheField name="0.15" numFmtId="0">
      <sharedItems containsSemiMixedTypes="0" containsString="0" containsNumber="1" minValue="0" maxValue="6077.38"/>
    </cacheField>
    <cacheField name="0.3" numFmtId="0">
      <sharedItems containsSemiMixedTypes="0" containsString="0" containsNumber="1" minValue="0" maxValue="6077.38"/>
    </cacheField>
    <cacheField name="0.46" numFmtId="0">
      <sharedItems containsSemiMixedTypes="0" containsString="0" containsNumber="1" minValue="0" maxValue="6077.38"/>
    </cacheField>
    <cacheField name="0.61" numFmtId="0">
      <sharedItems containsSemiMixedTypes="0" containsString="0" containsNumber="1" minValue="0" maxValue="6077.38"/>
    </cacheField>
    <cacheField name="0.76" numFmtId="0">
      <sharedItems containsSemiMixedTypes="0" containsString="0" containsNumber="1" minValue="0" maxValue="6077.38"/>
    </cacheField>
    <cacheField name="0.91" numFmtId="0">
      <sharedItems containsSemiMixedTypes="0" containsString="0" containsNumber="1" minValue="0" maxValue="6077.38"/>
    </cacheField>
    <cacheField name="1.02" numFmtId="0">
      <sharedItems containsSemiMixedTypes="0" containsString="0" containsNumber="1" minValue="0" maxValue="6077.38"/>
    </cacheField>
    <cacheField name="1.22" numFmtId="0">
      <sharedItems containsSemiMixedTypes="0" containsString="0" containsNumber="1" minValue="0" maxValue="6077.38"/>
    </cacheField>
    <cacheField name="1.52" numFmtId="0">
      <sharedItems containsSemiMixedTypes="0" containsString="0" containsNumber="1" minValue="6.08" maxValue="6077.38"/>
    </cacheField>
    <cacheField name="1.83" numFmtId="0">
      <sharedItems containsSemiMixedTypes="0" containsString="0" containsNumber="1" minValue="6.08" maxValue="6077.38"/>
    </cacheField>
    <cacheField name="2.7" numFmtId="0">
      <sharedItems containsSemiMixedTypes="0" containsString="0" containsNumber="1" minValue="6.08" maxValue="6077.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">
  <r>
    <s v="split"/>
    <x v="0"/>
    <n v="0"/>
    <n v="0"/>
    <n v="0"/>
    <n v="0"/>
    <n v="0"/>
    <n v="0"/>
    <n v="0"/>
    <n v="0"/>
    <n v="0"/>
    <n v="0"/>
    <n v="0"/>
    <n v="264.60000000000002"/>
    <n v="264.60000000000002"/>
    <n v="264.60000000000002"/>
    <n v="264.60000000000002"/>
    <n v="264.60000000000002"/>
    <n v="264.60000000000002"/>
  </r>
  <r>
    <s v="split"/>
    <x v="0"/>
    <n v="0"/>
    <n v="0"/>
    <n v="0"/>
    <n v="0"/>
    <n v="0"/>
    <n v="0"/>
    <n v="0"/>
    <n v="0"/>
    <n v="0"/>
    <n v="0"/>
    <n v="0"/>
    <n v="277.8"/>
    <n v="277.8"/>
    <n v="277.8"/>
    <n v="277.8"/>
    <n v="277.8"/>
    <n v="277.8"/>
  </r>
  <r>
    <s v="split"/>
    <x v="0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s v="split"/>
    <x v="0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s v="split"/>
    <x v="0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s v="split"/>
    <x v="0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s v="split"/>
    <x v="0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s v="split"/>
    <x v="0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s v="split"/>
    <x v="0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s v="split"/>
    <x v="0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main"/>
    <x v="2"/>
    <n v="0"/>
    <n v="2853.4472999999998"/>
    <n v="2853.4472999999998"/>
    <n v="3566.8091250000002"/>
    <n v="3566.8091250000002"/>
    <n v="3566.8091250000002"/>
    <n v="3566.8091250000002"/>
    <n v="3566.8091250000002"/>
    <n v="4280.1709499999997"/>
    <n v="4280.1709499999997"/>
    <n v="4280.1709499999997"/>
    <n v="4280.1709499999997"/>
    <n v="5706.8945999999996"/>
    <n v="5706.8945999999996"/>
    <n v="5706.8945999999996"/>
    <n v="5706.8945999999996"/>
    <n v="5706.8945999999996"/>
  </r>
  <r>
    <s v="main"/>
    <x v="2"/>
    <n v="0"/>
    <n v="700.92000000000007"/>
    <n v="700.92000000000007"/>
    <n v="876.15000000000009"/>
    <n v="876.15000000000009"/>
    <n v="876.15000000000009"/>
    <n v="876.15000000000009"/>
    <n v="876.15000000000009"/>
    <n v="1051.3799999999999"/>
    <n v="1051.3799999999999"/>
    <n v="1051.3799999999999"/>
    <n v="1051.3799999999999"/>
    <n v="1401.8400000000001"/>
    <n v="1401.8400000000001"/>
    <n v="1401.8400000000001"/>
    <n v="1401.8400000000001"/>
    <n v="1401.8400000000001"/>
  </r>
  <r>
    <s v="mechanical"/>
    <x v="1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s v="mechanical"/>
    <x v="1"/>
    <n v="0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</r>
  <r>
    <s v="split"/>
    <x v="0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s v="mechanical"/>
    <x v="1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s v="mechanical"/>
    <x v="1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s v="main"/>
    <x v="2"/>
    <n v="0"/>
    <n v="0"/>
    <n v="0"/>
    <n v="0"/>
    <n v="0"/>
    <n v="0"/>
    <n v="0"/>
    <n v="0"/>
    <n v="0"/>
    <n v="0"/>
    <n v="0"/>
    <n v="0"/>
    <n v="0"/>
    <n v="0"/>
    <n v="347.85"/>
    <n v="347.85"/>
    <n v="347.85"/>
  </r>
  <r>
    <s v="main"/>
    <x v="2"/>
    <n v="0"/>
    <n v="0"/>
    <n v="0"/>
    <n v="0"/>
    <n v="0"/>
    <n v="0"/>
    <n v="0"/>
    <n v="0"/>
    <n v="0"/>
    <n v="0"/>
    <n v="0"/>
    <n v="0"/>
    <n v="0"/>
    <n v="0"/>
    <n v="225.68"/>
    <n v="225.68"/>
    <n v="225.68"/>
  </r>
  <r>
    <s v="main"/>
    <x v="2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s v="main"/>
    <x v="2"/>
    <n v="0"/>
    <n v="0"/>
    <n v="0"/>
    <n v="0"/>
    <n v="0"/>
    <n v="1147.92"/>
    <n v="1147.92"/>
    <n v="1147.92"/>
    <n v="1147.92"/>
    <n v="1147.92"/>
    <n v="1147.92"/>
    <n v="1147.92"/>
    <n v="1147.92"/>
    <n v="1147.92"/>
    <n v="1147.92"/>
    <n v="1147.92"/>
    <n v="1147.92"/>
  </r>
  <r>
    <s v="main"/>
    <x v="2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511.9975"/>
    <n v="511.9975"/>
    <n v="511.9975"/>
    <n v="511.9975"/>
    <n v="511.9975"/>
    <n v="1023.995"/>
    <n v="1023.995"/>
    <n v="1023.995"/>
    <n v="2047.99"/>
    <n v="2047.99"/>
    <n v="2047.99"/>
    <n v="2047.99"/>
    <n v="2047.99"/>
    <n v="2047.99"/>
  </r>
  <r>
    <s v="upper"/>
    <x v="3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upper"/>
    <x v="3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3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3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3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3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3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3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3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3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3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3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3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3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upper"/>
    <x v="3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3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3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3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upper"/>
    <x v="3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s v="upper"/>
    <x v="3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3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3"/>
    <n v="0"/>
    <n v="0"/>
    <n v="0"/>
    <n v="0"/>
    <n v="0"/>
    <n v="0"/>
    <n v="0"/>
    <n v="0"/>
    <n v="0"/>
    <n v="0"/>
    <n v="0"/>
    <n v="26.87"/>
    <n v="26.87"/>
    <n v="26.87"/>
    <n v="26.87"/>
    <n v="26.87"/>
    <n v="26.87"/>
  </r>
  <r>
    <s v="upper"/>
    <x v="3"/>
    <n v="0"/>
    <n v="0"/>
    <n v="0"/>
    <n v="185.38"/>
    <n v="185.38"/>
    <n v="185.38"/>
    <n v="185.38"/>
    <n v="185.38"/>
    <n v="185.38"/>
    <n v="185.38"/>
    <n v="185.38"/>
    <n v="185.38"/>
    <n v="185.38"/>
    <n v="185.38"/>
    <n v="185.38"/>
    <n v="185.38"/>
    <n v="185.38"/>
  </r>
  <r>
    <s v="upper"/>
    <x v="3"/>
    <n v="0"/>
    <n v="0"/>
    <n v="0"/>
    <n v="0"/>
    <n v="0"/>
    <n v="0"/>
    <n v="0"/>
    <n v="0"/>
    <n v="0"/>
    <n v="0"/>
    <n v="0"/>
    <n v="0"/>
    <n v="0"/>
    <n v="0"/>
    <n v="59.92"/>
    <n v="59.92"/>
    <n v="59.92"/>
  </r>
  <r>
    <s v="upper"/>
    <x v="3"/>
    <n v="0"/>
    <n v="0"/>
    <n v="0"/>
    <n v="0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</r>
  <r>
    <s v="upper"/>
    <x v="3"/>
    <n v="0"/>
    <n v="0"/>
    <n v="0"/>
    <n v="231.28749999999999"/>
    <n v="231.28749999999999"/>
    <n v="231.28749999999999"/>
    <n v="231.28749999999999"/>
    <n v="462.57499999999999"/>
    <n v="462.57499999999999"/>
    <n v="462.57499999999999"/>
    <n v="462.57499999999999"/>
    <n v="925.15"/>
    <n v="925.15"/>
    <n v="925.15"/>
    <n v="925.15"/>
    <n v="925.15"/>
    <n v="925.15"/>
  </r>
  <r>
    <s v="upper"/>
    <x v="3"/>
    <n v="0"/>
    <n v="0"/>
    <n v="0"/>
    <n v="73.64"/>
    <n v="73.64"/>
    <n v="73.64"/>
    <n v="73.64"/>
    <n v="73.64"/>
    <n v="73.64"/>
    <n v="73.64"/>
    <n v="73.64"/>
    <n v="73.64"/>
    <n v="73.64"/>
    <n v="73.64"/>
    <n v="73.64"/>
    <n v="73.64"/>
    <n v="73.64"/>
  </r>
  <r>
    <s v="upper"/>
    <x v="3"/>
    <n v="0"/>
    <n v="0"/>
    <n v="0"/>
    <n v="173.29"/>
    <n v="173.29"/>
    <n v="173.29"/>
    <n v="173.29"/>
    <n v="173.29"/>
    <n v="173.29"/>
    <n v="173.29"/>
    <n v="173.29"/>
    <n v="173.29"/>
    <n v="173.29"/>
    <n v="173.29"/>
    <n v="173.29"/>
    <n v="173.29"/>
    <n v="173.29"/>
  </r>
  <r>
    <s v="upper"/>
    <x v="3"/>
    <n v="0"/>
    <n v="0"/>
    <n v="0"/>
    <n v="39.957500000000003"/>
    <n v="39.957500000000003"/>
    <n v="39.957500000000003"/>
    <n v="39.957500000000003"/>
    <n v="79.915000000000006"/>
    <n v="79.915000000000006"/>
    <n v="79.915000000000006"/>
    <n v="79.915000000000006"/>
    <n v="159.83000000000001"/>
    <n v="159.83000000000001"/>
    <n v="159.83000000000001"/>
    <n v="159.83000000000001"/>
    <n v="159.83000000000001"/>
    <n v="159.83000000000001"/>
  </r>
  <r>
    <s v="upper"/>
    <x v="3"/>
    <n v="0"/>
    <n v="0"/>
    <n v="0"/>
    <n v="0"/>
    <n v="0"/>
    <n v="0"/>
    <n v="0"/>
    <n v="0"/>
    <n v="0"/>
    <n v="0"/>
    <n v="0"/>
    <n v="0"/>
    <n v="0"/>
    <n v="0"/>
    <n v="41.41"/>
    <n v="41.41"/>
    <n v="41.41"/>
  </r>
  <r>
    <s v="upper"/>
    <x v="3"/>
    <n v="0"/>
    <n v="0"/>
    <n v="0"/>
    <n v="43.72"/>
    <n v="43.72"/>
    <n v="43.72"/>
    <n v="43.72"/>
    <n v="43.72"/>
    <n v="43.72"/>
    <n v="43.72"/>
    <n v="43.72"/>
    <n v="43.72"/>
    <n v="43.72"/>
    <n v="43.72"/>
    <n v="43.72"/>
    <n v="43.72"/>
    <n v="43.72"/>
  </r>
  <r>
    <s v="upper"/>
    <x v="3"/>
    <n v="0"/>
    <n v="0"/>
    <n v="0"/>
    <n v="0"/>
    <n v="0"/>
    <n v="0"/>
    <n v="197.98"/>
    <n v="197.98"/>
    <n v="197.98"/>
    <n v="197.98"/>
    <n v="197.98"/>
    <n v="197.98"/>
    <n v="197.98"/>
    <n v="197.98"/>
    <n v="197.98"/>
    <n v="197.98"/>
    <n v="197.98"/>
  </r>
  <r>
    <s v="upper"/>
    <x v="3"/>
    <n v="0"/>
    <n v="0"/>
    <n v="0"/>
    <n v="103.16"/>
    <n v="103.16"/>
    <n v="103.16"/>
    <n v="103.16"/>
    <n v="103.16"/>
    <n v="103.16"/>
    <n v="103.16"/>
    <n v="103.16"/>
    <n v="103.16"/>
    <n v="103.16"/>
    <n v="103.16"/>
    <n v="103.16"/>
    <n v="103.16"/>
    <n v="103.16"/>
  </r>
  <r>
    <s v="upper"/>
    <x v="3"/>
    <n v="0"/>
    <n v="0"/>
    <n v="0"/>
    <n v="259.68"/>
    <n v="259.68"/>
    <n v="259.68"/>
    <n v="259.68"/>
    <n v="259.68"/>
    <n v="259.68"/>
    <n v="259.68"/>
    <n v="259.68"/>
    <n v="259.68"/>
    <n v="259.68"/>
    <n v="259.68"/>
    <n v="259.68"/>
    <n v="259.68"/>
    <n v="259.68"/>
  </r>
  <r>
    <s v="upper"/>
    <x v="3"/>
    <n v="0"/>
    <n v="0"/>
    <n v="0"/>
    <n v="9.68"/>
    <n v="9.68"/>
    <n v="9.68"/>
    <n v="9.68"/>
    <n v="9.68"/>
    <n v="9.68"/>
    <n v="9.68"/>
    <n v="9.68"/>
    <n v="9.68"/>
    <n v="9.68"/>
    <n v="9.68"/>
    <n v="9.68"/>
    <n v="9.68"/>
    <n v="9.68"/>
  </r>
  <r>
    <s v="upper"/>
    <x v="3"/>
    <n v="0"/>
    <n v="0"/>
    <n v="0"/>
    <n v="78.64"/>
    <n v="78.64"/>
    <n v="78.64"/>
    <n v="78.64"/>
    <n v="78.64"/>
    <n v="78.64"/>
    <n v="78.64"/>
    <n v="78.64"/>
    <n v="78.64"/>
    <n v="78.64"/>
    <n v="78.64"/>
    <n v="78.64"/>
    <n v="78.64"/>
    <n v="78.64"/>
  </r>
  <r>
    <s v="main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4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4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4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4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4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4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4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4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4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4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4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s v="main"/>
    <x v="4"/>
    <n v="0"/>
    <n v="0"/>
    <n v="0"/>
    <n v="0"/>
    <n v="0"/>
    <n v="0"/>
    <n v="0"/>
    <n v="0"/>
    <n v="0"/>
    <n v="0"/>
    <n v="611.11"/>
    <n v="611.11"/>
    <n v="611.11"/>
    <n v="611.11"/>
    <n v="611.11"/>
    <n v="611.11"/>
    <n v="611.11"/>
  </r>
  <r>
    <s v="main"/>
    <x v="4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4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4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4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4"/>
    <n v="0"/>
    <n v="0"/>
    <n v="0"/>
    <n v="0"/>
    <n v="0"/>
    <n v="0"/>
    <n v="0"/>
    <n v="0"/>
    <n v="0"/>
    <n v="0"/>
    <n v="0"/>
    <n v="20.74"/>
    <n v="20.74"/>
    <n v="20.74"/>
    <n v="20.74"/>
    <n v="20.74"/>
    <n v="20.74"/>
  </r>
  <r>
    <s v="main"/>
    <x v="4"/>
    <n v="0"/>
    <n v="0"/>
    <n v="0"/>
    <n v="143"/>
    <n v="143"/>
    <n v="143"/>
    <n v="143"/>
    <n v="143"/>
    <n v="143"/>
    <n v="143"/>
    <n v="143"/>
    <n v="143"/>
    <n v="143"/>
    <n v="143"/>
    <n v="143"/>
    <n v="143"/>
    <n v="143"/>
  </r>
  <r>
    <s v="main"/>
    <x v="4"/>
    <n v="0"/>
    <n v="0"/>
    <n v="0"/>
    <n v="0"/>
    <n v="0"/>
    <n v="0"/>
    <n v="0"/>
    <n v="0"/>
    <n v="0"/>
    <n v="0"/>
    <n v="0"/>
    <n v="0"/>
    <n v="0"/>
    <n v="0"/>
    <n v="46.22"/>
    <n v="46.22"/>
    <n v="46.22"/>
  </r>
  <r>
    <s v="main"/>
    <x v="4"/>
    <n v="0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s v="main"/>
    <x v="4"/>
    <n v="0"/>
    <n v="0"/>
    <n v="0"/>
    <n v="178.41499999999999"/>
    <n v="178.41499999999999"/>
    <n v="178.41499999999999"/>
    <n v="178.41499999999999"/>
    <n v="356.83"/>
    <n v="356.83"/>
    <n v="356.83"/>
    <n v="356.83"/>
    <n v="713.66"/>
    <n v="713.66"/>
    <n v="713.66"/>
    <n v="713.66"/>
    <n v="713.66"/>
    <n v="713.66"/>
  </r>
  <r>
    <s v="main"/>
    <x v="4"/>
    <n v="0"/>
    <n v="0"/>
    <n v="0"/>
    <n v="56.8"/>
    <n v="56.8"/>
    <n v="56.8"/>
    <n v="56.8"/>
    <n v="56.8"/>
    <n v="56.8"/>
    <n v="56.8"/>
    <n v="56.8"/>
    <n v="56.8"/>
    <n v="56.8"/>
    <n v="56.8"/>
    <n v="56.8"/>
    <n v="56.8"/>
    <n v="56.8"/>
  </r>
  <r>
    <s v="main"/>
    <x v="4"/>
    <n v="0"/>
    <n v="0"/>
    <n v="0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</r>
  <r>
    <s v="main"/>
    <x v="4"/>
    <n v="0"/>
    <n v="0"/>
    <n v="0"/>
    <n v="25.087499999999999"/>
    <n v="25.087499999999999"/>
    <n v="25.087499999999999"/>
    <n v="25.087499999999999"/>
    <n v="50.174999999999997"/>
    <n v="50.174999999999997"/>
    <n v="50.174999999999997"/>
    <n v="50.174999999999997"/>
    <n v="100.35"/>
    <n v="100.35"/>
    <n v="100.35"/>
    <n v="100.35"/>
    <n v="100.35"/>
    <n v="100.35"/>
  </r>
  <r>
    <s v="main"/>
    <x v="4"/>
    <n v="0"/>
    <n v="0"/>
    <n v="0"/>
    <n v="0"/>
    <n v="0"/>
    <n v="0"/>
    <n v="0"/>
    <n v="0"/>
    <n v="0"/>
    <n v="0"/>
    <n v="0"/>
    <n v="0"/>
    <n v="0"/>
    <n v="0"/>
    <n v="26.01"/>
    <n v="26.01"/>
    <n v="26.01"/>
  </r>
  <r>
    <s v="main"/>
    <x v="4"/>
    <n v="0"/>
    <n v="0"/>
    <n v="0"/>
    <n v="27.46"/>
    <n v="27.46"/>
    <n v="27.46"/>
    <n v="27.46"/>
    <n v="27.46"/>
    <n v="27.46"/>
    <n v="27.46"/>
    <n v="27.46"/>
    <n v="27.46"/>
    <n v="27.46"/>
    <n v="27.46"/>
    <n v="27.46"/>
    <n v="27.46"/>
    <n v="27.46"/>
  </r>
  <r>
    <s v="main"/>
    <x v="4"/>
    <n v="0"/>
    <n v="0"/>
    <n v="0"/>
    <n v="0"/>
    <n v="0"/>
    <n v="0"/>
    <n v="138.94"/>
    <n v="138.94"/>
    <n v="138.94"/>
    <n v="138.94"/>
    <n v="138.94"/>
    <n v="138.94"/>
    <n v="138.94"/>
    <n v="138.94"/>
    <n v="138.94"/>
    <n v="138.94"/>
    <n v="138.94"/>
  </r>
  <r>
    <s v="main"/>
    <x v="4"/>
    <n v="0"/>
    <n v="0"/>
    <n v="0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</r>
  <r>
    <s v="main"/>
    <x v="4"/>
    <n v="0"/>
    <n v="0"/>
    <n v="0"/>
    <n v="182.28"/>
    <n v="182.28"/>
    <n v="182.28"/>
    <n v="182.28"/>
    <n v="182.28"/>
    <n v="182.28"/>
    <n v="182.28"/>
    <n v="182.28"/>
    <n v="182.28"/>
    <n v="182.28"/>
    <n v="182.28"/>
    <n v="182.28"/>
    <n v="182.28"/>
    <n v="182.28"/>
  </r>
  <r>
    <s v="main"/>
    <x v="4"/>
    <n v="0"/>
    <n v="0"/>
    <n v="0"/>
    <n v="6.08"/>
    <n v="6.08"/>
    <n v="6.08"/>
    <n v="6.08"/>
    <n v="6.08"/>
    <n v="6.08"/>
    <n v="6.08"/>
    <n v="6.08"/>
    <n v="6.08"/>
    <n v="6.08"/>
    <n v="6.08"/>
    <n v="6.08"/>
    <n v="6.08"/>
    <n v="6.08"/>
  </r>
  <r>
    <s v="main"/>
    <x v="4"/>
    <n v="0"/>
    <n v="0"/>
    <n v="0"/>
    <n v="49.39"/>
    <n v="49.39"/>
    <n v="49.39"/>
    <n v="49.39"/>
    <n v="49.39"/>
    <n v="49.39"/>
    <n v="49.39"/>
    <n v="49.39"/>
    <n v="49.39"/>
    <n v="49.39"/>
    <n v="49.39"/>
    <n v="49.39"/>
    <n v="49.39"/>
    <n v="49.39"/>
  </r>
  <r>
    <s v="upper"/>
    <x v="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5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s v="upper"/>
    <x v="5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upper"/>
    <x v="5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5"/>
    <n v="0"/>
    <n v="0"/>
    <n v="0"/>
    <n v="0"/>
    <n v="0"/>
    <n v="0"/>
    <n v="0"/>
    <n v="0"/>
    <n v="0"/>
    <n v="0"/>
    <n v="0"/>
    <n v="24.8"/>
    <n v="24.8"/>
    <n v="24.8"/>
    <n v="24.8"/>
    <n v="24.8"/>
    <n v="24.8"/>
  </r>
  <r>
    <s v="upper"/>
    <x v="5"/>
    <n v="0"/>
    <n v="0"/>
    <n v="0"/>
    <n v="170.79"/>
    <n v="170.79"/>
    <n v="170.79"/>
    <n v="170.79"/>
    <n v="170.79"/>
    <n v="170.79"/>
    <n v="170.79"/>
    <n v="170.79"/>
    <n v="170.79"/>
    <n v="170.79"/>
    <n v="170.79"/>
    <n v="170.79"/>
    <n v="170.79"/>
    <n v="170.79"/>
  </r>
  <r>
    <s v="upper"/>
    <x v="5"/>
    <n v="0"/>
    <n v="0"/>
    <n v="0"/>
    <n v="0"/>
    <n v="0"/>
    <n v="0"/>
    <n v="0"/>
    <n v="0"/>
    <n v="0"/>
    <n v="0"/>
    <n v="0"/>
    <n v="0"/>
    <n v="0"/>
    <n v="0"/>
    <n v="55.21"/>
    <n v="55.21"/>
    <n v="55.21"/>
  </r>
  <r>
    <s v="upper"/>
    <x v="5"/>
    <n v="0"/>
    <n v="0"/>
    <n v="0"/>
    <n v="0"/>
    <n v="250.78"/>
    <n v="250.78"/>
    <n v="250.78"/>
    <n v="250.78"/>
    <n v="250.78"/>
    <n v="250.78"/>
    <n v="250.78"/>
    <n v="250.78"/>
    <n v="250.78"/>
    <n v="250.78"/>
    <n v="250.78"/>
    <n v="250.78"/>
    <n v="250.78"/>
  </r>
  <r>
    <s v="upper"/>
    <x v="5"/>
    <n v="0"/>
    <n v="0"/>
    <n v="0"/>
    <n v="213.11"/>
    <n v="213.11"/>
    <n v="213.11"/>
    <n v="213.11"/>
    <n v="426.22"/>
    <n v="426.22"/>
    <n v="426.22"/>
    <n v="426.22"/>
    <n v="852.44"/>
    <n v="852.44"/>
    <n v="852.44"/>
    <n v="852.44"/>
    <n v="852.44"/>
    <n v="852.44"/>
  </r>
  <r>
    <s v="upper"/>
    <x v="5"/>
    <n v="0"/>
    <n v="0"/>
    <n v="0"/>
    <n v="67.87"/>
    <n v="67.87"/>
    <n v="67.87"/>
    <n v="67.87"/>
    <n v="67.87"/>
    <n v="67.87"/>
    <n v="67.87"/>
    <n v="67.87"/>
    <n v="67.87"/>
    <n v="67.87"/>
    <n v="67.87"/>
    <n v="67.87"/>
    <n v="67.87"/>
    <n v="67.87"/>
  </r>
  <r>
    <s v="upper"/>
    <x v="5"/>
    <n v="0"/>
    <n v="0"/>
    <n v="0"/>
    <n v="159.71"/>
    <n v="159.71"/>
    <n v="159.71"/>
    <n v="159.71"/>
    <n v="159.71"/>
    <n v="159.71"/>
    <n v="159.71"/>
    <n v="159.71"/>
    <n v="159.71"/>
    <n v="159.71"/>
    <n v="159.71"/>
    <n v="159.71"/>
    <n v="159.71"/>
    <n v="159.71"/>
  </r>
  <r>
    <s v="upper"/>
    <x v="5"/>
    <n v="0"/>
    <n v="0"/>
    <n v="0"/>
    <n v="34.854999999999997"/>
    <n v="34.854999999999997"/>
    <n v="34.854999999999997"/>
    <n v="34.854999999999997"/>
    <n v="69.709999999999994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s v="upper"/>
    <x v="5"/>
    <n v="0"/>
    <n v="0"/>
    <n v="0"/>
    <n v="0"/>
    <n v="0"/>
    <n v="0"/>
    <n v="0"/>
    <n v="0"/>
    <n v="0"/>
    <n v="0"/>
    <n v="0"/>
    <n v="0"/>
    <n v="0"/>
    <n v="0"/>
    <n v="36.119999999999997"/>
    <n v="36.119999999999997"/>
    <n v="36.119999999999997"/>
  </r>
  <r>
    <s v="upper"/>
    <x v="5"/>
    <n v="0"/>
    <n v="0"/>
    <n v="0"/>
    <n v="38.15"/>
    <n v="38.15"/>
    <n v="38.15"/>
    <n v="38.15"/>
    <n v="38.15"/>
    <n v="38.15"/>
    <n v="38.15"/>
    <n v="38.15"/>
    <n v="38.15"/>
    <n v="38.15"/>
    <n v="38.15"/>
    <n v="38.15"/>
    <n v="38.15"/>
    <n v="38.15"/>
  </r>
  <r>
    <s v="upper"/>
    <x v="5"/>
    <n v="0"/>
    <n v="0"/>
    <n v="0"/>
    <n v="0"/>
    <n v="0"/>
    <n v="0"/>
    <n v="177.71"/>
    <n v="177.71"/>
    <n v="177.71"/>
    <n v="177.71"/>
    <n v="177.71"/>
    <n v="177.71"/>
    <n v="177.71"/>
    <n v="177.71"/>
    <n v="177.71"/>
    <n v="177.71"/>
    <n v="177.71"/>
  </r>
  <r>
    <s v="upper"/>
    <x v="5"/>
    <n v="0"/>
    <n v="0"/>
    <n v="0"/>
    <n v="92.54"/>
    <n v="92.54"/>
    <n v="92.54"/>
    <n v="92.54"/>
    <n v="92.54"/>
    <n v="92.54"/>
    <n v="92.54"/>
    <n v="92.54"/>
    <n v="92.54"/>
    <n v="92.54"/>
    <n v="92.54"/>
    <n v="92.54"/>
    <n v="92.54"/>
    <n v="92.54"/>
  </r>
  <r>
    <s v="upper"/>
    <x v="5"/>
    <n v="0"/>
    <n v="0"/>
    <n v="0"/>
    <n v="232.99"/>
    <n v="232.99"/>
    <n v="232.99"/>
    <n v="232.99"/>
    <n v="232.99"/>
    <n v="232.99"/>
    <n v="232.99"/>
    <n v="232.99"/>
    <n v="232.99"/>
    <n v="232.99"/>
    <n v="232.99"/>
    <n v="232.99"/>
    <n v="232.99"/>
    <n v="232.99"/>
  </r>
  <r>
    <s v="upper"/>
    <x v="5"/>
    <n v="0"/>
    <n v="0"/>
    <n v="0"/>
    <n v="8.44"/>
    <n v="8.44"/>
    <n v="8.44"/>
    <n v="8.44"/>
    <n v="8.44"/>
    <n v="8.44"/>
    <n v="8.44"/>
    <n v="8.44"/>
    <n v="8.44"/>
    <n v="8.44"/>
    <n v="8.44"/>
    <n v="8.44"/>
    <n v="8.44"/>
    <n v="8.44"/>
  </r>
  <r>
    <s v="upper"/>
    <x v="5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s v="upper"/>
    <x v="6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6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6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6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0"/>
    <n v="0"/>
    <n v="0"/>
    <n v="0"/>
    <n v="0"/>
    <n v="0"/>
    <n v="0"/>
    <n v="41.48"/>
    <n v="41.48"/>
    <n v="41.48"/>
    <n v="41.48"/>
    <n v="41.48"/>
    <n v="41.48"/>
  </r>
  <r>
    <s v="upper"/>
    <x v="6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s v="upper"/>
    <x v="6"/>
    <n v="0"/>
    <n v="0"/>
    <n v="0"/>
    <n v="0"/>
    <n v="0"/>
    <n v="0"/>
    <n v="0"/>
    <n v="0"/>
    <n v="0"/>
    <n v="0"/>
    <n v="0"/>
    <n v="0"/>
    <n v="0"/>
    <n v="0"/>
    <n v="92.44"/>
    <n v="92.44"/>
    <n v="92.44"/>
  </r>
  <r>
    <s v="upper"/>
    <x v="6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s v="upper"/>
    <x v="6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upper"/>
    <x v="6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s v="upper"/>
    <x v="6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s v="upper"/>
    <x v="6"/>
    <n v="0"/>
    <n v="0"/>
    <n v="0"/>
    <n v="100.3575"/>
    <n v="100.3575"/>
    <n v="100.3575"/>
    <n v="100.3575"/>
    <n v="200.715"/>
    <n v="200.715"/>
    <n v="200.715"/>
    <n v="200.715"/>
    <n v="401.43"/>
    <n v="401.43"/>
    <n v="401.43"/>
    <n v="401.43"/>
    <n v="401.43"/>
    <n v="401.43"/>
  </r>
  <r>
    <s v="upper"/>
    <x v="6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s v="upper"/>
    <x v="6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upper"/>
    <x v="6"/>
    <n v="0"/>
    <n v="0"/>
    <n v="0"/>
    <n v="0"/>
    <n v="0"/>
    <n v="0"/>
    <n v="437.88"/>
    <n v="437.88"/>
    <n v="437.88"/>
    <n v="437.88"/>
    <n v="437.88"/>
    <n v="437.88"/>
    <n v="437.88"/>
    <n v="437.88"/>
    <n v="437.88"/>
    <n v="437.88"/>
    <n v="437.88"/>
  </r>
  <r>
    <s v="upper"/>
    <x v="6"/>
    <n v="0"/>
    <n v="0"/>
    <n v="0"/>
    <n v="228.02"/>
    <n v="228.02"/>
    <n v="228.02"/>
    <n v="228.02"/>
    <n v="228.02"/>
    <n v="228.02"/>
    <n v="228.02"/>
    <n v="228.02"/>
    <n v="228.02"/>
    <n v="228.02"/>
    <n v="228.02"/>
    <n v="228.02"/>
    <n v="228.02"/>
    <n v="228.02"/>
  </r>
  <r>
    <s v="upper"/>
    <x v="6"/>
    <n v="0"/>
    <n v="0"/>
    <n v="0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</r>
  <r>
    <s v="upper"/>
    <x v="6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s v="upper"/>
    <x v="6"/>
    <n v="0"/>
    <n v="0"/>
    <n v="0"/>
    <n v="197.6"/>
    <n v="197.6"/>
    <n v="197.6"/>
    <n v="197.6"/>
    <n v="197.6"/>
    <n v="197.6"/>
    <n v="197.6"/>
    <n v="197.6"/>
    <n v="197.6"/>
    <n v="197.6"/>
    <n v="197.6"/>
    <n v="197.6"/>
    <n v="197.6"/>
    <n v="197.6"/>
  </r>
  <r>
    <s v="main"/>
    <x v="7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7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7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7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7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7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7"/>
    <n v="0"/>
    <n v="0"/>
    <n v="0"/>
    <n v="0"/>
    <n v="1841.18"/>
    <n v="1841.18"/>
    <n v="1841.18"/>
    <n v="1841.18"/>
    <n v="1841.18"/>
    <n v="1841.18"/>
    <n v="1841.18"/>
    <n v="1841.18"/>
    <n v="1841.18"/>
    <n v="1841.18"/>
    <n v="1841.18"/>
    <n v="1841.18"/>
    <n v="1841.18"/>
  </r>
  <r>
    <s v="main"/>
    <x v="7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7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s v="main"/>
    <x v="7"/>
    <n v="0"/>
    <n v="0"/>
    <n v="0"/>
    <n v="0"/>
    <n v="0"/>
    <n v="0"/>
    <n v="0"/>
    <n v="0"/>
    <n v="0"/>
    <n v="0"/>
    <n v="0"/>
    <n v="0"/>
    <n v="3759.34"/>
    <n v="3759.34"/>
    <n v="3759.34"/>
    <n v="3759.34"/>
    <n v="3759.34"/>
  </r>
  <r>
    <s v="main"/>
    <x v="7"/>
    <n v="0"/>
    <n v="0"/>
    <n v="0"/>
    <n v="0"/>
    <n v="6077.38"/>
    <n v="6077.38"/>
    <n v="6077.38"/>
    <n v="6077.38"/>
    <n v="6077.38"/>
    <n v="6077.38"/>
    <n v="6077.38"/>
    <n v="6077.38"/>
    <n v="6077.38"/>
    <n v="6077.38"/>
    <n v="6077.38"/>
    <n v="6077.38"/>
    <n v="6077.38"/>
  </r>
  <r>
    <s v="main"/>
    <x v="7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7"/>
    <n v="0"/>
    <n v="0"/>
    <n v="0"/>
    <n v="0"/>
    <n v="0"/>
    <n v="0"/>
    <n v="0"/>
    <n v="0"/>
    <n v="0"/>
    <n v="0"/>
    <n v="3911.04"/>
    <n v="3911.04"/>
    <n v="3911.04"/>
    <n v="3911.04"/>
    <n v="3911.04"/>
    <n v="3911.04"/>
    <n v="3911.04"/>
  </r>
  <r>
    <s v="main"/>
    <x v="7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s v="main"/>
    <x v="7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7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7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7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7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s v="main"/>
    <x v="7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s v="main"/>
    <x v="7"/>
    <n v="0"/>
    <n v="0"/>
    <n v="0"/>
    <n v="0"/>
    <n v="0"/>
    <n v="0"/>
    <n v="0"/>
    <n v="0"/>
    <n v="0"/>
    <n v="0"/>
    <n v="0"/>
    <n v="43.41"/>
    <n v="43.41"/>
    <n v="43.41"/>
    <n v="43.41"/>
    <n v="43.41"/>
    <n v="43.41"/>
  </r>
  <r>
    <s v="main"/>
    <x v="7"/>
    <n v="0"/>
    <n v="0"/>
    <n v="0"/>
    <n v="299.2"/>
    <n v="299.2"/>
    <n v="299.2"/>
    <n v="299.2"/>
    <n v="299.2"/>
    <n v="299.2"/>
    <n v="299.2"/>
    <n v="299.2"/>
    <n v="299.2"/>
    <n v="299.2"/>
    <n v="299.2"/>
    <n v="299.2"/>
    <n v="299.2"/>
    <n v="299.2"/>
  </r>
  <r>
    <s v="main"/>
    <x v="7"/>
    <n v="0"/>
    <n v="0"/>
    <n v="0"/>
    <n v="0"/>
    <n v="0"/>
    <n v="0"/>
    <n v="0"/>
    <n v="0"/>
    <n v="0"/>
    <n v="0"/>
    <n v="0"/>
    <n v="0"/>
    <n v="0"/>
    <n v="0"/>
    <n v="96.72"/>
    <n v="96.72"/>
    <n v="96.72"/>
  </r>
  <r>
    <s v="main"/>
    <x v="7"/>
    <n v="0"/>
    <n v="0"/>
    <n v="0"/>
    <n v="0"/>
    <n v="439.34"/>
    <n v="439.34"/>
    <n v="439.34"/>
    <n v="439.34"/>
    <n v="439.34"/>
    <n v="439.34"/>
    <n v="439.34"/>
    <n v="439.34"/>
    <n v="439.34"/>
    <n v="439.34"/>
    <n v="439.34"/>
    <n v="439.34"/>
    <n v="439.34"/>
  </r>
  <r>
    <s v="main"/>
    <x v="7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s v="main"/>
    <x v="7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main"/>
    <x v="7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main"/>
    <x v="7"/>
    <n v="0"/>
    <n v="0"/>
    <n v="0"/>
    <n v="109.6525"/>
    <n v="109.6525"/>
    <n v="109.6525"/>
    <n v="109.6525"/>
    <n v="219.30500000000001"/>
    <n v="219.30500000000001"/>
    <n v="219.30500000000001"/>
    <n v="219.30500000000001"/>
    <n v="438.61"/>
    <n v="438.61"/>
    <n v="438.61"/>
    <n v="438.61"/>
    <n v="438.61"/>
    <n v="438.61"/>
  </r>
  <r>
    <s v="main"/>
    <x v="7"/>
    <n v="0"/>
    <n v="0"/>
    <n v="0"/>
    <n v="0"/>
    <n v="0"/>
    <n v="0"/>
    <n v="0"/>
    <n v="0"/>
    <n v="0"/>
    <n v="0"/>
    <n v="0"/>
    <n v="0"/>
    <n v="0"/>
    <n v="0"/>
    <n v="113.64"/>
    <n v="113.64"/>
    <n v="113.64"/>
  </r>
  <r>
    <s v="main"/>
    <x v="7"/>
    <n v="0"/>
    <n v="0"/>
    <n v="0"/>
    <n v="120.01"/>
    <n v="120.01"/>
    <n v="120.01"/>
    <n v="120.01"/>
    <n v="120.01"/>
    <n v="120.01"/>
    <n v="120.01"/>
    <n v="120.01"/>
    <n v="120.01"/>
    <n v="120.01"/>
    <n v="120.01"/>
    <n v="120.01"/>
    <n v="120.01"/>
    <n v="120.01"/>
  </r>
  <r>
    <s v="main"/>
    <x v="7"/>
    <n v="0"/>
    <n v="0"/>
    <n v="0"/>
    <n v="0"/>
    <n v="0"/>
    <n v="0"/>
    <n v="474.87"/>
    <n v="474.87"/>
    <n v="474.87"/>
    <n v="474.87"/>
    <n v="474.87"/>
    <n v="474.87"/>
    <n v="474.87"/>
    <n v="474.87"/>
    <n v="474.87"/>
    <n v="474.87"/>
    <n v="474.87"/>
  </r>
  <r>
    <s v="main"/>
    <x v="7"/>
    <n v="0"/>
    <n v="0"/>
    <n v="0"/>
    <n v="247.23"/>
    <n v="247.23"/>
    <n v="247.23"/>
    <n v="247.23"/>
    <n v="247.23"/>
    <n v="247.23"/>
    <n v="247.23"/>
    <n v="247.23"/>
    <n v="247.23"/>
    <n v="247.23"/>
    <n v="247.23"/>
    <n v="247.23"/>
    <n v="247.23"/>
    <n v="247.23"/>
  </r>
  <r>
    <s v="main"/>
    <x v="7"/>
    <n v="0"/>
    <n v="0"/>
    <n v="0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</r>
  <r>
    <s v="main"/>
    <x v="7"/>
    <n v="0"/>
    <n v="0"/>
    <n v="0"/>
    <n v="26.55"/>
    <n v="26.55"/>
    <n v="26.55"/>
    <n v="26.55"/>
    <n v="26.55"/>
    <n v="26.55"/>
    <n v="26.55"/>
    <n v="26.55"/>
    <n v="26.55"/>
    <n v="26.55"/>
    <n v="26.55"/>
    <n v="26.55"/>
    <n v="26.55"/>
    <n v="26.55"/>
  </r>
  <r>
    <s v="main"/>
    <x v="7"/>
    <n v="0"/>
    <n v="0"/>
    <n v="0"/>
    <n v="215.84"/>
    <n v="215.84"/>
    <n v="215.84"/>
    <n v="215.84"/>
    <n v="215.84"/>
    <n v="215.84"/>
    <n v="215.84"/>
    <n v="215.84"/>
    <n v="215.84"/>
    <n v="215.84"/>
    <n v="215.84"/>
    <n v="215.84"/>
    <n v="215.84"/>
    <n v="215.84"/>
  </r>
  <r>
    <s v="upper"/>
    <x v="6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6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6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6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0"/>
    <n v="0"/>
    <n v="0"/>
    <n v="0"/>
    <n v="0"/>
    <n v="0"/>
    <n v="0"/>
    <n v="53.77"/>
    <n v="53.77"/>
    <n v="53.77"/>
    <n v="53.77"/>
    <n v="53.77"/>
    <n v="53.77"/>
  </r>
  <r>
    <s v="upper"/>
    <x v="6"/>
    <n v="0"/>
    <n v="0"/>
    <n v="0"/>
    <n v="370.7"/>
    <n v="370.7"/>
    <n v="370.7"/>
    <n v="370.7"/>
    <n v="370.7"/>
    <n v="370.7"/>
    <n v="370.7"/>
    <n v="370.7"/>
    <n v="370.7"/>
    <n v="370.7"/>
    <n v="370.7"/>
    <n v="370.7"/>
    <n v="370.7"/>
    <n v="370.7"/>
  </r>
  <r>
    <s v="upper"/>
    <x v="6"/>
    <n v="0"/>
    <n v="0"/>
    <n v="0"/>
    <n v="0"/>
    <n v="0"/>
    <n v="0"/>
    <n v="0"/>
    <n v="0"/>
    <n v="0"/>
    <n v="0"/>
    <n v="0"/>
    <n v="0"/>
    <n v="0"/>
    <n v="0"/>
    <n v="119.84"/>
    <n v="119.84"/>
    <n v="119.84"/>
  </r>
  <r>
    <s v="upper"/>
    <x v="6"/>
    <n v="0"/>
    <n v="0"/>
    <n v="0"/>
    <n v="0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</r>
  <r>
    <s v="upper"/>
    <x v="6"/>
    <n v="0"/>
    <n v="0"/>
    <n v="0"/>
    <n v="462.5575"/>
    <n v="462.5575"/>
    <n v="462.5575"/>
    <n v="462.5575"/>
    <n v="925.11500000000001"/>
    <n v="925.11500000000001"/>
    <n v="925.11500000000001"/>
    <n v="925.11500000000001"/>
    <n v="1850.23"/>
    <n v="1850.23"/>
    <n v="1850.23"/>
    <n v="1850.23"/>
    <n v="1850.23"/>
    <n v="1850.23"/>
  </r>
  <r>
    <s v="upper"/>
    <x v="6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s v="upper"/>
    <x v="6"/>
    <n v="0"/>
    <n v="0"/>
    <n v="0"/>
    <n v="346.67"/>
    <n v="346.67"/>
    <n v="346.67"/>
    <n v="346.67"/>
    <n v="346.67"/>
    <n v="346.67"/>
    <n v="346.67"/>
    <n v="346.67"/>
    <n v="346.67"/>
    <n v="346.67"/>
    <n v="346.67"/>
    <n v="346.67"/>
    <n v="346.67"/>
    <n v="346.67"/>
  </r>
  <r>
    <s v="upper"/>
    <x v="6"/>
    <n v="0"/>
    <n v="0"/>
    <n v="0"/>
    <n v="167.60249999999999"/>
    <n v="167.60249999999999"/>
    <n v="167.60249999999999"/>
    <n v="167.60249999999999"/>
    <n v="335.20499999999998"/>
    <n v="335.20499999999998"/>
    <n v="335.20499999999998"/>
    <n v="335.20499999999998"/>
    <n v="670.41"/>
    <n v="670.41"/>
    <n v="670.41"/>
    <n v="670.41"/>
    <n v="670.41"/>
    <n v="670.41"/>
  </r>
  <r>
    <s v="upper"/>
    <x v="6"/>
    <n v="0"/>
    <n v="0"/>
    <n v="0"/>
    <n v="0"/>
    <n v="0"/>
    <n v="0"/>
    <n v="0"/>
    <n v="0"/>
    <n v="0"/>
    <n v="0"/>
    <n v="0"/>
    <n v="0"/>
    <n v="0"/>
    <n v="0"/>
    <n v="173.68"/>
    <n v="173.68"/>
    <n v="173.68"/>
  </r>
  <r>
    <s v="upper"/>
    <x v="6"/>
    <n v="0"/>
    <n v="0"/>
    <n v="0"/>
    <n v="183.44"/>
    <n v="183.44"/>
    <n v="183.44"/>
    <n v="183.44"/>
    <n v="183.44"/>
    <n v="183.44"/>
    <n v="183.44"/>
    <n v="183.44"/>
    <n v="183.44"/>
    <n v="183.44"/>
    <n v="183.44"/>
    <n v="183.44"/>
    <n v="183.44"/>
    <n v="183.44"/>
  </r>
  <r>
    <s v="upper"/>
    <x v="6"/>
    <n v="0"/>
    <n v="0"/>
    <n v="0"/>
    <n v="0"/>
    <n v="0"/>
    <n v="0"/>
    <n v="704.95"/>
    <n v="704.95"/>
    <n v="704.95"/>
    <n v="704.95"/>
    <n v="704.95"/>
    <n v="704.95"/>
    <n v="704.95"/>
    <n v="704.95"/>
    <n v="704.95"/>
    <n v="704.95"/>
    <n v="704.95"/>
  </r>
  <r>
    <s v="upper"/>
    <x v="6"/>
    <n v="0"/>
    <n v="0"/>
    <n v="0"/>
    <n v="367.08"/>
    <n v="367.08"/>
    <n v="367.08"/>
    <n v="367.08"/>
    <n v="367.08"/>
    <n v="367.08"/>
    <n v="367.08"/>
    <n v="367.08"/>
    <n v="367.08"/>
    <n v="367.08"/>
    <n v="367.08"/>
    <n v="367.08"/>
    <n v="367.08"/>
    <n v="367.08"/>
  </r>
  <r>
    <s v="upper"/>
    <x v="6"/>
    <n v="0"/>
    <n v="0"/>
    <n v="0"/>
    <n v="924.15"/>
    <n v="924.15"/>
    <n v="924.15"/>
    <n v="924.15"/>
    <n v="924.15"/>
    <n v="924.15"/>
    <n v="924.15"/>
    <n v="924.15"/>
    <n v="924.15"/>
    <n v="924.15"/>
    <n v="924.15"/>
    <n v="924.15"/>
    <n v="924.15"/>
    <n v="924.15"/>
  </r>
  <r>
    <s v="upper"/>
    <x v="6"/>
    <n v="0"/>
    <n v="0"/>
    <n v="0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</r>
  <r>
    <s v="upper"/>
    <x v="6"/>
    <n v="0"/>
    <n v="0"/>
    <n v="0"/>
    <n v="329.95"/>
    <n v="329.95"/>
    <n v="329.95"/>
    <n v="329.95"/>
    <n v="329.95"/>
    <n v="329.95"/>
    <n v="329.95"/>
    <n v="329.95"/>
    <n v="329.95"/>
    <n v="329.95"/>
    <n v="329.95"/>
    <n v="329.95"/>
    <n v="329.95"/>
    <n v="329.95"/>
  </r>
  <r>
    <s v="upper"/>
    <x v="6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6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6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6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6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6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0"/>
    <n v="0"/>
    <n v="0"/>
    <n v="0"/>
    <n v="0"/>
    <n v="0"/>
    <n v="0"/>
    <n v="41.48"/>
    <n v="41.48"/>
    <n v="41.48"/>
    <n v="41.48"/>
    <n v="41.48"/>
    <n v="41.48"/>
  </r>
  <r>
    <s v="upper"/>
    <x v="6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s v="upper"/>
    <x v="6"/>
    <n v="0"/>
    <n v="0"/>
    <n v="0"/>
    <n v="0"/>
    <n v="0"/>
    <n v="0"/>
    <n v="0"/>
    <n v="0"/>
    <n v="0"/>
    <n v="0"/>
    <n v="0"/>
    <n v="0"/>
    <n v="0"/>
    <n v="0"/>
    <n v="92.44"/>
    <n v="92.44"/>
    <n v="92.44"/>
  </r>
  <r>
    <s v="upper"/>
    <x v="6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s v="upper"/>
    <x v="6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s v="upper"/>
    <x v="6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s v="upper"/>
    <x v="6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s v="upper"/>
    <x v="6"/>
    <n v="0"/>
    <n v="0"/>
    <n v="0"/>
    <n v="100.3575"/>
    <n v="100.3575"/>
    <n v="100.3575"/>
    <n v="100.3575"/>
    <n v="200.715"/>
    <n v="200.715"/>
    <n v="200.715"/>
    <n v="200.715"/>
    <n v="401.43"/>
    <n v="401.43"/>
    <n v="401.43"/>
    <n v="401.43"/>
    <n v="401.43"/>
    <n v="401.43"/>
  </r>
  <r>
    <s v="upper"/>
    <x v="6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s v="upper"/>
    <x v="6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upper"/>
    <x v="6"/>
    <n v="0"/>
    <n v="0"/>
    <n v="0"/>
    <n v="0"/>
    <n v="0"/>
    <n v="0"/>
    <n v="437.88"/>
    <n v="437.88"/>
    <n v="437.88"/>
    <n v="437.88"/>
    <n v="437.88"/>
    <n v="437.88"/>
    <n v="437.88"/>
    <n v="437.88"/>
    <n v="437.88"/>
    <n v="437.88"/>
    <n v="437.88"/>
  </r>
  <r>
    <s v="upper"/>
    <x v="6"/>
    <n v="0"/>
    <n v="0"/>
    <n v="0"/>
    <n v="228.02"/>
    <n v="228.02"/>
    <n v="228.02"/>
    <n v="228.02"/>
    <n v="228.02"/>
    <n v="228.02"/>
    <n v="228.02"/>
    <n v="228.02"/>
    <n v="228.02"/>
    <n v="228.02"/>
    <n v="228.02"/>
    <n v="228.02"/>
    <n v="228.02"/>
    <n v="228.02"/>
  </r>
  <r>
    <s v="upper"/>
    <x v="6"/>
    <n v="0"/>
    <n v="0"/>
    <n v="0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</r>
  <r>
    <s v="upper"/>
    <x v="6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s v="upper"/>
    <x v="6"/>
    <n v="0"/>
    <n v="0"/>
    <n v="0"/>
    <n v="197.6"/>
    <n v="197.6"/>
    <n v="197.6"/>
    <n v="197.6"/>
    <n v="197.6"/>
    <n v="197.6"/>
    <n v="197.6"/>
    <n v="197.6"/>
    <n v="197.6"/>
    <n v="197.6"/>
    <n v="197.6"/>
    <n v="197.6"/>
    <n v="197.6"/>
    <n v="197.6"/>
  </r>
  <r>
    <s v="main"/>
    <x v="8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8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8"/>
    <n v="0"/>
    <n v="0"/>
    <n v="0"/>
    <n v="0"/>
    <n v="0"/>
    <n v="0"/>
    <n v="0"/>
    <n v="0"/>
    <n v="0"/>
    <n v="0"/>
    <n v="0"/>
    <n v="28.99"/>
    <n v="28.99"/>
    <n v="28.99"/>
    <n v="28.99"/>
    <n v="28.99"/>
    <n v="28.99"/>
  </r>
  <r>
    <s v="main"/>
    <x v="8"/>
    <n v="0"/>
    <n v="0"/>
    <n v="0"/>
    <n v="199.91"/>
    <n v="199.91"/>
    <n v="199.91"/>
    <n v="199.91"/>
    <n v="199.91"/>
    <n v="199.91"/>
    <n v="199.91"/>
    <n v="199.91"/>
    <n v="199.91"/>
    <n v="199.91"/>
    <n v="199.91"/>
    <n v="199.91"/>
    <n v="199.91"/>
    <n v="199.91"/>
  </r>
  <r>
    <s v="main"/>
    <x v="8"/>
    <n v="0"/>
    <n v="0"/>
    <n v="0"/>
    <n v="0"/>
    <n v="0"/>
    <n v="0"/>
    <n v="0"/>
    <n v="0"/>
    <n v="0"/>
    <n v="0"/>
    <n v="0"/>
    <n v="0"/>
    <n v="0"/>
    <n v="0"/>
    <n v="64.63"/>
    <n v="64.63"/>
    <n v="64.63"/>
  </r>
  <r>
    <s v="main"/>
    <x v="8"/>
    <n v="0"/>
    <n v="0"/>
    <n v="0"/>
    <n v="0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</r>
  <r>
    <s v="main"/>
    <x v="8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s v="main"/>
    <x v="8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s v="main"/>
    <x v="8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s v="main"/>
    <x v="8"/>
    <n v="0"/>
    <n v="0"/>
    <n v="0"/>
    <n v="48.097499999999997"/>
    <n v="48.097499999999997"/>
    <n v="48.097499999999997"/>
    <n v="48.097499999999997"/>
    <n v="96.194999999999993"/>
    <n v="96.194999999999993"/>
    <n v="96.194999999999993"/>
    <n v="96.194999999999993"/>
    <n v="192.39"/>
    <n v="192.39"/>
    <n v="192.39"/>
    <n v="192.39"/>
    <n v="192.39"/>
    <n v="192.39"/>
  </r>
  <r>
    <s v="main"/>
    <x v="8"/>
    <n v="0"/>
    <n v="0"/>
    <n v="0"/>
    <n v="0"/>
    <n v="0"/>
    <n v="0"/>
    <n v="0"/>
    <n v="0"/>
    <n v="0"/>
    <n v="0"/>
    <n v="0"/>
    <n v="0"/>
    <n v="0"/>
    <n v="0"/>
    <n v="49.84"/>
    <n v="49.84"/>
    <n v="49.84"/>
  </r>
  <r>
    <s v="main"/>
    <x v="8"/>
    <n v="0"/>
    <n v="0"/>
    <n v="0"/>
    <n v="52.65"/>
    <n v="52.65"/>
    <n v="52.65"/>
    <n v="52.65"/>
    <n v="52.65"/>
    <n v="52.65"/>
    <n v="52.65"/>
    <n v="52.65"/>
    <n v="52.65"/>
    <n v="52.65"/>
    <n v="52.65"/>
    <n v="52.65"/>
    <n v="52.65"/>
    <n v="52.65"/>
  </r>
  <r>
    <s v="main"/>
    <x v="8"/>
    <n v="0"/>
    <n v="0"/>
    <n v="0"/>
    <n v="0"/>
    <n v="0"/>
    <n v="0"/>
    <n v="230.26"/>
    <n v="230.26"/>
    <n v="230.26"/>
    <n v="230.26"/>
    <n v="230.26"/>
    <n v="230.26"/>
    <n v="230.26"/>
    <n v="230.26"/>
    <n v="230.26"/>
    <n v="230.26"/>
    <n v="230.26"/>
  </r>
  <r>
    <s v="main"/>
    <x v="8"/>
    <n v="0"/>
    <n v="0"/>
    <n v="0"/>
    <n v="119.96"/>
    <n v="119.96"/>
    <n v="119.96"/>
    <n v="119.96"/>
    <n v="119.96"/>
    <n v="119.96"/>
    <n v="119.96"/>
    <n v="119.96"/>
    <n v="119.96"/>
    <n v="119.96"/>
    <n v="119.96"/>
    <n v="119.96"/>
    <n v="119.96"/>
    <n v="119.96"/>
  </r>
  <r>
    <s v="main"/>
    <x v="8"/>
    <n v="0"/>
    <n v="0"/>
    <n v="0"/>
    <n v="302"/>
    <n v="302"/>
    <n v="302"/>
    <n v="302"/>
    <n v="302"/>
    <n v="302"/>
    <n v="302"/>
    <n v="302"/>
    <n v="302"/>
    <n v="302"/>
    <n v="302"/>
    <n v="302"/>
    <n v="302"/>
    <n v="302"/>
  </r>
  <r>
    <s v="main"/>
    <x v="8"/>
    <n v="0"/>
    <n v="0"/>
    <n v="0"/>
    <n v="11.65"/>
    <n v="11.65"/>
    <n v="11.65"/>
    <n v="11.65"/>
    <n v="11.65"/>
    <n v="11.65"/>
    <n v="11.65"/>
    <n v="11.65"/>
    <n v="11.65"/>
    <n v="11.65"/>
    <n v="11.65"/>
    <n v="11.65"/>
    <n v="11.65"/>
    <n v="11.65"/>
  </r>
  <r>
    <s v="main"/>
    <x v="8"/>
    <n v="0"/>
    <n v="0"/>
    <n v="0"/>
    <n v="94.68"/>
    <n v="94.68"/>
    <n v="94.68"/>
    <n v="94.68"/>
    <n v="94.68"/>
    <n v="94.68"/>
    <n v="94.68"/>
    <n v="94.68"/>
    <n v="94.68"/>
    <n v="94.68"/>
    <n v="94.68"/>
    <n v="94.68"/>
    <n v="94.68"/>
    <n v="94.68"/>
  </r>
  <r>
    <s v="main"/>
    <x v="9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9"/>
    <n v="0"/>
    <n v="0"/>
    <n v="0"/>
    <n v="0"/>
    <n v="0"/>
    <n v="0"/>
    <n v="0"/>
    <n v="0"/>
    <n v="0"/>
    <n v="0"/>
    <n v="0"/>
    <n v="70.28"/>
    <n v="70.28"/>
    <n v="70.28"/>
    <n v="70.28"/>
    <n v="70.28"/>
    <n v="70.28"/>
  </r>
  <r>
    <s v="main"/>
    <x v="9"/>
    <n v="0"/>
    <n v="0"/>
    <n v="0"/>
    <n v="484.58"/>
    <n v="484.58"/>
    <n v="484.58"/>
    <n v="484.58"/>
    <n v="484.58"/>
    <n v="484.58"/>
    <n v="484.58"/>
    <n v="484.58"/>
    <n v="484.58"/>
    <n v="484.58"/>
    <n v="484.58"/>
    <n v="484.58"/>
    <n v="484.58"/>
    <n v="484.58"/>
  </r>
  <r>
    <s v="main"/>
    <x v="9"/>
    <n v="0"/>
    <n v="0"/>
    <n v="0"/>
    <n v="0"/>
    <n v="0"/>
    <n v="0"/>
    <n v="0"/>
    <n v="0"/>
    <n v="0"/>
    <n v="0"/>
    <n v="0"/>
    <n v="0"/>
    <n v="0"/>
    <n v="0"/>
    <n v="156.63999999999999"/>
    <n v="156.63999999999999"/>
    <n v="156.63999999999999"/>
  </r>
  <r>
    <s v="main"/>
    <x v="9"/>
    <n v="0"/>
    <n v="0"/>
    <n v="0"/>
    <n v="0"/>
    <n v="711.5"/>
    <n v="711.5"/>
    <n v="711.5"/>
    <n v="711.5"/>
    <n v="711.5"/>
    <n v="711.5"/>
    <n v="711.5"/>
    <n v="711.5"/>
    <n v="711.5"/>
    <n v="711.5"/>
    <n v="711.5"/>
    <n v="711.5"/>
    <n v="711.5"/>
  </r>
  <r>
    <s v="main"/>
    <x v="9"/>
    <n v="0"/>
    <n v="0"/>
    <n v="0"/>
    <n v="604.63"/>
    <n v="604.63"/>
    <n v="604.63"/>
    <n v="604.63"/>
    <n v="1209.26"/>
    <n v="1209.26"/>
    <n v="1209.26"/>
    <n v="1209.26"/>
    <n v="2418.52"/>
    <n v="2418.52"/>
    <n v="2418.52"/>
    <n v="2418.52"/>
    <n v="2418.52"/>
    <n v="2418.52"/>
  </r>
  <r>
    <s v="main"/>
    <x v="9"/>
    <n v="0"/>
    <n v="0"/>
    <n v="0"/>
    <n v="0"/>
    <n v="0"/>
    <n v="0"/>
    <n v="0"/>
    <n v="0"/>
    <n v="0"/>
    <n v="0"/>
    <n v="0"/>
    <n v="133.94999999999999"/>
    <n v="133.94999999999999"/>
    <n v="133.94999999999999"/>
    <n v="133.94999999999999"/>
    <n v="133.94999999999999"/>
    <n v="133.94999999999999"/>
  </r>
  <r>
    <s v="main"/>
    <x v="9"/>
    <n v="0"/>
    <n v="0"/>
    <n v="0"/>
    <n v="0"/>
    <n v="0"/>
    <n v="0"/>
    <n v="0"/>
    <n v="0"/>
    <n v="0"/>
    <n v="0"/>
    <n v="0"/>
    <n v="641.24"/>
    <n v="641.24"/>
    <n v="641.24"/>
    <n v="641.24"/>
    <n v="641.24"/>
    <n v="641.24"/>
  </r>
  <r>
    <s v="main"/>
    <x v="9"/>
    <n v="0"/>
    <n v="0"/>
    <n v="0"/>
    <n v="192.51"/>
    <n v="192.51"/>
    <n v="192.51"/>
    <n v="192.51"/>
    <n v="192.51"/>
    <n v="192.51"/>
    <n v="192.51"/>
    <n v="192.51"/>
    <n v="192.51"/>
    <n v="192.51"/>
    <n v="192.51"/>
    <n v="192.51"/>
    <n v="192.51"/>
    <n v="192.51"/>
  </r>
  <r>
    <s v="main"/>
    <x v="9"/>
    <n v="0"/>
    <n v="0"/>
    <n v="0"/>
    <n v="453.11"/>
    <n v="453.11"/>
    <n v="453.11"/>
    <n v="453.11"/>
    <n v="453.11"/>
    <n v="453.11"/>
    <n v="453.11"/>
    <n v="453.11"/>
    <n v="453.11"/>
    <n v="453.11"/>
    <n v="453.11"/>
    <n v="453.11"/>
    <n v="453.11"/>
    <n v="453.11"/>
  </r>
  <r>
    <s v="main"/>
    <x v="9"/>
    <n v="0"/>
    <n v="0"/>
    <n v="0"/>
    <n v="279.33249999999998"/>
    <n v="279.33249999999998"/>
    <n v="279.33249999999998"/>
    <n v="279.33249999999998"/>
    <n v="558.66499999999996"/>
    <n v="558.66499999999996"/>
    <n v="558.66499999999996"/>
    <n v="558.66499999999996"/>
    <n v="1117.33"/>
    <n v="1117.33"/>
    <n v="1117.33"/>
    <n v="1117.33"/>
    <n v="1117.33"/>
    <n v="1117.33"/>
  </r>
  <r>
    <s v="main"/>
    <x v="9"/>
    <n v="0"/>
    <n v="0"/>
    <n v="0"/>
    <n v="0"/>
    <n v="0"/>
    <n v="0"/>
    <n v="0"/>
    <n v="0"/>
    <n v="0"/>
    <n v="0"/>
    <n v="0"/>
    <n v="0"/>
    <n v="0"/>
    <n v="0"/>
    <n v="289.47000000000003"/>
    <n v="289.47000000000003"/>
    <n v="289.47000000000003"/>
  </r>
  <r>
    <s v="main"/>
    <x v="9"/>
    <n v="0"/>
    <n v="0"/>
    <n v="0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</r>
  <r>
    <s v="main"/>
    <x v="9"/>
    <n v="0"/>
    <n v="0"/>
    <n v="0"/>
    <n v="0"/>
    <n v="0"/>
    <n v="0"/>
    <n v="1148.52"/>
    <n v="1148.52"/>
    <n v="1148.52"/>
    <n v="1148.52"/>
    <n v="1148.52"/>
    <n v="1148.52"/>
    <n v="1148.52"/>
    <n v="1148.52"/>
    <n v="1148.52"/>
    <n v="1148.52"/>
    <n v="1148.52"/>
  </r>
  <r>
    <s v="main"/>
    <x v="9"/>
    <n v="0"/>
    <n v="0"/>
    <n v="0"/>
    <n v="598.12"/>
    <n v="598.12"/>
    <n v="598.12"/>
    <n v="598.12"/>
    <n v="598.12"/>
    <n v="598.12"/>
    <n v="598.12"/>
    <n v="598.12"/>
    <n v="598.12"/>
    <n v="598.12"/>
    <n v="598.12"/>
    <n v="598.12"/>
    <n v="598.12"/>
    <n v="598.12"/>
  </r>
  <r>
    <s v="main"/>
    <x v="9"/>
    <n v="0"/>
    <n v="0"/>
    <n v="0"/>
    <n v="1505.83"/>
    <n v="1505.83"/>
    <n v="1505.83"/>
    <n v="1505.83"/>
    <n v="1505.83"/>
    <n v="1505.83"/>
    <n v="1505.83"/>
    <n v="1505.83"/>
    <n v="1505.83"/>
    <n v="1505.83"/>
    <n v="1505.83"/>
    <n v="1505.83"/>
    <n v="1505.83"/>
    <n v="1505.83"/>
  </r>
  <r>
    <s v="main"/>
    <x v="9"/>
    <n v="0"/>
    <n v="0"/>
    <n v="0"/>
    <n v="67.67"/>
    <n v="67.67"/>
    <n v="67.67"/>
    <n v="67.67"/>
    <n v="67.67"/>
    <n v="67.67"/>
    <n v="67.67"/>
    <n v="67.67"/>
    <n v="67.67"/>
    <n v="67.67"/>
    <n v="67.67"/>
    <n v="67.67"/>
    <n v="67.67"/>
    <n v="67.67"/>
  </r>
  <r>
    <s v="main"/>
    <x v="9"/>
    <n v="0"/>
    <n v="0"/>
    <n v="0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</r>
  <r>
    <s v="main"/>
    <x v="2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upper"/>
    <x v="1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0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10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0"/>
    <n v="0"/>
    <n v="0"/>
    <n v="0"/>
    <n v="0"/>
    <n v="0"/>
    <n v="0"/>
    <n v="0"/>
    <n v="0"/>
    <n v="0"/>
    <n v="0"/>
    <n v="0"/>
    <n v="26.87"/>
    <n v="26.87"/>
    <n v="26.87"/>
    <n v="26.87"/>
    <n v="26.87"/>
    <n v="26.87"/>
  </r>
  <r>
    <s v="upper"/>
    <x v="10"/>
    <n v="0"/>
    <n v="0"/>
    <n v="0"/>
    <n v="185.38"/>
    <n v="185.38"/>
    <n v="185.38"/>
    <n v="185.38"/>
    <n v="185.38"/>
    <n v="185.38"/>
    <n v="185.38"/>
    <n v="185.38"/>
    <n v="185.38"/>
    <n v="185.38"/>
    <n v="185.38"/>
    <n v="185.38"/>
    <n v="185.38"/>
    <n v="185.38"/>
  </r>
  <r>
    <s v="upper"/>
    <x v="10"/>
    <n v="0"/>
    <n v="0"/>
    <n v="0"/>
    <n v="0"/>
    <n v="0"/>
    <n v="0"/>
    <n v="0"/>
    <n v="0"/>
    <n v="0"/>
    <n v="0"/>
    <n v="0"/>
    <n v="0"/>
    <n v="0"/>
    <n v="0"/>
    <n v="59.92"/>
    <n v="59.92"/>
    <n v="59.92"/>
  </r>
  <r>
    <s v="upper"/>
    <x v="10"/>
    <n v="0"/>
    <n v="0"/>
    <n v="0"/>
    <n v="0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</r>
  <r>
    <s v="upper"/>
    <x v="10"/>
    <n v="0"/>
    <n v="0"/>
    <n v="0"/>
    <n v="231.28749999999999"/>
    <n v="231.28749999999999"/>
    <n v="231.28749999999999"/>
    <n v="231.28749999999999"/>
    <n v="462.57499999999999"/>
    <n v="462.57499999999999"/>
    <n v="462.57499999999999"/>
    <n v="462.57499999999999"/>
    <n v="925.15"/>
    <n v="925.15"/>
    <n v="925.15"/>
    <n v="925.15"/>
    <n v="925.15"/>
    <n v="925.15"/>
  </r>
  <r>
    <s v="upper"/>
    <x v="10"/>
    <n v="0"/>
    <n v="0"/>
    <n v="0"/>
    <n v="73.64"/>
    <n v="73.64"/>
    <n v="73.64"/>
    <n v="73.64"/>
    <n v="73.64"/>
    <n v="73.64"/>
    <n v="73.64"/>
    <n v="73.64"/>
    <n v="73.64"/>
    <n v="73.64"/>
    <n v="73.64"/>
    <n v="73.64"/>
    <n v="73.64"/>
    <n v="73.64"/>
  </r>
  <r>
    <s v="upper"/>
    <x v="10"/>
    <n v="0"/>
    <n v="0"/>
    <n v="0"/>
    <n v="173.29"/>
    <n v="173.29"/>
    <n v="173.29"/>
    <n v="173.29"/>
    <n v="173.29"/>
    <n v="173.29"/>
    <n v="173.29"/>
    <n v="173.29"/>
    <n v="173.29"/>
    <n v="173.29"/>
    <n v="173.29"/>
    <n v="173.29"/>
    <n v="173.29"/>
    <n v="173.29"/>
  </r>
  <r>
    <s v="upper"/>
    <x v="10"/>
    <n v="0"/>
    <n v="0"/>
    <n v="0"/>
    <n v="29.734999999999999"/>
    <n v="29.734999999999999"/>
    <n v="29.734999999999999"/>
    <n v="29.734999999999999"/>
    <n v="59.47"/>
    <n v="59.47"/>
    <n v="59.47"/>
    <n v="59.47"/>
    <n v="118.94"/>
    <n v="118.94"/>
    <n v="118.94"/>
    <n v="118.94"/>
    <n v="118.94"/>
    <n v="118.94"/>
  </r>
  <r>
    <s v="upper"/>
    <x v="10"/>
    <n v="0"/>
    <n v="0"/>
    <n v="0"/>
    <n v="0"/>
    <n v="0"/>
    <n v="0"/>
    <n v="0"/>
    <n v="0"/>
    <n v="0"/>
    <n v="0"/>
    <n v="0"/>
    <n v="0"/>
    <n v="0"/>
    <n v="0"/>
    <n v="30.82"/>
    <n v="30.82"/>
    <n v="30.82"/>
  </r>
  <r>
    <s v="upper"/>
    <x v="10"/>
    <n v="0"/>
    <n v="0"/>
    <n v="0"/>
    <n v="32.54"/>
    <n v="32.54"/>
    <n v="32.54"/>
    <n v="32.54"/>
    <n v="32.54"/>
    <n v="32.54"/>
    <n v="32.54"/>
    <n v="32.54"/>
    <n v="32.54"/>
    <n v="32.54"/>
    <n v="32.54"/>
    <n v="32.54"/>
    <n v="32.54"/>
    <n v="32.54"/>
  </r>
  <r>
    <s v="upper"/>
    <x v="10"/>
    <n v="0"/>
    <n v="0"/>
    <n v="0"/>
    <n v="0"/>
    <n v="0"/>
    <n v="0"/>
    <n v="157.44"/>
    <n v="157.44"/>
    <n v="157.44"/>
    <n v="157.44"/>
    <n v="157.44"/>
    <n v="157.44"/>
    <n v="157.44"/>
    <n v="157.44"/>
    <n v="157.44"/>
    <n v="157.44"/>
    <n v="157.44"/>
  </r>
  <r>
    <s v="upper"/>
    <x v="10"/>
    <n v="0"/>
    <n v="0"/>
    <n v="0"/>
    <n v="81.98"/>
    <n v="81.98"/>
    <n v="81.98"/>
    <n v="81.98"/>
    <n v="81.98"/>
    <n v="81.98"/>
    <n v="81.98"/>
    <n v="81.98"/>
    <n v="81.98"/>
    <n v="81.98"/>
    <n v="81.98"/>
    <n v="81.98"/>
    <n v="81.98"/>
    <n v="81.98"/>
  </r>
  <r>
    <s v="upper"/>
    <x v="10"/>
    <n v="0"/>
    <n v="0"/>
    <n v="0"/>
    <n v="206.4"/>
    <n v="206.4"/>
    <n v="206.4"/>
    <n v="206.4"/>
    <n v="206.4"/>
    <n v="206.4"/>
    <n v="206.4"/>
    <n v="206.4"/>
    <n v="206.4"/>
    <n v="206.4"/>
    <n v="206.4"/>
    <n v="206.4"/>
    <n v="206.4"/>
    <n v="206.4"/>
  </r>
  <r>
    <s v="upper"/>
    <x v="10"/>
    <n v="0"/>
    <n v="0"/>
    <n v="0"/>
    <n v="7.2"/>
    <n v="7.2"/>
    <n v="7.2"/>
    <n v="7.2"/>
    <n v="7.2"/>
    <n v="7.2"/>
    <n v="7.2"/>
    <n v="7.2"/>
    <n v="7.2"/>
    <n v="7.2"/>
    <n v="7.2"/>
    <n v="7.2"/>
    <n v="7.2"/>
    <n v="7.2"/>
  </r>
  <r>
    <s v="upper"/>
    <x v="10"/>
    <n v="0"/>
    <n v="0"/>
    <n v="0"/>
    <n v="58.54"/>
    <n v="58.54"/>
    <n v="58.54"/>
    <n v="58.54"/>
    <n v="58.54"/>
    <n v="58.54"/>
    <n v="58.54"/>
    <n v="58.54"/>
    <n v="58.54"/>
    <n v="58.54"/>
    <n v="58.54"/>
    <n v="58.54"/>
    <n v="58.54"/>
    <n v="58.54"/>
  </r>
  <r>
    <s v="main"/>
    <x v="11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0"/>
    <n v="0"/>
    <n v="0"/>
    <n v="0"/>
    <n v="0"/>
    <n v="0"/>
    <n v="0"/>
    <n v="49.71"/>
    <n v="49.71"/>
    <n v="49.71"/>
    <n v="49.71"/>
    <n v="49.71"/>
    <n v="49.71"/>
  </r>
  <r>
    <s v="main"/>
    <x v="11"/>
    <n v="0"/>
    <n v="0"/>
    <n v="0"/>
    <n v="342.91"/>
    <n v="342.91"/>
    <n v="342.91"/>
    <n v="342.91"/>
    <n v="342.91"/>
    <n v="342.91"/>
    <n v="342.91"/>
    <n v="342.91"/>
    <n v="342.91"/>
    <n v="342.91"/>
    <n v="342.91"/>
    <n v="342.91"/>
    <n v="342.91"/>
    <n v="342.91"/>
  </r>
  <r>
    <s v="main"/>
    <x v="11"/>
    <n v="0"/>
    <n v="0"/>
    <n v="0"/>
    <n v="0"/>
    <n v="0"/>
    <n v="0"/>
    <n v="0"/>
    <n v="0"/>
    <n v="0"/>
    <n v="0"/>
    <n v="0"/>
    <n v="0"/>
    <n v="0"/>
    <n v="0"/>
    <n v="110.85"/>
    <n v="110.85"/>
    <n v="110.85"/>
  </r>
  <r>
    <s v="main"/>
    <x v="11"/>
    <n v="0"/>
    <n v="0"/>
    <n v="0"/>
    <n v="0"/>
    <n v="503.5"/>
    <n v="503.5"/>
    <n v="503.5"/>
    <n v="503.5"/>
    <n v="503.5"/>
    <n v="503.5"/>
    <n v="503.5"/>
    <n v="503.5"/>
    <n v="503.5"/>
    <n v="503.5"/>
    <n v="503.5"/>
    <n v="503.5"/>
    <n v="503.5"/>
  </r>
  <r>
    <s v="main"/>
    <x v="11"/>
    <n v="0"/>
    <n v="0"/>
    <n v="0"/>
    <n v="427.86250000000001"/>
    <n v="427.86250000000001"/>
    <n v="427.86250000000001"/>
    <n v="427.86250000000001"/>
    <n v="855.72500000000002"/>
    <n v="855.72500000000002"/>
    <n v="855.72500000000002"/>
    <n v="855.72500000000002"/>
    <n v="1711.45"/>
    <n v="1711.45"/>
    <n v="1711.45"/>
    <n v="1711.45"/>
    <n v="1711.45"/>
    <n v="1711.45"/>
  </r>
  <r>
    <s v="main"/>
    <x v="11"/>
    <n v="0"/>
    <n v="0"/>
    <n v="0"/>
    <n v="136.24"/>
    <n v="136.24"/>
    <n v="136.24"/>
    <n v="136.24"/>
    <n v="136.24"/>
    <n v="136.24"/>
    <n v="136.24"/>
    <n v="136.24"/>
    <n v="136.24"/>
    <n v="136.24"/>
    <n v="136.24"/>
    <n v="136.24"/>
    <n v="136.24"/>
    <n v="136.24"/>
  </r>
  <r>
    <s v="main"/>
    <x v="11"/>
    <n v="0"/>
    <n v="0"/>
    <n v="0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</r>
  <r>
    <s v="main"/>
    <x v="11"/>
    <n v="0"/>
    <n v="0"/>
    <n v="0"/>
    <n v="140.315"/>
    <n v="140.315"/>
    <n v="140.315"/>
    <n v="140.315"/>
    <n v="280.63"/>
    <n v="280.63"/>
    <n v="280.63"/>
    <n v="280.63"/>
    <n v="561.26"/>
    <n v="561.26"/>
    <n v="561.26"/>
    <n v="561.26"/>
    <n v="561.26"/>
    <n v="561.26"/>
  </r>
  <r>
    <s v="main"/>
    <x v="11"/>
    <n v="0"/>
    <n v="0"/>
    <n v="0"/>
    <n v="0"/>
    <n v="0"/>
    <n v="0"/>
    <n v="0"/>
    <n v="0"/>
    <n v="0"/>
    <n v="0"/>
    <n v="0"/>
    <n v="0"/>
    <n v="0"/>
    <n v="0"/>
    <n v="145.41999999999999"/>
    <n v="145.41999999999999"/>
    <n v="145.41999999999999"/>
  </r>
  <r>
    <s v="main"/>
    <x v="11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s v="main"/>
    <x v="11"/>
    <n v="0"/>
    <n v="0"/>
    <n v="0"/>
    <n v="0"/>
    <n v="0"/>
    <n v="0"/>
    <n v="596.5"/>
    <n v="596.5"/>
    <n v="596.5"/>
    <n v="596.5"/>
    <n v="596.5"/>
    <n v="596.5"/>
    <n v="596.5"/>
    <n v="596.5"/>
    <n v="596.5"/>
    <n v="596.5"/>
    <n v="596.5"/>
  </r>
  <r>
    <s v="main"/>
    <x v="11"/>
    <n v="0"/>
    <n v="0"/>
    <n v="0"/>
    <n v="310.67"/>
    <n v="310.67"/>
    <n v="310.67"/>
    <n v="310.67"/>
    <n v="310.67"/>
    <n v="310.67"/>
    <n v="310.67"/>
    <n v="310.67"/>
    <n v="310.67"/>
    <n v="310.67"/>
    <n v="310.67"/>
    <n v="310.67"/>
    <n v="310.67"/>
    <n v="310.67"/>
  </r>
  <r>
    <s v="main"/>
    <x v="11"/>
    <n v="0"/>
    <n v="0"/>
    <n v="0"/>
    <n v="782.13"/>
    <n v="782.13"/>
    <n v="782.13"/>
    <n v="782.13"/>
    <n v="782.13"/>
    <n v="782.13"/>
    <n v="782.13"/>
    <n v="782.13"/>
    <n v="782.13"/>
    <n v="782.13"/>
    <n v="782.13"/>
    <n v="782.13"/>
    <n v="782.13"/>
    <n v="782.13"/>
  </r>
  <r>
    <s v="main"/>
    <x v="11"/>
    <n v="0"/>
    <n v="0"/>
    <n v="0"/>
    <n v="33.99"/>
    <n v="33.99"/>
    <n v="33.99"/>
    <n v="33.99"/>
    <n v="33.99"/>
    <n v="33.99"/>
    <n v="33.99"/>
    <n v="33.99"/>
    <n v="33.99"/>
    <n v="33.99"/>
    <n v="33.99"/>
    <n v="33.99"/>
    <n v="33.99"/>
    <n v="33.99"/>
  </r>
  <r>
    <s v="main"/>
    <x v="11"/>
    <n v="0"/>
    <n v="0"/>
    <n v="0"/>
    <n v="276.24"/>
    <n v="276.24"/>
    <n v="276.24"/>
    <n v="276.24"/>
    <n v="276.24"/>
    <n v="276.24"/>
    <n v="276.24"/>
    <n v="276.24"/>
    <n v="276.24"/>
    <n v="276.24"/>
    <n v="276.24"/>
    <n v="276.24"/>
    <n v="276.24"/>
    <n v="276.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">
  <r>
    <x v="0"/>
    <s v="general-split"/>
    <n v="0"/>
    <n v="0"/>
    <n v="0"/>
    <n v="0"/>
    <n v="0"/>
    <n v="0"/>
    <n v="0"/>
    <n v="0"/>
    <n v="0"/>
    <n v="0"/>
    <n v="0"/>
    <n v="264.60000000000002"/>
    <n v="264.60000000000002"/>
    <n v="264.60000000000002"/>
    <n v="264.60000000000002"/>
    <n v="264.60000000000002"/>
    <n v="264.60000000000002"/>
  </r>
  <r>
    <x v="0"/>
    <s v="general-split"/>
    <n v="0"/>
    <n v="0"/>
    <n v="0"/>
    <n v="0"/>
    <n v="0"/>
    <n v="0"/>
    <n v="0"/>
    <n v="0"/>
    <n v="0"/>
    <n v="0"/>
    <n v="0"/>
    <n v="277.8"/>
    <n v="277.8"/>
    <n v="277.8"/>
    <n v="277.8"/>
    <n v="277.8"/>
    <n v="277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99"/>
    <n v="112.99"/>
    <n v="112.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44"/>
    <n v="191.44"/>
    <n v="191.44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222.75"/>
    <n v="222.75"/>
    <n v="445.5"/>
    <n v="445.5"/>
    <n v="891"/>
    <n v="891"/>
    <n v="891"/>
    <n v="891"/>
    <n v="891"/>
  </r>
  <r>
    <x v="0"/>
    <s v="general-split"/>
    <n v="0"/>
    <n v="0"/>
    <n v="0"/>
    <n v="0"/>
    <n v="0"/>
    <n v="0"/>
    <n v="0"/>
    <n v="0"/>
    <n v="753.03"/>
    <n v="753.03"/>
    <n v="1506.06"/>
    <n v="1506.06"/>
    <n v="3012.12"/>
    <n v="3012.12"/>
    <n v="3012.12"/>
    <n v="3012.12"/>
    <n v="3012.12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x v="0"/>
    <s v="general-split"/>
    <n v="0"/>
    <n v="0"/>
    <n v="0"/>
    <n v="0"/>
    <n v="0"/>
    <n v="0"/>
    <n v="0"/>
    <n v="0"/>
    <n v="0"/>
    <n v="0"/>
    <n v="0"/>
    <n v="788.4"/>
    <n v="788.4"/>
    <n v="788.4"/>
    <n v="788.4"/>
    <n v="788.4"/>
    <n v="788.4"/>
  </r>
  <r>
    <x v="0"/>
    <s v="general-split"/>
    <n v="0"/>
    <n v="0"/>
    <n v="0"/>
    <n v="0"/>
    <n v="474.34"/>
    <n v="474.34"/>
    <n v="474.34"/>
    <n v="474.34"/>
    <n v="474.34"/>
    <n v="474.34"/>
    <n v="474.34"/>
    <n v="474.34"/>
    <n v="474.34"/>
    <n v="474.34"/>
    <n v="474.34"/>
    <n v="474.34"/>
    <n v="474.34"/>
  </r>
  <r>
    <x v="0"/>
    <s v="general-split"/>
    <n v="0"/>
    <n v="0"/>
    <n v="0"/>
    <n v="302.315"/>
    <n v="302.315"/>
    <n v="302.315"/>
    <n v="302.315"/>
    <n v="604.63"/>
    <n v="604.63"/>
    <n v="604.63"/>
    <n v="604.63"/>
    <n v="1209.26"/>
    <n v="1209.26"/>
    <n v="1209.26"/>
    <n v="1209.26"/>
    <n v="1209.26"/>
    <n v="1209.26"/>
  </r>
  <r>
    <x v="0"/>
    <s v="general-split"/>
    <n v="0"/>
    <n v="0"/>
    <n v="0"/>
    <n v="0"/>
    <n v="0"/>
    <n v="0"/>
    <n v="0"/>
    <n v="0"/>
    <n v="0"/>
    <n v="0"/>
    <n v="0"/>
    <n v="152.66"/>
    <n v="152.66"/>
    <n v="152.66"/>
    <n v="152.66"/>
    <n v="152.66"/>
    <n v="152.66"/>
  </r>
  <r>
    <x v="0"/>
    <s v="general-split"/>
    <n v="0"/>
    <n v="0"/>
    <n v="0"/>
    <n v="0"/>
    <n v="984.74"/>
    <n v="984.74"/>
    <n v="984.74"/>
    <n v="984.74"/>
    <n v="984.74"/>
    <n v="984.74"/>
    <n v="984.74"/>
    <n v="984.74"/>
    <n v="984.74"/>
    <n v="984.74"/>
    <n v="984.74"/>
    <n v="984.74"/>
    <n v="984.74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2"/>
    <s v="general-main"/>
    <n v="0"/>
    <n v="2853.4472999999998"/>
    <n v="2853.4472999999998"/>
    <n v="3566.8091250000002"/>
    <n v="3566.8091250000002"/>
    <n v="3566.8091250000002"/>
    <n v="3566.8091250000002"/>
    <n v="3566.8091250000002"/>
    <n v="4280.1709499999997"/>
    <n v="4280.1709499999997"/>
    <n v="4280.1709499999997"/>
    <n v="4280.1709499999997"/>
    <n v="5706.8945999999996"/>
    <n v="5706.8945999999996"/>
    <n v="5706.8945999999996"/>
    <n v="5706.8945999999996"/>
    <n v="5706.8945999999996"/>
  </r>
  <r>
    <x v="2"/>
    <s v="general-main"/>
    <n v="0"/>
    <n v="700.92000000000007"/>
    <n v="700.92000000000007"/>
    <n v="876.15000000000009"/>
    <n v="876.15000000000009"/>
    <n v="876.15000000000009"/>
    <n v="876.15000000000009"/>
    <n v="876.15000000000009"/>
    <n v="1051.3799999999999"/>
    <n v="1051.3799999999999"/>
    <n v="1051.3799999999999"/>
    <n v="1051.3799999999999"/>
    <n v="1401.8400000000001"/>
    <n v="1401.8400000000001"/>
    <n v="1401.8400000000001"/>
    <n v="1401.8400000000001"/>
    <n v="1401.8400000000001"/>
  </r>
  <r>
    <x v="1"/>
    <s v="general-mechanical"/>
    <n v="0"/>
    <n v="0"/>
    <n v="0"/>
    <n v="0"/>
    <n v="0"/>
    <n v="0"/>
    <n v="5274.98"/>
    <n v="5274.98"/>
    <n v="5274.98"/>
    <n v="5274.98"/>
    <n v="5274.98"/>
    <n v="5274.98"/>
    <n v="5274.98"/>
    <n v="5274.98"/>
    <n v="5274.98"/>
    <n v="5274.98"/>
    <n v="5274.98"/>
  </r>
  <r>
    <x v="1"/>
    <s v="general-mechanical"/>
    <n v="0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  <n v="3513.89"/>
  </r>
  <r>
    <x v="0"/>
    <s v="general-split"/>
    <n v="0"/>
    <n v="0"/>
    <n v="0"/>
    <n v="0"/>
    <n v="0"/>
    <n v="0"/>
    <n v="0"/>
    <n v="0"/>
    <n v="0"/>
    <n v="0"/>
    <n v="0"/>
    <n v="0"/>
    <n v="0"/>
    <n v="205.57"/>
    <n v="205.57"/>
    <n v="205.57"/>
    <n v="205.57"/>
  </r>
  <r>
    <x v="1"/>
    <s v="general-mechanical"/>
    <n v="0"/>
    <n v="0"/>
    <n v="0"/>
    <n v="0"/>
    <n v="0"/>
    <n v="0"/>
    <n v="98.14"/>
    <n v="98.14"/>
    <n v="98.14"/>
    <n v="98.14"/>
    <n v="98.14"/>
    <n v="98.14"/>
    <n v="98.14"/>
    <n v="98.14"/>
    <n v="98.14"/>
    <n v="98.14"/>
    <n v="98.14"/>
  </r>
  <r>
    <x v="1"/>
    <s v="general-mechanical"/>
    <n v="0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  <n v="5644.2"/>
  </r>
  <r>
    <x v="2"/>
    <s v="general-main"/>
    <n v="0"/>
    <n v="0"/>
    <n v="0"/>
    <n v="0"/>
    <n v="0"/>
    <n v="0"/>
    <n v="0"/>
    <n v="0"/>
    <n v="0"/>
    <n v="0"/>
    <n v="0"/>
    <n v="0"/>
    <n v="0"/>
    <n v="0"/>
    <n v="347.85"/>
    <n v="347.85"/>
    <n v="347.85"/>
  </r>
  <r>
    <x v="2"/>
    <s v="general-main"/>
    <n v="0"/>
    <n v="0"/>
    <n v="0"/>
    <n v="0"/>
    <n v="0"/>
    <n v="0"/>
    <n v="0"/>
    <n v="0"/>
    <n v="0"/>
    <n v="0"/>
    <n v="0"/>
    <n v="0"/>
    <n v="0"/>
    <n v="0"/>
    <n v="225.68"/>
    <n v="225.68"/>
    <n v="225.68"/>
  </r>
  <r>
    <x v="2"/>
    <s v="general-main"/>
    <n v="0"/>
    <n v="0"/>
    <n v="0"/>
    <n v="0"/>
    <n v="0"/>
    <n v="0"/>
    <n v="0"/>
    <n v="0"/>
    <n v="0"/>
    <n v="0"/>
    <n v="0"/>
    <n v="255.88"/>
    <n v="255.88"/>
    <n v="255.88"/>
    <n v="255.88"/>
    <n v="255.88"/>
    <n v="255.88"/>
  </r>
  <r>
    <x v="2"/>
    <s v="general-main"/>
    <n v="0"/>
    <n v="0"/>
    <n v="0"/>
    <n v="0"/>
    <n v="0"/>
    <n v="1147.92"/>
    <n v="1147.92"/>
    <n v="1147.92"/>
    <n v="1147.92"/>
    <n v="1147.92"/>
    <n v="1147.92"/>
    <n v="1147.92"/>
    <n v="1147.92"/>
    <n v="1147.92"/>
    <n v="1147.92"/>
    <n v="1147.92"/>
    <n v="1147.92"/>
  </r>
  <r>
    <x v="2"/>
    <s v="general-main"/>
    <n v="0"/>
    <n v="0"/>
    <n v="0"/>
    <n v="0"/>
    <n v="0"/>
    <n v="1391.12"/>
    <n v="1391.12"/>
    <n v="1391.12"/>
    <n v="1391.12"/>
    <n v="1391.12"/>
    <n v="1391.12"/>
    <n v="1391.12"/>
    <n v="1391.12"/>
    <n v="1391.12"/>
    <n v="1391.12"/>
    <n v="1391.12"/>
    <n v="1391.1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1104.1400000000001"/>
    <n v="1104.1400000000001"/>
    <n v="1104.1400000000001"/>
    <n v="1104.1400000000001"/>
    <n v="1104.1400000000001"/>
    <n v="1104.1400000000001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3663.36"/>
    <n v="3663.36"/>
    <n v="3663.36"/>
    <n v="3663.36"/>
    <n v="3663.36"/>
    <n v="3663.36"/>
    <n v="3663.36"/>
    <n v="3663.36"/>
    <n v="3663.36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511.9975"/>
    <n v="511.9975"/>
    <n v="511.9975"/>
    <n v="511.9975"/>
    <n v="511.9975"/>
    <n v="1023.995"/>
    <n v="1023.995"/>
    <n v="1023.995"/>
    <n v="2047.99"/>
    <n v="2047.99"/>
    <n v="2047.99"/>
    <n v="2047.99"/>
    <n v="2047.99"/>
    <n v="2047.99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733.32"/>
    <n v="733.32"/>
    <n v="733.32"/>
    <n v="733.32"/>
    <n v="733.32"/>
    <n v="733.32"/>
    <n v="733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0"/>
    <n v="0"/>
    <n v="0"/>
    <n v="0"/>
    <n v="0"/>
    <n v="0"/>
    <n v="0"/>
    <n v="26.87"/>
    <n v="26.87"/>
    <n v="26.87"/>
    <n v="26.87"/>
    <n v="26.87"/>
    <n v="26.87"/>
  </r>
  <r>
    <x v="3"/>
    <s v="Full Bath"/>
    <n v="0"/>
    <n v="0"/>
    <n v="0"/>
    <n v="185.38"/>
    <n v="185.38"/>
    <n v="185.38"/>
    <n v="185.38"/>
    <n v="185.38"/>
    <n v="185.38"/>
    <n v="185.38"/>
    <n v="185.38"/>
    <n v="185.38"/>
    <n v="185.38"/>
    <n v="185.38"/>
    <n v="185.38"/>
    <n v="185.38"/>
    <n v="185.38"/>
  </r>
  <r>
    <x v="3"/>
    <s v="Full Bath"/>
    <n v="0"/>
    <n v="0"/>
    <n v="0"/>
    <n v="0"/>
    <n v="0"/>
    <n v="0"/>
    <n v="0"/>
    <n v="0"/>
    <n v="0"/>
    <n v="0"/>
    <n v="0"/>
    <n v="0"/>
    <n v="0"/>
    <n v="0"/>
    <n v="59.92"/>
    <n v="59.92"/>
    <n v="59.92"/>
  </r>
  <r>
    <x v="3"/>
    <s v="Full Bath"/>
    <n v="0"/>
    <n v="0"/>
    <n v="0"/>
    <n v="0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</r>
  <r>
    <x v="3"/>
    <s v="Full Bath"/>
    <n v="0"/>
    <n v="0"/>
    <n v="0"/>
    <n v="231.28749999999999"/>
    <n v="231.28749999999999"/>
    <n v="231.28749999999999"/>
    <n v="231.28749999999999"/>
    <n v="462.57499999999999"/>
    <n v="462.57499999999999"/>
    <n v="462.57499999999999"/>
    <n v="462.57499999999999"/>
    <n v="925.15"/>
    <n v="925.15"/>
    <n v="925.15"/>
    <n v="925.15"/>
    <n v="925.15"/>
    <n v="925.15"/>
  </r>
  <r>
    <x v="3"/>
    <s v="Full Bath"/>
    <n v="0"/>
    <n v="0"/>
    <n v="0"/>
    <n v="73.64"/>
    <n v="73.64"/>
    <n v="73.64"/>
    <n v="73.64"/>
    <n v="73.64"/>
    <n v="73.64"/>
    <n v="73.64"/>
    <n v="73.64"/>
    <n v="73.64"/>
    <n v="73.64"/>
    <n v="73.64"/>
    <n v="73.64"/>
    <n v="73.64"/>
    <n v="73.64"/>
  </r>
  <r>
    <x v="3"/>
    <s v="Full Bath"/>
    <n v="0"/>
    <n v="0"/>
    <n v="0"/>
    <n v="173.29"/>
    <n v="173.29"/>
    <n v="173.29"/>
    <n v="173.29"/>
    <n v="173.29"/>
    <n v="173.29"/>
    <n v="173.29"/>
    <n v="173.29"/>
    <n v="173.29"/>
    <n v="173.29"/>
    <n v="173.29"/>
    <n v="173.29"/>
    <n v="173.29"/>
    <n v="173.29"/>
  </r>
  <r>
    <x v="3"/>
    <s v="Full Bath"/>
    <n v="0"/>
    <n v="0"/>
    <n v="0"/>
    <n v="39.957500000000003"/>
    <n v="39.957500000000003"/>
    <n v="39.957500000000003"/>
    <n v="39.957500000000003"/>
    <n v="79.915000000000006"/>
    <n v="79.915000000000006"/>
    <n v="79.915000000000006"/>
    <n v="79.915000000000006"/>
    <n v="159.83000000000001"/>
    <n v="159.83000000000001"/>
    <n v="159.83000000000001"/>
    <n v="159.83000000000001"/>
    <n v="159.83000000000001"/>
    <n v="159.83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41.41"/>
    <n v="41.41"/>
    <n v="41.41"/>
  </r>
  <r>
    <x v="3"/>
    <s v="Full Bath"/>
    <n v="0"/>
    <n v="0"/>
    <n v="0"/>
    <n v="43.72"/>
    <n v="43.72"/>
    <n v="43.72"/>
    <n v="43.72"/>
    <n v="43.72"/>
    <n v="43.72"/>
    <n v="43.72"/>
    <n v="43.72"/>
    <n v="43.72"/>
    <n v="43.72"/>
    <n v="43.72"/>
    <n v="43.72"/>
    <n v="43.72"/>
    <n v="43.72"/>
  </r>
  <r>
    <x v="3"/>
    <s v="Full Bath"/>
    <n v="0"/>
    <n v="0"/>
    <n v="0"/>
    <n v="0"/>
    <n v="0"/>
    <n v="0"/>
    <n v="197.98"/>
    <n v="197.98"/>
    <n v="197.98"/>
    <n v="197.98"/>
    <n v="197.98"/>
    <n v="197.98"/>
    <n v="197.98"/>
    <n v="197.98"/>
    <n v="197.98"/>
    <n v="197.98"/>
    <n v="197.98"/>
  </r>
  <r>
    <x v="3"/>
    <s v="Full Bath"/>
    <n v="0"/>
    <n v="0"/>
    <n v="0"/>
    <n v="103.16"/>
    <n v="103.16"/>
    <n v="103.16"/>
    <n v="103.16"/>
    <n v="103.16"/>
    <n v="103.16"/>
    <n v="103.16"/>
    <n v="103.16"/>
    <n v="103.16"/>
    <n v="103.16"/>
    <n v="103.16"/>
    <n v="103.16"/>
    <n v="103.16"/>
    <n v="103.16"/>
  </r>
  <r>
    <x v="3"/>
    <s v="Full Bath"/>
    <n v="0"/>
    <n v="0"/>
    <n v="0"/>
    <n v="259.68"/>
    <n v="259.68"/>
    <n v="259.68"/>
    <n v="259.68"/>
    <n v="259.68"/>
    <n v="259.68"/>
    <n v="259.68"/>
    <n v="259.68"/>
    <n v="259.68"/>
    <n v="259.68"/>
    <n v="259.68"/>
    <n v="259.68"/>
    <n v="259.68"/>
    <n v="259.68"/>
  </r>
  <r>
    <x v="3"/>
    <s v="Full Bath"/>
    <n v="0"/>
    <n v="0"/>
    <n v="0"/>
    <n v="9.68"/>
    <n v="9.68"/>
    <n v="9.68"/>
    <n v="9.68"/>
    <n v="9.68"/>
    <n v="9.68"/>
    <n v="9.68"/>
    <n v="9.68"/>
    <n v="9.68"/>
    <n v="9.68"/>
    <n v="9.68"/>
    <n v="9.68"/>
    <n v="9.68"/>
    <n v="9.68"/>
  </r>
  <r>
    <x v="3"/>
    <s v="Full Bath"/>
    <n v="0"/>
    <n v="0"/>
    <n v="0"/>
    <n v="78.64"/>
    <n v="78.64"/>
    <n v="78.64"/>
    <n v="78.64"/>
    <n v="78.64"/>
    <n v="78.64"/>
    <n v="78.64"/>
    <n v="78.64"/>
    <n v="78.64"/>
    <n v="78.64"/>
    <n v="78.64"/>
    <n v="78.64"/>
    <n v="78.64"/>
    <n v="78.64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724.39"/>
    <n v="724.39"/>
    <n v="724.39"/>
    <n v="724.39"/>
    <n v="724.39"/>
    <n v="724.39"/>
    <n v="724.39"/>
    <n v="724.39"/>
    <n v="724.39"/>
    <n v="724.39"/>
    <n v="724.39"/>
    <n v="724.39"/>
    <n v="724.39"/>
  </r>
  <r>
    <x v="2"/>
    <s v="Half Bath"/>
    <n v="0"/>
    <n v="0"/>
    <n v="0"/>
    <n v="0"/>
    <n v="0"/>
    <n v="0"/>
    <n v="0"/>
    <n v="0"/>
    <n v="0"/>
    <n v="0"/>
    <n v="611.11"/>
    <n v="611.11"/>
    <n v="611.11"/>
    <n v="611.11"/>
    <n v="611.11"/>
    <n v="611.11"/>
    <n v="611.11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0"/>
    <n v="0"/>
    <n v="0"/>
    <n v="0"/>
    <n v="0"/>
    <n v="0"/>
    <n v="0"/>
    <n v="20.74"/>
    <n v="20.74"/>
    <n v="20.74"/>
    <n v="20.74"/>
    <n v="20.74"/>
    <n v="20.74"/>
  </r>
  <r>
    <x v="2"/>
    <s v="Half Bath"/>
    <n v="0"/>
    <n v="0"/>
    <n v="0"/>
    <n v="143"/>
    <n v="143"/>
    <n v="143"/>
    <n v="143"/>
    <n v="143"/>
    <n v="143"/>
    <n v="143"/>
    <n v="143"/>
    <n v="143"/>
    <n v="143"/>
    <n v="143"/>
    <n v="143"/>
    <n v="143"/>
    <n v="143"/>
  </r>
  <r>
    <x v="2"/>
    <s v="Half Bath"/>
    <n v="0"/>
    <n v="0"/>
    <n v="0"/>
    <n v="0"/>
    <n v="0"/>
    <n v="0"/>
    <n v="0"/>
    <n v="0"/>
    <n v="0"/>
    <n v="0"/>
    <n v="0"/>
    <n v="0"/>
    <n v="0"/>
    <n v="0"/>
    <n v="46.22"/>
    <n v="46.22"/>
    <n v="46.22"/>
  </r>
  <r>
    <x v="2"/>
    <s v="Half Bath"/>
    <n v="0"/>
    <n v="0"/>
    <n v="0"/>
    <n v="0"/>
    <n v="209.96"/>
    <n v="209.96"/>
    <n v="209.96"/>
    <n v="209.96"/>
    <n v="209.96"/>
    <n v="209.96"/>
    <n v="209.96"/>
    <n v="209.96"/>
    <n v="209.96"/>
    <n v="209.96"/>
    <n v="209.96"/>
    <n v="209.96"/>
    <n v="209.96"/>
  </r>
  <r>
    <x v="2"/>
    <s v="Half Bath"/>
    <n v="0"/>
    <n v="0"/>
    <n v="0"/>
    <n v="178.41499999999999"/>
    <n v="178.41499999999999"/>
    <n v="178.41499999999999"/>
    <n v="178.41499999999999"/>
    <n v="356.83"/>
    <n v="356.83"/>
    <n v="356.83"/>
    <n v="356.83"/>
    <n v="713.66"/>
    <n v="713.66"/>
    <n v="713.66"/>
    <n v="713.66"/>
    <n v="713.66"/>
    <n v="713.66"/>
  </r>
  <r>
    <x v="2"/>
    <s v="Half Bath"/>
    <n v="0"/>
    <n v="0"/>
    <n v="0"/>
    <n v="56.8"/>
    <n v="56.8"/>
    <n v="56.8"/>
    <n v="56.8"/>
    <n v="56.8"/>
    <n v="56.8"/>
    <n v="56.8"/>
    <n v="56.8"/>
    <n v="56.8"/>
    <n v="56.8"/>
    <n v="56.8"/>
    <n v="56.8"/>
    <n v="56.8"/>
    <n v="56.8"/>
  </r>
  <r>
    <x v="2"/>
    <s v="Half Bath"/>
    <n v="0"/>
    <n v="0"/>
    <n v="0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  <n v="133.69999999999999"/>
  </r>
  <r>
    <x v="2"/>
    <s v="Half Bath"/>
    <n v="0"/>
    <n v="0"/>
    <n v="0"/>
    <n v="25.087499999999999"/>
    <n v="25.087499999999999"/>
    <n v="25.087499999999999"/>
    <n v="25.087499999999999"/>
    <n v="50.174999999999997"/>
    <n v="50.174999999999997"/>
    <n v="50.174999999999997"/>
    <n v="50.174999999999997"/>
    <n v="100.35"/>
    <n v="100.35"/>
    <n v="100.35"/>
    <n v="100.35"/>
    <n v="100.35"/>
    <n v="100.35"/>
  </r>
  <r>
    <x v="2"/>
    <s v="Half Bath"/>
    <n v="0"/>
    <n v="0"/>
    <n v="0"/>
    <n v="0"/>
    <n v="0"/>
    <n v="0"/>
    <n v="0"/>
    <n v="0"/>
    <n v="0"/>
    <n v="0"/>
    <n v="0"/>
    <n v="0"/>
    <n v="0"/>
    <n v="0"/>
    <n v="26.01"/>
    <n v="26.01"/>
    <n v="26.01"/>
  </r>
  <r>
    <x v="2"/>
    <s v="Half Bath"/>
    <n v="0"/>
    <n v="0"/>
    <n v="0"/>
    <n v="27.46"/>
    <n v="27.46"/>
    <n v="27.46"/>
    <n v="27.46"/>
    <n v="27.46"/>
    <n v="27.46"/>
    <n v="27.46"/>
    <n v="27.46"/>
    <n v="27.46"/>
    <n v="27.46"/>
    <n v="27.46"/>
    <n v="27.46"/>
    <n v="27.46"/>
    <n v="27.46"/>
  </r>
  <r>
    <x v="2"/>
    <s v="Half Bath"/>
    <n v="0"/>
    <n v="0"/>
    <n v="0"/>
    <n v="0"/>
    <n v="0"/>
    <n v="0"/>
    <n v="138.94"/>
    <n v="138.94"/>
    <n v="138.94"/>
    <n v="138.94"/>
    <n v="138.94"/>
    <n v="138.94"/>
    <n v="138.94"/>
    <n v="138.94"/>
    <n v="138.94"/>
    <n v="138.94"/>
    <n v="138.94"/>
  </r>
  <r>
    <x v="2"/>
    <s v="Half Bath"/>
    <n v="0"/>
    <n v="0"/>
    <n v="0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  <n v="72.400000000000006"/>
  </r>
  <r>
    <x v="2"/>
    <s v="Half Bath"/>
    <n v="0"/>
    <n v="0"/>
    <n v="0"/>
    <n v="182.28"/>
    <n v="182.28"/>
    <n v="182.28"/>
    <n v="182.28"/>
    <n v="182.28"/>
    <n v="182.28"/>
    <n v="182.28"/>
    <n v="182.28"/>
    <n v="182.28"/>
    <n v="182.28"/>
    <n v="182.28"/>
    <n v="182.28"/>
    <n v="182.28"/>
    <n v="182.28"/>
  </r>
  <r>
    <x v="2"/>
    <s v="Half Bath"/>
    <n v="0"/>
    <n v="0"/>
    <n v="0"/>
    <n v="6.08"/>
    <n v="6.08"/>
    <n v="6.08"/>
    <n v="6.08"/>
    <n v="6.08"/>
    <n v="6.08"/>
    <n v="6.08"/>
    <n v="6.08"/>
    <n v="6.08"/>
    <n v="6.08"/>
    <n v="6.08"/>
    <n v="6.08"/>
    <n v="6.08"/>
    <n v="6.08"/>
  </r>
  <r>
    <x v="2"/>
    <s v="Half Bath"/>
    <n v="0"/>
    <n v="0"/>
    <n v="0"/>
    <n v="49.39"/>
    <n v="49.39"/>
    <n v="49.39"/>
    <n v="49.39"/>
    <n v="49.39"/>
    <n v="49.39"/>
    <n v="49.39"/>
    <n v="49.39"/>
    <n v="49.39"/>
    <n v="49.39"/>
    <n v="49.39"/>
    <n v="49.39"/>
    <n v="49.39"/>
    <n v="49.39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x v="3"/>
    <s v="Utility Room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0"/>
    <n v="0"/>
    <n v="0"/>
    <n v="0"/>
    <n v="0"/>
    <n v="0"/>
    <n v="0"/>
    <n v="24.8"/>
    <n v="24.8"/>
    <n v="24.8"/>
    <n v="24.8"/>
    <n v="24.8"/>
    <n v="24.8"/>
  </r>
  <r>
    <x v="3"/>
    <s v="Utility Room"/>
    <n v="0"/>
    <n v="0"/>
    <n v="0"/>
    <n v="170.79"/>
    <n v="170.79"/>
    <n v="170.79"/>
    <n v="170.79"/>
    <n v="170.79"/>
    <n v="170.79"/>
    <n v="170.79"/>
    <n v="170.79"/>
    <n v="170.79"/>
    <n v="170.79"/>
    <n v="170.79"/>
    <n v="170.79"/>
    <n v="170.79"/>
    <n v="170.79"/>
  </r>
  <r>
    <x v="3"/>
    <s v="Utility Room"/>
    <n v="0"/>
    <n v="0"/>
    <n v="0"/>
    <n v="0"/>
    <n v="0"/>
    <n v="0"/>
    <n v="0"/>
    <n v="0"/>
    <n v="0"/>
    <n v="0"/>
    <n v="0"/>
    <n v="0"/>
    <n v="0"/>
    <n v="0"/>
    <n v="55.21"/>
    <n v="55.21"/>
    <n v="55.21"/>
  </r>
  <r>
    <x v="3"/>
    <s v="Utility Room"/>
    <n v="0"/>
    <n v="0"/>
    <n v="0"/>
    <n v="0"/>
    <n v="250.78"/>
    <n v="250.78"/>
    <n v="250.78"/>
    <n v="250.78"/>
    <n v="250.78"/>
    <n v="250.78"/>
    <n v="250.78"/>
    <n v="250.78"/>
    <n v="250.78"/>
    <n v="250.78"/>
    <n v="250.78"/>
    <n v="250.78"/>
    <n v="250.78"/>
  </r>
  <r>
    <x v="3"/>
    <s v="Utility Room"/>
    <n v="0"/>
    <n v="0"/>
    <n v="0"/>
    <n v="213.11"/>
    <n v="213.11"/>
    <n v="213.11"/>
    <n v="213.11"/>
    <n v="426.22"/>
    <n v="426.22"/>
    <n v="426.22"/>
    <n v="426.22"/>
    <n v="852.44"/>
    <n v="852.44"/>
    <n v="852.44"/>
    <n v="852.44"/>
    <n v="852.44"/>
    <n v="852.44"/>
  </r>
  <r>
    <x v="3"/>
    <s v="Utility Room"/>
    <n v="0"/>
    <n v="0"/>
    <n v="0"/>
    <n v="67.87"/>
    <n v="67.87"/>
    <n v="67.87"/>
    <n v="67.87"/>
    <n v="67.87"/>
    <n v="67.87"/>
    <n v="67.87"/>
    <n v="67.87"/>
    <n v="67.87"/>
    <n v="67.87"/>
    <n v="67.87"/>
    <n v="67.87"/>
    <n v="67.87"/>
    <n v="67.87"/>
  </r>
  <r>
    <x v="3"/>
    <s v="Utility Room"/>
    <n v="0"/>
    <n v="0"/>
    <n v="0"/>
    <n v="159.71"/>
    <n v="159.71"/>
    <n v="159.71"/>
    <n v="159.71"/>
    <n v="159.71"/>
    <n v="159.71"/>
    <n v="159.71"/>
    <n v="159.71"/>
    <n v="159.71"/>
    <n v="159.71"/>
    <n v="159.71"/>
    <n v="159.71"/>
    <n v="159.71"/>
    <n v="159.71"/>
  </r>
  <r>
    <x v="3"/>
    <s v="Utility Room"/>
    <n v="0"/>
    <n v="0"/>
    <n v="0"/>
    <n v="34.854999999999997"/>
    <n v="34.854999999999997"/>
    <n v="34.854999999999997"/>
    <n v="34.854999999999997"/>
    <n v="69.709999999999994"/>
    <n v="69.709999999999994"/>
    <n v="69.709999999999994"/>
    <n v="69.709999999999994"/>
    <n v="139.41999999999999"/>
    <n v="139.41999999999999"/>
    <n v="139.41999999999999"/>
    <n v="139.41999999999999"/>
    <n v="139.41999999999999"/>
    <n v="139.41999999999999"/>
  </r>
  <r>
    <x v="3"/>
    <s v="Utility Room"/>
    <n v="0"/>
    <n v="0"/>
    <n v="0"/>
    <n v="0"/>
    <n v="0"/>
    <n v="0"/>
    <n v="0"/>
    <n v="0"/>
    <n v="0"/>
    <n v="0"/>
    <n v="0"/>
    <n v="0"/>
    <n v="0"/>
    <n v="0"/>
    <n v="36.119999999999997"/>
    <n v="36.119999999999997"/>
    <n v="36.119999999999997"/>
  </r>
  <r>
    <x v="3"/>
    <s v="Utility Room"/>
    <n v="0"/>
    <n v="0"/>
    <n v="0"/>
    <n v="38.15"/>
    <n v="38.15"/>
    <n v="38.15"/>
    <n v="38.15"/>
    <n v="38.15"/>
    <n v="38.15"/>
    <n v="38.15"/>
    <n v="38.15"/>
    <n v="38.15"/>
    <n v="38.15"/>
    <n v="38.15"/>
    <n v="38.15"/>
    <n v="38.15"/>
    <n v="38.15"/>
  </r>
  <r>
    <x v="3"/>
    <s v="Utility Room"/>
    <n v="0"/>
    <n v="0"/>
    <n v="0"/>
    <n v="0"/>
    <n v="0"/>
    <n v="0"/>
    <n v="177.71"/>
    <n v="177.71"/>
    <n v="177.71"/>
    <n v="177.71"/>
    <n v="177.71"/>
    <n v="177.71"/>
    <n v="177.71"/>
    <n v="177.71"/>
    <n v="177.71"/>
    <n v="177.71"/>
    <n v="177.71"/>
  </r>
  <r>
    <x v="3"/>
    <s v="Utility Room"/>
    <n v="0"/>
    <n v="0"/>
    <n v="0"/>
    <n v="92.54"/>
    <n v="92.54"/>
    <n v="92.54"/>
    <n v="92.54"/>
    <n v="92.54"/>
    <n v="92.54"/>
    <n v="92.54"/>
    <n v="92.54"/>
    <n v="92.54"/>
    <n v="92.54"/>
    <n v="92.54"/>
    <n v="92.54"/>
    <n v="92.54"/>
    <n v="92.54"/>
  </r>
  <r>
    <x v="3"/>
    <s v="Utility Room"/>
    <n v="0"/>
    <n v="0"/>
    <n v="0"/>
    <n v="232.99"/>
    <n v="232.99"/>
    <n v="232.99"/>
    <n v="232.99"/>
    <n v="232.99"/>
    <n v="232.99"/>
    <n v="232.99"/>
    <n v="232.99"/>
    <n v="232.99"/>
    <n v="232.99"/>
    <n v="232.99"/>
    <n v="232.99"/>
    <n v="232.99"/>
    <n v="232.99"/>
  </r>
  <r>
    <x v="3"/>
    <s v="Utility Room"/>
    <n v="0"/>
    <n v="0"/>
    <n v="0"/>
    <n v="8.44"/>
    <n v="8.44"/>
    <n v="8.44"/>
    <n v="8.44"/>
    <n v="8.44"/>
    <n v="8.44"/>
    <n v="8.44"/>
    <n v="8.44"/>
    <n v="8.44"/>
    <n v="8.44"/>
    <n v="8.44"/>
    <n v="8.44"/>
    <n v="8.44"/>
    <n v="8.44"/>
  </r>
  <r>
    <x v="3"/>
    <s v="Utility Room"/>
    <n v="0"/>
    <n v="0"/>
    <n v="0"/>
    <n v="68.64"/>
    <n v="68.64"/>
    <n v="68.64"/>
    <n v="68.64"/>
    <n v="68.64"/>
    <n v="68.64"/>
    <n v="68.64"/>
    <n v="68.64"/>
    <n v="68.64"/>
    <n v="68.64"/>
    <n v="68.64"/>
    <n v="68.64"/>
    <n v="68.64"/>
    <n v="68.64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0"/>
    <n v="0"/>
    <n v="0"/>
    <n v="0"/>
    <n v="0"/>
    <n v="0"/>
    <n v="0"/>
    <n v="41.48"/>
    <n v="41.48"/>
    <n v="41.48"/>
    <n v="41.48"/>
    <n v="41.48"/>
    <n v="41.48"/>
  </r>
  <r>
    <x v="3"/>
    <s v="Bedroom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x v="3"/>
    <s v="Bedroom"/>
    <n v="0"/>
    <n v="0"/>
    <n v="0"/>
    <n v="0"/>
    <n v="0"/>
    <n v="0"/>
    <n v="0"/>
    <n v="0"/>
    <n v="0"/>
    <n v="0"/>
    <n v="0"/>
    <n v="0"/>
    <n v="0"/>
    <n v="0"/>
    <n v="92.44"/>
    <n v="92.44"/>
    <n v="92.44"/>
  </r>
  <r>
    <x v="3"/>
    <s v="Bedroom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x v="3"/>
    <s v="Bedroom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3"/>
    <s v="Bedroom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x v="3"/>
    <s v="Bedroom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x v="3"/>
    <s v="Bedroom"/>
    <n v="0"/>
    <n v="0"/>
    <n v="0"/>
    <n v="100.3575"/>
    <n v="100.3575"/>
    <n v="100.3575"/>
    <n v="100.3575"/>
    <n v="200.715"/>
    <n v="200.715"/>
    <n v="200.715"/>
    <n v="200.715"/>
    <n v="401.43"/>
    <n v="401.43"/>
    <n v="401.43"/>
    <n v="401.43"/>
    <n v="401.43"/>
    <n v="401.43"/>
  </r>
  <r>
    <x v="3"/>
    <s v="Bedroom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x v="3"/>
    <s v="Bedroom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3"/>
    <s v="Bedroom"/>
    <n v="0"/>
    <n v="0"/>
    <n v="0"/>
    <n v="0"/>
    <n v="0"/>
    <n v="0"/>
    <n v="437.88"/>
    <n v="437.88"/>
    <n v="437.88"/>
    <n v="437.88"/>
    <n v="437.88"/>
    <n v="437.88"/>
    <n v="437.88"/>
    <n v="437.88"/>
    <n v="437.88"/>
    <n v="437.88"/>
    <n v="437.88"/>
  </r>
  <r>
    <x v="3"/>
    <s v="Bedroom"/>
    <n v="0"/>
    <n v="0"/>
    <n v="0"/>
    <n v="228.02"/>
    <n v="228.02"/>
    <n v="228.02"/>
    <n v="228.02"/>
    <n v="228.02"/>
    <n v="228.02"/>
    <n v="228.02"/>
    <n v="228.02"/>
    <n v="228.02"/>
    <n v="228.02"/>
    <n v="228.02"/>
    <n v="228.02"/>
    <n v="228.02"/>
    <n v="228.02"/>
  </r>
  <r>
    <x v="3"/>
    <s v="Bedroom"/>
    <n v="0"/>
    <n v="0"/>
    <n v="0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</r>
  <r>
    <x v="3"/>
    <s v="Bedroom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x v="3"/>
    <s v="Bedroom"/>
    <n v="0"/>
    <n v="0"/>
    <n v="0"/>
    <n v="197.6"/>
    <n v="197.6"/>
    <n v="197.6"/>
    <n v="197.6"/>
    <n v="197.6"/>
    <n v="197.6"/>
    <n v="197.6"/>
    <n v="197.6"/>
    <n v="197.6"/>
    <n v="197.6"/>
    <n v="197.6"/>
    <n v="197.6"/>
    <n v="197.6"/>
    <n v="197.6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1841.18"/>
    <n v="1841.18"/>
    <n v="1841.18"/>
    <n v="1841.18"/>
    <n v="1841.18"/>
    <n v="1841.18"/>
    <n v="1841.18"/>
    <n v="1841.18"/>
    <n v="1841.18"/>
    <n v="1841.18"/>
    <n v="1841.18"/>
    <n v="1841.18"/>
    <n v="1841.18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9"/>
    <n v="364.9"/>
    <n v="364.9"/>
    <n v="364.9"/>
    <n v="364.9"/>
    <n v="364.9"/>
    <n v="364.9"/>
  </r>
  <r>
    <x v="2"/>
    <s v="Kitchen"/>
    <n v="0"/>
    <n v="0"/>
    <n v="0"/>
    <n v="0"/>
    <n v="0"/>
    <n v="0"/>
    <n v="0"/>
    <n v="0"/>
    <n v="0"/>
    <n v="0"/>
    <n v="0"/>
    <n v="0"/>
    <n v="3759.34"/>
    <n v="3759.34"/>
    <n v="3759.34"/>
    <n v="3759.34"/>
    <n v="3759.34"/>
  </r>
  <r>
    <x v="2"/>
    <s v="Kitchen"/>
    <n v="0"/>
    <n v="0"/>
    <n v="0"/>
    <n v="0"/>
    <n v="6077.38"/>
    <n v="6077.38"/>
    <n v="6077.38"/>
    <n v="6077.38"/>
    <n v="6077.38"/>
    <n v="6077.38"/>
    <n v="6077.38"/>
    <n v="6077.38"/>
    <n v="6077.38"/>
    <n v="6077.38"/>
    <n v="6077.38"/>
    <n v="6077.38"/>
    <n v="6077.38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3911.04"/>
    <n v="3911.04"/>
    <n v="3911.04"/>
    <n v="3911.04"/>
    <n v="3911.04"/>
    <n v="3911.04"/>
    <n v="3911.04"/>
  </r>
  <r>
    <x v="2"/>
    <s v="Kitchen"/>
    <n v="0"/>
    <n v="0"/>
    <n v="0"/>
    <n v="0"/>
    <n v="0"/>
    <n v="0"/>
    <n v="0"/>
    <n v="0"/>
    <n v="0"/>
    <n v="0"/>
    <n v="1466.64"/>
    <n v="1466.64"/>
    <n v="1466.64"/>
    <n v="1466.64"/>
    <n v="1466.64"/>
    <n v="1466.64"/>
    <n v="1466.64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x v="2"/>
    <s v="Kitchen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x v="2"/>
    <s v="Kitchen"/>
    <n v="0"/>
    <n v="0"/>
    <n v="0"/>
    <n v="0"/>
    <n v="0"/>
    <n v="0"/>
    <n v="0"/>
    <n v="0"/>
    <n v="0"/>
    <n v="0"/>
    <n v="0"/>
    <n v="43.41"/>
    <n v="43.41"/>
    <n v="43.41"/>
    <n v="43.41"/>
    <n v="43.41"/>
    <n v="43.41"/>
  </r>
  <r>
    <x v="2"/>
    <s v="Kitchen"/>
    <n v="0"/>
    <n v="0"/>
    <n v="0"/>
    <n v="299.2"/>
    <n v="299.2"/>
    <n v="299.2"/>
    <n v="299.2"/>
    <n v="299.2"/>
    <n v="299.2"/>
    <n v="299.2"/>
    <n v="299.2"/>
    <n v="299.2"/>
    <n v="299.2"/>
    <n v="299.2"/>
    <n v="299.2"/>
    <n v="299.2"/>
    <n v="299.2"/>
  </r>
  <r>
    <x v="2"/>
    <s v="Kitchen"/>
    <n v="0"/>
    <n v="0"/>
    <n v="0"/>
    <n v="0"/>
    <n v="0"/>
    <n v="0"/>
    <n v="0"/>
    <n v="0"/>
    <n v="0"/>
    <n v="0"/>
    <n v="0"/>
    <n v="0"/>
    <n v="0"/>
    <n v="0"/>
    <n v="96.72"/>
    <n v="96.72"/>
    <n v="96.72"/>
  </r>
  <r>
    <x v="2"/>
    <s v="Kitchen"/>
    <n v="0"/>
    <n v="0"/>
    <n v="0"/>
    <n v="0"/>
    <n v="439.34"/>
    <n v="439.34"/>
    <n v="439.34"/>
    <n v="439.34"/>
    <n v="439.34"/>
    <n v="439.34"/>
    <n v="439.34"/>
    <n v="439.34"/>
    <n v="439.34"/>
    <n v="439.34"/>
    <n v="439.34"/>
    <n v="439.34"/>
    <n v="439.34"/>
  </r>
  <r>
    <x v="2"/>
    <s v="Kitchen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x v="2"/>
    <s v="Kitchen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2"/>
    <s v="Kitchen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2"/>
    <s v="Kitchen"/>
    <n v="0"/>
    <n v="0"/>
    <n v="0"/>
    <n v="109.6525"/>
    <n v="109.6525"/>
    <n v="109.6525"/>
    <n v="109.6525"/>
    <n v="219.30500000000001"/>
    <n v="219.30500000000001"/>
    <n v="219.30500000000001"/>
    <n v="219.30500000000001"/>
    <n v="438.61"/>
    <n v="438.61"/>
    <n v="438.61"/>
    <n v="438.61"/>
    <n v="438.61"/>
    <n v="438.61"/>
  </r>
  <r>
    <x v="2"/>
    <s v="Kitchen"/>
    <n v="0"/>
    <n v="0"/>
    <n v="0"/>
    <n v="0"/>
    <n v="0"/>
    <n v="0"/>
    <n v="0"/>
    <n v="0"/>
    <n v="0"/>
    <n v="0"/>
    <n v="0"/>
    <n v="0"/>
    <n v="0"/>
    <n v="0"/>
    <n v="113.64"/>
    <n v="113.64"/>
    <n v="113.64"/>
  </r>
  <r>
    <x v="2"/>
    <s v="Kitchen"/>
    <n v="0"/>
    <n v="0"/>
    <n v="0"/>
    <n v="120.01"/>
    <n v="120.01"/>
    <n v="120.01"/>
    <n v="120.01"/>
    <n v="120.01"/>
    <n v="120.01"/>
    <n v="120.01"/>
    <n v="120.01"/>
    <n v="120.01"/>
    <n v="120.01"/>
    <n v="120.01"/>
    <n v="120.01"/>
    <n v="120.01"/>
    <n v="120.01"/>
  </r>
  <r>
    <x v="2"/>
    <s v="Kitchen"/>
    <n v="0"/>
    <n v="0"/>
    <n v="0"/>
    <n v="0"/>
    <n v="0"/>
    <n v="0"/>
    <n v="474.87"/>
    <n v="474.87"/>
    <n v="474.87"/>
    <n v="474.87"/>
    <n v="474.87"/>
    <n v="474.87"/>
    <n v="474.87"/>
    <n v="474.87"/>
    <n v="474.87"/>
    <n v="474.87"/>
    <n v="474.87"/>
  </r>
  <r>
    <x v="2"/>
    <s v="Kitchen"/>
    <n v="0"/>
    <n v="0"/>
    <n v="0"/>
    <n v="247.23"/>
    <n v="247.23"/>
    <n v="247.23"/>
    <n v="247.23"/>
    <n v="247.23"/>
    <n v="247.23"/>
    <n v="247.23"/>
    <n v="247.23"/>
    <n v="247.23"/>
    <n v="247.23"/>
    <n v="247.23"/>
    <n v="247.23"/>
    <n v="247.23"/>
    <n v="247.23"/>
  </r>
  <r>
    <x v="2"/>
    <s v="Kitchen"/>
    <n v="0"/>
    <n v="0"/>
    <n v="0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  <n v="622.42999999999995"/>
  </r>
  <r>
    <x v="2"/>
    <s v="Kitchen"/>
    <n v="0"/>
    <n v="0"/>
    <n v="0"/>
    <n v="26.55"/>
    <n v="26.55"/>
    <n v="26.55"/>
    <n v="26.55"/>
    <n v="26.55"/>
    <n v="26.55"/>
    <n v="26.55"/>
    <n v="26.55"/>
    <n v="26.55"/>
    <n v="26.55"/>
    <n v="26.55"/>
    <n v="26.55"/>
    <n v="26.55"/>
    <n v="26.55"/>
  </r>
  <r>
    <x v="2"/>
    <s v="Kitchen"/>
    <n v="0"/>
    <n v="0"/>
    <n v="0"/>
    <n v="215.84"/>
    <n v="215.84"/>
    <n v="215.84"/>
    <n v="215.84"/>
    <n v="215.84"/>
    <n v="215.84"/>
    <n v="215.84"/>
    <n v="215.84"/>
    <n v="215.84"/>
    <n v="215.84"/>
    <n v="215.84"/>
    <n v="215.84"/>
    <n v="215.84"/>
    <n v="215.84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0"/>
    <n v="0"/>
    <n v="0"/>
    <n v="0"/>
    <n v="0"/>
    <n v="0"/>
    <n v="0"/>
    <n v="53.77"/>
    <n v="53.77"/>
    <n v="53.77"/>
    <n v="53.77"/>
    <n v="53.77"/>
    <n v="53.77"/>
  </r>
  <r>
    <x v="3"/>
    <s v="Bedroom"/>
    <n v="0"/>
    <n v="0"/>
    <n v="0"/>
    <n v="370.7"/>
    <n v="370.7"/>
    <n v="370.7"/>
    <n v="370.7"/>
    <n v="370.7"/>
    <n v="370.7"/>
    <n v="370.7"/>
    <n v="370.7"/>
    <n v="370.7"/>
    <n v="370.7"/>
    <n v="370.7"/>
    <n v="370.7"/>
    <n v="370.7"/>
    <n v="370.7"/>
  </r>
  <r>
    <x v="3"/>
    <s v="Bedroom"/>
    <n v="0"/>
    <n v="0"/>
    <n v="0"/>
    <n v="0"/>
    <n v="0"/>
    <n v="0"/>
    <n v="0"/>
    <n v="0"/>
    <n v="0"/>
    <n v="0"/>
    <n v="0"/>
    <n v="0"/>
    <n v="0"/>
    <n v="0"/>
    <n v="119.84"/>
    <n v="119.84"/>
    <n v="119.84"/>
  </r>
  <r>
    <x v="3"/>
    <s v="Bedroom"/>
    <n v="0"/>
    <n v="0"/>
    <n v="0"/>
    <n v="0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  <n v="544.32000000000005"/>
  </r>
  <r>
    <x v="3"/>
    <s v="Bedroom"/>
    <n v="0"/>
    <n v="0"/>
    <n v="0"/>
    <n v="462.5575"/>
    <n v="462.5575"/>
    <n v="462.5575"/>
    <n v="462.5575"/>
    <n v="925.11500000000001"/>
    <n v="925.11500000000001"/>
    <n v="925.11500000000001"/>
    <n v="925.11500000000001"/>
    <n v="1850.23"/>
    <n v="1850.23"/>
    <n v="1850.23"/>
    <n v="1850.23"/>
    <n v="1850.23"/>
    <n v="1850.23"/>
  </r>
  <r>
    <x v="3"/>
    <s v="Bedroom"/>
    <n v="0"/>
    <n v="0"/>
    <n v="0"/>
    <n v="147.28"/>
    <n v="147.28"/>
    <n v="147.28"/>
    <n v="147.28"/>
    <n v="147.28"/>
    <n v="147.28"/>
    <n v="147.28"/>
    <n v="147.28"/>
    <n v="147.28"/>
    <n v="147.28"/>
    <n v="147.28"/>
    <n v="147.28"/>
    <n v="147.28"/>
    <n v="147.28"/>
  </r>
  <r>
    <x v="3"/>
    <s v="Bedroom"/>
    <n v="0"/>
    <n v="0"/>
    <n v="0"/>
    <n v="346.67"/>
    <n v="346.67"/>
    <n v="346.67"/>
    <n v="346.67"/>
    <n v="346.67"/>
    <n v="346.67"/>
    <n v="346.67"/>
    <n v="346.67"/>
    <n v="346.67"/>
    <n v="346.67"/>
    <n v="346.67"/>
    <n v="346.67"/>
    <n v="346.67"/>
    <n v="346.67"/>
  </r>
  <r>
    <x v="3"/>
    <s v="Bedroom"/>
    <n v="0"/>
    <n v="0"/>
    <n v="0"/>
    <n v="167.60249999999999"/>
    <n v="167.60249999999999"/>
    <n v="167.60249999999999"/>
    <n v="167.60249999999999"/>
    <n v="335.20499999999998"/>
    <n v="335.20499999999998"/>
    <n v="335.20499999999998"/>
    <n v="335.20499999999998"/>
    <n v="670.41"/>
    <n v="670.41"/>
    <n v="670.41"/>
    <n v="670.41"/>
    <n v="670.41"/>
    <n v="670.41"/>
  </r>
  <r>
    <x v="3"/>
    <s v="Bedroom"/>
    <n v="0"/>
    <n v="0"/>
    <n v="0"/>
    <n v="0"/>
    <n v="0"/>
    <n v="0"/>
    <n v="0"/>
    <n v="0"/>
    <n v="0"/>
    <n v="0"/>
    <n v="0"/>
    <n v="0"/>
    <n v="0"/>
    <n v="0"/>
    <n v="173.68"/>
    <n v="173.68"/>
    <n v="173.68"/>
  </r>
  <r>
    <x v="3"/>
    <s v="Bedroom"/>
    <n v="0"/>
    <n v="0"/>
    <n v="0"/>
    <n v="183.44"/>
    <n v="183.44"/>
    <n v="183.44"/>
    <n v="183.44"/>
    <n v="183.44"/>
    <n v="183.44"/>
    <n v="183.44"/>
    <n v="183.44"/>
    <n v="183.44"/>
    <n v="183.44"/>
    <n v="183.44"/>
    <n v="183.44"/>
    <n v="183.44"/>
    <n v="183.44"/>
  </r>
  <r>
    <x v="3"/>
    <s v="Bedroom"/>
    <n v="0"/>
    <n v="0"/>
    <n v="0"/>
    <n v="0"/>
    <n v="0"/>
    <n v="0"/>
    <n v="704.95"/>
    <n v="704.95"/>
    <n v="704.95"/>
    <n v="704.95"/>
    <n v="704.95"/>
    <n v="704.95"/>
    <n v="704.95"/>
    <n v="704.95"/>
    <n v="704.95"/>
    <n v="704.95"/>
    <n v="704.95"/>
  </r>
  <r>
    <x v="3"/>
    <s v="Bedroom"/>
    <n v="0"/>
    <n v="0"/>
    <n v="0"/>
    <n v="367.08"/>
    <n v="367.08"/>
    <n v="367.08"/>
    <n v="367.08"/>
    <n v="367.08"/>
    <n v="367.08"/>
    <n v="367.08"/>
    <n v="367.08"/>
    <n v="367.08"/>
    <n v="367.08"/>
    <n v="367.08"/>
    <n v="367.08"/>
    <n v="367.08"/>
    <n v="367.08"/>
  </r>
  <r>
    <x v="3"/>
    <s v="Bedroom"/>
    <n v="0"/>
    <n v="0"/>
    <n v="0"/>
    <n v="924.15"/>
    <n v="924.15"/>
    <n v="924.15"/>
    <n v="924.15"/>
    <n v="924.15"/>
    <n v="924.15"/>
    <n v="924.15"/>
    <n v="924.15"/>
    <n v="924.15"/>
    <n v="924.15"/>
    <n v="924.15"/>
    <n v="924.15"/>
    <n v="924.15"/>
    <n v="924.15"/>
  </r>
  <r>
    <x v="3"/>
    <s v="Bedroom"/>
    <n v="0"/>
    <n v="0"/>
    <n v="0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  <n v="40.590000000000003"/>
  </r>
  <r>
    <x v="3"/>
    <s v="Bedroom"/>
    <n v="0"/>
    <n v="0"/>
    <n v="0"/>
    <n v="329.95"/>
    <n v="329.95"/>
    <n v="329.95"/>
    <n v="329.95"/>
    <n v="329.95"/>
    <n v="329.95"/>
    <n v="329.95"/>
    <n v="329.95"/>
    <n v="329.95"/>
    <n v="329.95"/>
    <n v="329.95"/>
    <n v="329.95"/>
    <n v="329.95"/>
    <n v="329.95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0"/>
    <n v="0"/>
    <n v="0"/>
    <n v="0"/>
    <n v="0"/>
    <n v="0"/>
    <n v="0"/>
    <n v="41.48"/>
    <n v="41.48"/>
    <n v="41.48"/>
    <n v="41.48"/>
    <n v="41.48"/>
    <n v="41.48"/>
  </r>
  <r>
    <x v="3"/>
    <s v="Bedroom"/>
    <n v="0"/>
    <n v="0"/>
    <n v="0"/>
    <n v="285.98"/>
    <n v="285.98"/>
    <n v="285.98"/>
    <n v="285.98"/>
    <n v="285.98"/>
    <n v="285.98"/>
    <n v="285.98"/>
    <n v="285.98"/>
    <n v="285.98"/>
    <n v="285.98"/>
    <n v="285.98"/>
    <n v="285.98"/>
    <n v="285.98"/>
    <n v="285.98"/>
  </r>
  <r>
    <x v="3"/>
    <s v="Bedroom"/>
    <n v="0"/>
    <n v="0"/>
    <n v="0"/>
    <n v="0"/>
    <n v="0"/>
    <n v="0"/>
    <n v="0"/>
    <n v="0"/>
    <n v="0"/>
    <n v="0"/>
    <n v="0"/>
    <n v="0"/>
    <n v="0"/>
    <n v="0"/>
    <n v="92.44"/>
    <n v="92.44"/>
    <n v="92.44"/>
  </r>
  <r>
    <x v="3"/>
    <s v="Bedroom"/>
    <n v="0"/>
    <n v="0"/>
    <n v="0"/>
    <n v="0"/>
    <n v="419.9"/>
    <n v="419.9"/>
    <n v="419.9"/>
    <n v="419.9"/>
    <n v="419.9"/>
    <n v="419.9"/>
    <n v="419.9"/>
    <n v="419.9"/>
    <n v="419.9"/>
    <n v="419.9"/>
    <n v="419.9"/>
    <n v="419.9"/>
    <n v="419.9"/>
  </r>
  <r>
    <x v="3"/>
    <s v="Bedroom"/>
    <n v="0"/>
    <n v="0"/>
    <n v="0"/>
    <n v="356.83"/>
    <n v="356.83"/>
    <n v="356.83"/>
    <n v="356.83"/>
    <n v="713.66"/>
    <n v="713.66"/>
    <n v="713.66"/>
    <n v="713.66"/>
    <n v="1427.32"/>
    <n v="1427.32"/>
    <n v="1427.32"/>
    <n v="1427.32"/>
    <n v="1427.32"/>
    <n v="1427.32"/>
  </r>
  <r>
    <x v="3"/>
    <s v="Bedroom"/>
    <n v="0"/>
    <n v="0"/>
    <n v="0"/>
    <n v="113.62"/>
    <n v="113.62"/>
    <n v="113.62"/>
    <n v="113.62"/>
    <n v="113.62"/>
    <n v="113.62"/>
    <n v="113.62"/>
    <n v="113.62"/>
    <n v="113.62"/>
    <n v="113.62"/>
    <n v="113.62"/>
    <n v="113.62"/>
    <n v="113.62"/>
    <n v="113.62"/>
  </r>
  <r>
    <x v="3"/>
    <s v="Bedroom"/>
    <n v="0"/>
    <n v="0"/>
    <n v="0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  <n v="267.39999999999998"/>
  </r>
  <r>
    <x v="3"/>
    <s v="Bedroom"/>
    <n v="0"/>
    <n v="0"/>
    <n v="0"/>
    <n v="100.3575"/>
    <n v="100.3575"/>
    <n v="100.3575"/>
    <n v="100.3575"/>
    <n v="200.715"/>
    <n v="200.715"/>
    <n v="200.715"/>
    <n v="200.715"/>
    <n v="401.43"/>
    <n v="401.43"/>
    <n v="401.43"/>
    <n v="401.43"/>
    <n v="401.43"/>
    <n v="401.43"/>
  </r>
  <r>
    <x v="3"/>
    <s v="Bedroom"/>
    <n v="0"/>
    <n v="0"/>
    <n v="0"/>
    <n v="0"/>
    <n v="0"/>
    <n v="0"/>
    <n v="0"/>
    <n v="0"/>
    <n v="0"/>
    <n v="0"/>
    <n v="0"/>
    <n v="0"/>
    <n v="0"/>
    <n v="0"/>
    <n v="104.01"/>
    <n v="104.01"/>
    <n v="104.01"/>
  </r>
  <r>
    <x v="3"/>
    <s v="Bedroom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3"/>
    <s v="Bedroom"/>
    <n v="0"/>
    <n v="0"/>
    <n v="0"/>
    <n v="0"/>
    <n v="0"/>
    <n v="0"/>
    <n v="437.88"/>
    <n v="437.88"/>
    <n v="437.88"/>
    <n v="437.88"/>
    <n v="437.88"/>
    <n v="437.88"/>
    <n v="437.88"/>
    <n v="437.88"/>
    <n v="437.88"/>
    <n v="437.88"/>
    <n v="437.88"/>
  </r>
  <r>
    <x v="3"/>
    <s v="Bedroom"/>
    <n v="0"/>
    <n v="0"/>
    <n v="0"/>
    <n v="228.02"/>
    <n v="228.02"/>
    <n v="228.02"/>
    <n v="228.02"/>
    <n v="228.02"/>
    <n v="228.02"/>
    <n v="228.02"/>
    <n v="228.02"/>
    <n v="228.02"/>
    <n v="228.02"/>
    <n v="228.02"/>
    <n v="228.02"/>
    <n v="228.02"/>
    <n v="228.02"/>
  </r>
  <r>
    <x v="3"/>
    <s v="Bedroom"/>
    <n v="0"/>
    <n v="0"/>
    <n v="0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  <n v="574.05999999999995"/>
  </r>
  <r>
    <x v="3"/>
    <s v="Bedroom"/>
    <n v="0"/>
    <n v="0"/>
    <n v="0"/>
    <n v="24.32"/>
    <n v="24.32"/>
    <n v="24.32"/>
    <n v="24.32"/>
    <n v="24.32"/>
    <n v="24.32"/>
    <n v="24.32"/>
    <n v="24.32"/>
    <n v="24.32"/>
    <n v="24.32"/>
    <n v="24.32"/>
    <n v="24.32"/>
    <n v="24.32"/>
    <n v="24.32"/>
  </r>
  <r>
    <x v="3"/>
    <s v="Bedroom"/>
    <n v="0"/>
    <n v="0"/>
    <n v="0"/>
    <n v="197.6"/>
    <n v="197.6"/>
    <n v="197.6"/>
    <n v="197.6"/>
    <n v="197.6"/>
    <n v="197.6"/>
    <n v="197.6"/>
    <n v="197.6"/>
    <n v="197.6"/>
    <n v="197.6"/>
    <n v="197.6"/>
    <n v="197.6"/>
    <n v="197.6"/>
    <n v="197.6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0"/>
    <n v="0"/>
    <n v="0"/>
    <n v="0"/>
    <n v="0"/>
    <n v="0"/>
    <n v="0"/>
    <n v="28.99"/>
    <n v="28.99"/>
    <n v="28.99"/>
    <n v="28.99"/>
    <n v="28.99"/>
    <n v="28.99"/>
  </r>
  <r>
    <x v="2"/>
    <s v="Nook"/>
    <n v="0"/>
    <n v="0"/>
    <n v="0"/>
    <n v="199.91"/>
    <n v="199.91"/>
    <n v="199.91"/>
    <n v="199.91"/>
    <n v="199.91"/>
    <n v="199.91"/>
    <n v="199.91"/>
    <n v="199.91"/>
    <n v="199.91"/>
    <n v="199.91"/>
    <n v="199.91"/>
    <n v="199.91"/>
    <n v="199.91"/>
    <n v="199.91"/>
  </r>
  <r>
    <x v="2"/>
    <s v="Nook"/>
    <n v="0"/>
    <n v="0"/>
    <n v="0"/>
    <n v="0"/>
    <n v="0"/>
    <n v="0"/>
    <n v="0"/>
    <n v="0"/>
    <n v="0"/>
    <n v="0"/>
    <n v="0"/>
    <n v="0"/>
    <n v="0"/>
    <n v="0"/>
    <n v="64.63"/>
    <n v="64.63"/>
    <n v="64.63"/>
  </r>
  <r>
    <x v="2"/>
    <s v="Nook"/>
    <n v="0"/>
    <n v="0"/>
    <n v="0"/>
    <n v="0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  <n v="293.54000000000002"/>
  </r>
  <r>
    <x v="2"/>
    <s v="Nook"/>
    <n v="0"/>
    <n v="0"/>
    <n v="0"/>
    <n v="249.44749999999999"/>
    <n v="249.44749999999999"/>
    <n v="249.44749999999999"/>
    <n v="249.44749999999999"/>
    <n v="498.89499999999998"/>
    <n v="498.89499999999998"/>
    <n v="498.89499999999998"/>
    <n v="498.89499999999998"/>
    <n v="997.79"/>
    <n v="997.79"/>
    <n v="997.79"/>
    <n v="997.79"/>
    <n v="997.79"/>
    <n v="997.79"/>
  </r>
  <r>
    <x v="2"/>
    <s v="Nook"/>
    <n v="0"/>
    <n v="0"/>
    <n v="0"/>
    <n v="79.44"/>
    <n v="79.44"/>
    <n v="79.44"/>
    <n v="79.44"/>
    <n v="79.44"/>
    <n v="79.44"/>
    <n v="79.44"/>
    <n v="79.44"/>
    <n v="79.44"/>
    <n v="79.44"/>
    <n v="79.44"/>
    <n v="79.44"/>
    <n v="79.44"/>
    <n v="79.44"/>
  </r>
  <r>
    <x v="2"/>
    <s v="Nook"/>
    <n v="0"/>
    <n v="0"/>
    <n v="0"/>
    <n v="186.96"/>
    <n v="186.96"/>
    <n v="186.96"/>
    <n v="186.96"/>
    <n v="186.96"/>
    <n v="186.96"/>
    <n v="186.96"/>
    <n v="186.96"/>
    <n v="186.96"/>
    <n v="186.96"/>
    <n v="186.96"/>
    <n v="186.96"/>
    <n v="186.96"/>
    <n v="186.96"/>
  </r>
  <r>
    <x v="2"/>
    <s v="Nook"/>
    <n v="0"/>
    <n v="0"/>
    <n v="0"/>
    <n v="48.097499999999997"/>
    <n v="48.097499999999997"/>
    <n v="48.097499999999997"/>
    <n v="48.097499999999997"/>
    <n v="96.194999999999993"/>
    <n v="96.194999999999993"/>
    <n v="96.194999999999993"/>
    <n v="96.194999999999993"/>
    <n v="192.39"/>
    <n v="192.39"/>
    <n v="192.39"/>
    <n v="192.39"/>
    <n v="192.39"/>
    <n v="192.39"/>
  </r>
  <r>
    <x v="2"/>
    <s v="Nook"/>
    <n v="0"/>
    <n v="0"/>
    <n v="0"/>
    <n v="0"/>
    <n v="0"/>
    <n v="0"/>
    <n v="0"/>
    <n v="0"/>
    <n v="0"/>
    <n v="0"/>
    <n v="0"/>
    <n v="0"/>
    <n v="0"/>
    <n v="0"/>
    <n v="49.84"/>
    <n v="49.84"/>
    <n v="49.84"/>
  </r>
  <r>
    <x v="2"/>
    <s v="Nook"/>
    <n v="0"/>
    <n v="0"/>
    <n v="0"/>
    <n v="52.65"/>
    <n v="52.65"/>
    <n v="52.65"/>
    <n v="52.65"/>
    <n v="52.65"/>
    <n v="52.65"/>
    <n v="52.65"/>
    <n v="52.65"/>
    <n v="52.65"/>
    <n v="52.65"/>
    <n v="52.65"/>
    <n v="52.65"/>
    <n v="52.65"/>
    <n v="52.65"/>
  </r>
  <r>
    <x v="2"/>
    <s v="Nook"/>
    <n v="0"/>
    <n v="0"/>
    <n v="0"/>
    <n v="0"/>
    <n v="0"/>
    <n v="0"/>
    <n v="230.26"/>
    <n v="230.26"/>
    <n v="230.26"/>
    <n v="230.26"/>
    <n v="230.26"/>
    <n v="230.26"/>
    <n v="230.26"/>
    <n v="230.26"/>
    <n v="230.26"/>
    <n v="230.26"/>
    <n v="230.26"/>
  </r>
  <r>
    <x v="2"/>
    <s v="Nook"/>
    <n v="0"/>
    <n v="0"/>
    <n v="0"/>
    <n v="119.96"/>
    <n v="119.96"/>
    <n v="119.96"/>
    <n v="119.96"/>
    <n v="119.96"/>
    <n v="119.96"/>
    <n v="119.96"/>
    <n v="119.96"/>
    <n v="119.96"/>
    <n v="119.96"/>
    <n v="119.96"/>
    <n v="119.96"/>
    <n v="119.96"/>
    <n v="119.96"/>
  </r>
  <r>
    <x v="2"/>
    <s v="Nook"/>
    <n v="0"/>
    <n v="0"/>
    <n v="0"/>
    <n v="302"/>
    <n v="302"/>
    <n v="302"/>
    <n v="302"/>
    <n v="302"/>
    <n v="302"/>
    <n v="302"/>
    <n v="302"/>
    <n v="302"/>
    <n v="302"/>
    <n v="302"/>
    <n v="302"/>
    <n v="302"/>
    <n v="302"/>
  </r>
  <r>
    <x v="2"/>
    <s v="Nook"/>
    <n v="0"/>
    <n v="0"/>
    <n v="0"/>
    <n v="11.65"/>
    <n v="11.65"/>
    <n v="11.65"/>
    <n v="11.65"/>
    <n v="11.65"/>
    <n v="11.65"/>
    <n v="11.65"/>
    <n v="11.65"/>
    <n v="11.65"/>
    <n v="11.65"/>
    <n v="11.65"/>
    <n v="11.65"/>
    <n v="11.65"/>
    <n v="11.65"/>
  </r>
  <r>
    <x v="2"/>
    <s v="Nook"/>
    <n v="0"/>
    <n v="0"/>
    <n v="0"/>
    <n v="94.68"/>
    <n v="94.68"/>
    <n v="94.68"/>
    <n v="94.68"/>
    <n v="94.68"/>
    <n v="94.68"/>
    <n v="94.68"/>
    <n v="94.68"/>
    <n v="94.68"/>
    <n v="94.68"/>
    <n v="94.68"/>
    <n v="94.68"/>
    <n v="94.68"/>
    <n v="94.68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0"/>
    <n v="0"/>
    <n v="0"/>
    <n v="0"/>
    <n v="0"/>
    <n v="0"/>
    <n v="0"/>
    <n v="70.28"/>
    <n v="70.28"/>
    <n v="70.28"/>
    <n v="70.28"/>
    <n v="70.28"/>
    <n v="70.28"/>
  </r>
  <r>
    <x v="2"/>
    <s v="Living Area"/>
    <n v="0"/>
    <n v="0"/>
    <n v="0"/>
    <n v="484.58"/>
    <n v="484.58"/>
    <n v="484.58"/>
    <n v="484.58"/>
    <n v="484.58"/>
    <n v="484.58"/>
    <n v="484.58"/>
    <n v="484.58"/>
    <n v="484.58"/>
    <n v="484.58"/>
    <n v="484.58"/>
    <n v="484.58"/>
    <n v="484.58"/>
    <n v="484.58"/>
  </r>
  <r>
    <x v="2"/>
    <s v="Living Area"/>
    <n v="0"/>
    <n v="0"/>
    <n v="0"/>
    <n v="0"/>
    <n v="0"/>
    <n v="0"/>
    <n v="0"/>
    <n v="0"/>
    <n v="0"/>
    <n v="0"/>
    <n v="0"/>
    <n v="0"/>
    <n v="0"/>
    <n v="0"/>
    <n v="156.63999999999999"/>
    <n v="156.63999999999999"/>
    <n v="156.63999999999999"/>
  </r>
  <r>
    <x v="2"/>
    <s v="Living Area"/>
    <n v="0"/>
    <n v="0"/>
    <n v="0"/>
    <n v="0"/>
    <n v="711.5"/>
    <n v="711.5"/>
    <n v="711.5"/>
    <n v="711.5"/>
    <n v="711.5"/>
    <n v="711.5"/>
    <n v="711.5"/>
    <n v="711.5"/>
    <n v="711.5"/>
    <n v="711.5"/>
    <n v="711.5"/>
    <n v="711.5"/>
    <n v="711.5"/>
  </r>
  <r>
    <x v="2"/>
    <s v="Living Area"/>
    <n v="0"/>
    <n v="0"/>
    <n v="0"/>
    <n v="604.63"/>
    <n v="604.63"/>
    <n v="604.63"/>
    <n v="604.63"/>
    <n v="1209.26"/>
    <n v="1209.26"/>
    <n v="1209.26"/>
    <n v="1209.26"/>
    <n v="2418.52"/>
    <n v="2418.52"/>
    <n v="2418.52"/>
    <n v="2418.52"/>
    <n v="2418.52"/>
    <n v="2418.52"/>
  </r>
  <r>
    <x v="2"/>
    <s v="Living Area"/>
    <n v="0"/>
    <n v="0"/>
    <n v="0"/>
    <n v="0"/>
    <n v="0"/>
    <n v="0"/>
    <n v="0"/>
    <n v="0"/>
    <n v="0"/>
    <n v="0"/>
    <n v="0"/>
    <n v="133.94999999999999"/>
    <n v="133.94999999999999"/>
    <n v="133.94999999999999"/>
    <n v="133.94999999999999"/>
    <n v="133.94999999999999"/>
    <n v="133.94999999999999"/>
  </r>
  <r>
    <x v="2"/>
    <s v="Living Area"/>
    <n v="0"/>
    <n v="0"/>
    <n v="0"/>
    <n v="0"/>
    <n v="0"/>
    <n v="0"/>
    <n v="0"/>
    <n v="0"/>
    <n v="0"/>
    <n v="0"/>
    <n v="0"/>
    <n v="641.24"/>
    <n v="641.24"/>
    <n v="641.24"/>
    <n v="641.24"/>
    <n v="641.24"/>
    <n v="641.24"/>
  </r>
  <r>
    <x v="2"/>
    <s v="Living Area"/>
    <n v="0"/>
    <n v="0"/>
    <n v="0"/>
    <n v="192.51"/>
    <n v="192.51"/>
    <n v="192.51"/>
    <n v="192.51"/>
    <n v="192.51"/>
    <n v="192.51"/>
    <n v="192.51"/>
    <n v="192.51"/>
    <n v="192.51"/>
    <n v="192.51"/>
    <n v="192.51"/>
    <n v="192.51"/>
    <n v="192.51"/>
    <n v="192.51"/>
  </r>
  <r>
    <x v="2"/>
    <s v="Living Area"/>
    <n v="0"/>
    <n v="0"/>
    <n v="0"/>
    <n v="453.11"/>
    <n v="453.11"/>
    <n v="453.11"/>
    <n v="453.11"/>
    <n v="453.11"/>
    <n v="453.11"/>
    <n v="453.11"/>
    <n v="453.11"/>
    <n v="453.11"/>
    <n v="453.11"/>
    <n v="453.11"/>
    <n v="453.11"/>
    <n v="453.11"/>
    <n v="453.11"/>
  </r>
  <r>
    <x v="2"/>
    <s v="Living Area"/>
    <n v="0"/>
    <n v="0"/>
    <n v="0"/>
    <n v="279.33249999999998"/>
    <n v="279.33249999999998"/>
    <n v="279.33249999999998"/>
    <n v="279.33249999999998"/>
    <n v="558.66499999999996"/>
    <n v="558.66499999999996"/>
    <n v="558.66499999999996"/>
    <n v="558.66499999999996"/>
    <n v="1117.33"/>
    <n v="1117.33"/>
    <n v="1117.33"/>
    <n v="1117.33"/>
    <n v="1117.33"/>
    <n v="1117.33"/>
  </r>
  <r>
    <x v="2"/>
    <s v="Living Area"/>
    <n v="0"/>
    <n v="0"/>
    <n v="0"/>
    <n v="0"/>
    <n v="0"/>
    <n v="0"/>
    <n v="0"/>
    <n v="0"/>
    <n v="0"/>
    <n v="0"/>
    <n v="0"/>
    <n v="0"/>
    <n v="0"/>
    <n v="0"/>
    <n v="289.47000000000003"/>
    <n v="289.47000000000003"/>
    <n v="289.47000000000003"/>
  </r>
  <r>
    <x v="2"/>
    <s v="Living Area"/>
    <n v="0"/>
    <n v="0"/>
    <n v="0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  <n v="305.72000000000003"/>
  </r>
  <r>
    <x v="2"/>
    <s v="Living Area"/>
    <n v="0"/>
    <n v="0"/>
    <n v="0"/>
    <n v="0"/>
    <n v="0"/>
    <n v="0"/>
    <n v="1148.52"/>
    <n v="1148.52"/>
    <n v="1148.52"/>
    <n v="1148.52"/>
    <n v="1148.52"/>
    <n v="1148.52"/>
    <n v="1148.52"/>
    <n v="1148.52"/>
    <n v="1148.52"/>
    <n v="1148.52"/>
    <n v="1148.52"/>
  </r>
  <r>
    <x v="2"/>
    <s v="Living Area"/>
    <n v="0"/>
    <n v="0"/>
    <n v="0"/>
    <n v="598.12"/>
    <n v="598.12"/>
    <n v="598.12"/>
    <n v="598.12"/>
    <n v="598.12"/>
    <n v="598.12"/>
    <n v="598.12"/>
    <n v="598.12"/>
    <n v="598.12"/>
    <n v="598.12"/>
    <n v="598.12"/>
    <n v="598.12"/>
    <n v="598.12"/>
    <n v="598.12"/>
  </r>
  <r>
    <x v="2"/>
    <s v="Living Area"/>
    <n v="0"/>
    <n v="0"/>
    <n v="0"/>
    <n v="1505.83"/>
    <n v="1505.83"/>
    <n v="1505.83"/>
    <n v="1505.83"/>
    <n v="1505.83"/>
    <n v="1505.83"/>
    <n v="1505.83"/>
    <n v="1505.83"/>
    <n v="1505.83"/>
    <n v="1505.83"/>
    <n v="1505.83"/>
    <n v="1505.83"/>
    <n v="1505.83"/>
    <n v="1505.83"/>
  </r>
  <r>
    <x v="2"/>
    <s v="Living Area"/>
    <n v="0"/>
    <n v="0"/>
    <n v="0"/>
    <n v="67.67"/>
    <n v="67.67"/>
    <n v="67.67"/>
    <n v="67.67"/>
    <n v="67.67"/>
    <n v="67.67"/>
    <n v="67.67"/>
    <n v="67.67"/>
    <n v="67.67"/>
    <n v="67.67"/>
    <n v="67.67"/>
    <n v="67.67"/>
    <n v="67.67"/>
    <n v="67.67"/>
  </r>
  <r>
    <x v="2"/>
    <s v="Living Area"/>
    <n v="0"/>
    <n v="0"/>
    <n v="0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  <n v="549.94000000000005"/>
  </r>
  <r>
    <x v="2"/>
    <s v="general-main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0"/>
    <n v="0"/>
    <n v="0"/>
    <n v="0"/>
    <n v="0"/>
    <n v="0"/>
    <n v="0"/>
    <n v="26.87"/>
    <n v="26.87"/>
    <n v="26.87"/>
    <n v="26.87"/>
    <n v="26.87"/>
    <n v="26.87"/>
  </r>
  <r>
    <x v="3"/>
    <s v="Hallway"/>
    <n v="0"/>
    <n v="0"/>
    <n v="0"/>
    <n v="185.38"/>
    <n v="185.38"/>
    <n v="185.38"/>
    <n v="185.38"/>
    <n v="185.38"/>
    <n v="185.38"/>
    <n v="185.38"/>
    <n v="185.38"/>
    <n v="185.38"/>
    <n v="185.38"/>
    <n v="185.38"/>
    <n v="185.38"/>
    <n v="185.38"/>
    <n v="185.38"/>
  </r>
  <r>
    <x v="3"/>
    <s v="Hallway"/>
    <n v="0"/>
    <n v="0"/>
    <n v="0"/>
    <n v="0"/>
    <n v="0"/>
    <n v="0"/>
    <n v="0"/>
    <n v="0"/>
    <n v="0"/>
    <n v="0"/>
    <n v="0"/>
    <n v="0"/>
    <n v="0"/>
    <n v="0"/>
    <n v="59.92"/>
    <n v="59.92"/>
    <n v="59.92"/>
  </r>
  <r>
    <x v="3"/>
    <s v="Hallway"/>
    <n v="0"/>
    <n v="0"/>
    <n v="0"/>
    <n v="0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  <n v="272.16000000000003"/>
  </r>
  <r>
    <x v="3"/>
    <s v="Hallway"/>
    <n v="0"/>
    <n v="0"/>
    <n v="0"/>
    <n v="231.28749999999999"/>
    <n v="231.28749999999999"/>
    <n v="231.28749999999999"/>
    <n v="231.28749999999999"/>
    <n v="462.57499999999999"/>
    <n v="462.57499999999999"/>
    <n v="462.57499999999999"/>
    <n v="462.57499999999999"/>
    <n v="925.15"/>
    <n v="925.15"/>
    <n v="925.15"/>
    <n v="925.15"/>
    <n v="925.15"/>
    <n v="925.15"/>
  </r>
  <r>
    <x v="3"/>
    <s v="Hallway"/>
    <n v="0"/>
    <n v="0"/>
    <n v="0"/>
    <n v="73.64"/>
    <n v="73.64"/>
    <n v="73.64"/>
    <n v="73.64"/>
    <n v="73.64"/>
    <n v="73.64"/>
    <n v="73.64"/>
    <n v="73.64"/>
    <n v="73.64"/>
    <n v="73.64"/>
    <n v="73.64"/>
    <n v="73.64"/>
    <n v="73.64"/>
    <n v="73.64"/>
  </r>
  <r>
    <x v="3"/>
    <s v="Hallway"/>
    <n v="0"/>
    <n v="0"/>
    <n v="0"/>
    <n v="173.29"/>
    <n v="173.29"/>
    <n v="173.29"/>
    <n v="173.29"/>
    <n v="173.29"/>
    <n v="173.29"/>
    <n v="173.29"/>
    <n v="173.29"/>
    <n v="173.29"/>
    <n v="173.29"/>
    <n v="173.29"/>
    <n v="173.29"/>
    <n v="173.29"/>
    <n v="173.29"/>
  </r>
  <r>
    <x v="3"/>
    <s v="Hallway"/>
    <n v="0"/>
    <n v="0"/>
    <n v="0"/>
    <n v="29.734999999999999"/>
    <n v="29.734999999999999"/>
    <n v="29.734999999999999"/>
    <n v="29.734999999999999"/>
    <n v="59.47"/>
    <n v="59.47"/>
    <n v="59.47"/>
    <n v="59.47"/>
    <n v="118.94"/>
    <n v="118.94"/>
    <n v="118.94"/>
    <n v="118.94"/>
    <n v="118.94"/>
    <n v="118.94"/>
  </r>
  <r>
    <x v="3"/>
    <s v="Hallway"/>
    <n v="0"/>
    <n v="0"/>
    <n v="0"/>
    <n v="0"/>
    <n v="0"/>
    <n v="0"/>
    <n v="0"/>
    <n v="0"/>
    <n v="0"/>
    <n v="0"/>
    <n v="0"/>
    <n v="0"/>
    <n v="0"/>
    <n v="0"/>
    <n v="30.82"/>
    <n v="30.82"/>
    <n v="30.82"/>
  </r>
  <r>
    <x v="3"/>
    <s v="Hallway"/>
    <n v="0"/>
    <n v="0"/>
    <n v="0"/>
    <n v="32.54"/>
    <n v="32.54"/>
    <n v="32.54"/>
    <n v="32.54"/>
    <n v="32.54"/>
    <n v="32.54"/>
    <n v="32.54"/>
    <n v="32.54"/>
    <n v="32.54"/>
    <n v="32.54"/>
    <n v="32.54"/>
    <n v="32.54"/>
    <n v="32.54"/>
    <n v="32.54"/>
  </r>
  <r>
    <x v="3"/>
    <s v="Hallway"/>
    <n v="0"/>
    <n v="0"/>
    <n v="0"/>
    <n v="0"/>
    <n v="0"/>
    <n v="0"/>
    <n v="157.44"/>
    <n v="157.44"/>
    <n v="157.44"/>
    <n v="157.44"/>
    <n v="157.44"/>
    <n v="157.44"/>
    <n v="157.44"/>
    <n v="157.44"/>
    <n v="157.44"/>
    <n v="157.44"/>
    <n v="157.44"/>
  </r>
  <r>
    <x v="3"/>
    <s v="Hallway"/>
    <n v="0"/>
    <n v="0"/>
    <n v="0"/>
    <n v="81.98"/>
    <n v="81.98"/>
    <n v="81.98"/>
    <n v="81.98"/>
    <n v="81.98"/>
    <n v="81.98"/>
    <n v="81.98"/>
    <n v="81.98"/>
    <n v="81.98"/>
    <n v="81.98"/>
    <n v="81.98"/>
    <n v="81.98"/>
    <n v="81.98"/>
    <n v="81.98"/>
  </r>
  <r>
    <x v="3"/>
    <s v="Hallway"/>
    <n v="0"/>
    <n v="0"/>
    <n v="0"/>
    <n v="206.4"/>
    <n v="206.4"/>
    <n v="206.4"/>
    <n v="206.4"/>
    <n v="206.4"/>
    <n v="206.4"/>
    <n v="206.4"/>
    <n v="206.4"/>
    <n v="206.4"/>
    <n v="206.4"/>
    <n v="206.4"/>
    <n v="206.4"/>
    <n v="206.4"/>
    <n v="206.4"/>
  </r>
  <r>
    <x v="3"/>
    <s v="Hallway"/>
    <n v="0"/>
    <n v="0"/>
    <n v="0"/>
    <n v="7.2"/>
    <n v="7.2"/>
    <n v="7.2"/>
    <n v="7.2"/>
    <n v="7.2"/>
    <n v="7.2"/>
    <n v="7.2"/>
    <n v="7.2"/>
    <n v="7.2"/>
    <n v="7.2"/>
    <n v="7.2"/>
    <n v="7.2"/>
    <n v="7.2"/>
    <n v="7.2"/>
  </r>
  <r>
    <x v="3"/>
    <s v="Hallway"/>
    <n v="0"/>
    <n v="0"/>
    <n v="0"/>
    <n v="58.54"/>
    <n v="58.54"/>
    <n v="58.54"/>
    <n v="58.54"/>
    <n v="58.54"/>
    <n v="58.54"/>
    <n v="58.54"/>
    <n v="58.54"/>
    <n v="58.54"/>
    <n v="58.54"/>
    <n v="58.54"/>
    <n v="58.54"/>
    <n v="58.54"/>
    <n v="58.54"/>
  </r>
  <r>
    <x v="2"/>
    <s v="Dining Room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0"/>
    <n v="0"/>
    <n v="0"/>
    <n v="0"/>
    <n v="0"/>
    <n v="0"/>
    <n v="0"/>
    <n v="49.71"/>
    <n v="49.71"/>
    <n v="49.71"/>
    <n v="49.71"/>
    <n v="49.71"/>
    <n v="49.71"/>
  </r>
  <r>
    <x v="2"/>
    <s v="Dining Room"/>
    <n v="0"/>
    <n v="0"/>
    <n v="0"/>
    <n v="342.91"/>
    <n v="342.91"/>
    <n v="342.91"/>
    <n v="342.91"/>
    <n v="342.91"/>
    <n v="342.91"/>
    <n v="342.91"/>
    <n v="342.91"/>
    <n v="342.91"/>
    <n v="342.91"/>
    <n v="342.91"/>
    <n v="342.91"/>
    <n v="342.91"/>
    <n v="342.91"/>
  </r>
  <r>
    <x v="2"/>
    <s v="Dining Room"/>
    <n v="0"/>
    <n v="0"/>
    <n v="0"/>
    <n v="0"/>
    <n v="0"/>
    <n v="0"/>
    <n v="0"/>
    <n v="0"/>
    <n v="0"/>
    <n v="0"/>
    <n v="0"/>
    <n v="0"/>
    <n v="0"/>
    <n v="0"/>
    <n v="110.85"/>
    <n v="110.85"/>
    <n v="110.85"/>
  </r>
  <r>
    <x v="2"/>
    <s v="Dining Room"/>
    <n v="0"/>
    <n v="0"/>
    <n v="0"/>
    <n v="0"/>
    <n v="503.5"/>
    <n v="503.5"/>
    <n v="503.5"/>
    <n v="503.5"/>
    <n v="503.5"/>
    <n v="503.5"/>
    <n v="503.5"/>
    <n v="503.5"/>
    <n v="503.5"/>
    <n v="503.5"/>
    <n v="503.5"/>
    <n v="503.5"/>
    <n v="503.5"/>
  </r>
  <r>
    <x v="2"/>
    <s v="Dining Room"/>
    <n v="0"/>
    <n v="0"/>
    <n v="0"/>
    <n v="427.86250000000001"/>
    <n v="427.86250000000001"/>
    <n v="427.86250000000001"/>
    <n v="427.86250000000001"/>
    <n v="855.72500000000002"/>
    <n v="855.72500000000002"/>
    <n v="855.72500000000002"/>
    <n v="855.72500000000002"/>
    <n v="1711.45"/>
    <n v="1711.45"/>
    <n v="1711.45"/>
    <n v="1711.45"/>
    <n v="1711.45"/>
    <n v="1711.45"/>
  </r>
  <r>
    <x v="2"/>
    <s v="Dining Room"/>
    <n v="0"/>
    <n v="0"/>
    <n v="0"/>
    <n v="136.24"/>
    <n v="136.24"/>
    <n v="136.24"/>
    <n v="136.24"/>
    <n v="136.24"/>
    <n v="136.24"/>
    <n v="136.24"/>
    <n v="136.24"/>
    <n v="136.24"/>
    <n v="136.24"/>
    <n v="136.24"/>
    <n v="136.24"/>
    <n v="136.24"/>
    <n v="136.24"/>
  </r>
  <r>
    <x v="2"/>
    <s v="Dining Room"/>
    <n v="0"/>
    <n v="0"/>
    <n v="0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  <n v="320.66000000000003"/>
  </r>
  <r>
    <x v="2"/>
    <s v="Dining Room"/>
    <n v="0"/>
    <n v="0"/>
    <n v="0"/>
    <n v="140.315"/>
    <n v="140.315"/>
    <n v="140.315"/>
    <n v="140.315"/>
    <n v="280.63"/>
    <n v="280.63"/>
    <n v="280.63"/>
    <n v="280.63"/>
    <n v="561.26"/>
    <n v="561.26"/>
    <n v="561.26"/>
    <n v="561.26"/>
    <n v="561.26"/>
    <n v="561.26"/>
  </r>
  <r>
    <x v="2"/>
    <s v="Dining Room"/>
    <n v="0"/>
    <n v="0"/>
    <n v="0"/>
    <n v="0"/>
    <n v="0"/>
    <n v="0"/>
    <n v="0"/>
    <n v="0"/>
    <n v="0"/>
    <n v="0"/>
    <n v="0"/>
    <n v="0"/>
    <n v="0"/>
    <n v="0"/>
    <n v="145.41999999999999"/>
    <n v="145.41999999999999"/>
    <n v="145.41999999999999"/>
  </r>
  <r>
    <x v="2"/>
    <s v="Dining Room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x v="2"/>
    <s v="Dining Room"/>
    <n v="0"/>
    <n v="0"/>
    <n v="0"/>
    <n v="0"/>
    <n v="0"/>
    <n v="0"/>
    <n v="596.5"/>
    <n v="596.5"/>
    <n v="596.5"/>
    <n v="596.5"/>
    <n v="596.5"/>
    <n v="596.5"/>
    <n v="596.5"/>
    <n v="596.5"/>
    <n v="596.5"/>
    <n v="596.5"/>
    <n v="596.5"/>
  </r>
  <r>
    <x v="2"/>
    <s v="Dining Room"/>
    <n v="0"/>
    <n v="0"/>
    <n v="0"/>
    <n v="310.67"/>
    <n v="310.67"/>
    <n v="310.67"/>
    <n v="310.67"/>
    <n v="310.67"/>
    <n v="310.67"/>
    <n v="310.67"/>
    <n v="310.67"/>
    <n v="310.67"/>
    <n v="310.67"/>
    <n v="310.67"/>
    <n v="310.67"/>
    <n v="310.67"/>
    <n v="310.67"/>
  </r>
  <r>
    <x v="2"/>
    <s v="Dining Room"/>
    <n v="0"/>
    <n v="0"/>
    <n v="0"/>
    <n v="782.13"/>
    <n v="782.13"/>
    <n v="782.13"/>
    <n v="782.13"/>
    <n v="782.13"/>
    <n v="782.13"/>
    <n v="782.13"/>
    <n v="782.13"/>
    <n v="782.13"/>
    <n v="782.13"/>
    <n v="782.13"/>
    <n v="782.13"/>
    <n v="782.13"/>
    <n v="782.13"/>
  </r>
  <r>
    <x v="2"/>
    <s v="Dining Room"/>
    <n v="0"/>
    <n v="0"/>
    <n v="0"/>
    <n v="33.99"/>
    <n v="33.99"/>
    <n v="33.99"/>
    <n v="33.99"/>
    <n v="33.99"/>
    <n v="33.99"/>
    <n v="33.99"/>
    <n v="33.99"/>
    <n v="33.99"/>
    <n v="33.99"/>
    <n v="33.99"/>
    <n v="33.99"/>
    <n v="33.99"/>
    <n v="33.99"/>
  </r>
  <r>
    <x v="2"/>
    <s v="Dining Room"/>
    <n v="0"/>
    <n v="0"/>
    <n v="0"/>
    <n v="276.24"/>
    <n v="276.24"/>
    <n v="276.24"/>
    <n v="276.24"/>
    <n v="276.24"/>
    <n v="276.24"/>
    <n v="276.24"/>
    <n v="276.24"/>
    <n v="276.24"/>
    <n v="276.24"/>
    <n v="276.24"/>
    <n v="276.24"/>
    <n v="276.24"/>
    <n v="276.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8EC38-10DF-42A6-A3ED-B0A37D730BC0}" name="grp3pivot" cacheId="6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51D78-E259-45BF-AD03-0BAAE1DA6A0A}" name="grp2pivot" cacheId="6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71A5-3836-451B-85E1-1CCD0FC17824}">
  <sheetPr codeName="Sheet2">
    <tabColor rgb="FF92D050"/>
  </sheetPr>
  <dimension ref="A1:J75"/>
  <sheetViews>
    <sheetView workbookViewId="0">
      <selection activeCell="D20" sqref="D20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168</v>
      </c>
      <c r="D1" s="133" t="s">
        <v>169</v>
      </c>
      <c r="E1" t="s">
        <v>170</v>
      </c>
      <c r="F1" t="s">
        <v>171</v>
      </c>
      <c r="G1" s="134" t="s">
        <v>172</v>
      </c>
      <c r="H1" s="134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5" t="s">
        <v>177</v>
      </c>
      <c r="E2">
        <f>D25</f>
        <v>2</v>
      </c>
      <c r="F2" t="s">
        <v>178</v>
      </c>
      <c r="G2" s="134" t="s">
        <v>61</v>
      </c>
      <c r="H2" s="134" t="s">
        <v>144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143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144</v>
      </c>
    </row>
    <row r="18" spans="3:5" x14ac:dyDescent="0.25">
      <c r="C18" s="3" t="s">
        <v>189</v>
      </c>
      <c r="D18" s="138">
        <v>1200</v>
      </c>
    </row>
    <row r="19" spans="3:5" x14ac:dyDescent="0.25">
      <c r="C19" s="3" t="s">
        <v>190</v>
      </c>
      <c r="D19" s="133" t="s">
        <v>191</v>
      </c>
    </row>
    <row r="20" spans="3:5" x14ac:dyDescent="0.25">
      <c r="C20" s="3" t="s">
        <v>192</v>
      </c>
      <c r="D20" s="133" t="s">
        <v>193</v>
      </c>
    </row>
    <row r="21" spans="3:5" x14ac:dyDescent="0.25">
      <c r="C21" s="3" t="s">
        <v>194</v>
      </c>
      <c r="D21" s="133" t="s">
        <v>193</v>
      </c>
    </row>
    <row r="22" spans="3:5" x14ac:dyDescent="0.25">
      <c r="C22" s="3" t="s">
        <v>195</v>
      </c>
      <c r="D22" s="133" t="s">
        <v>193</v>
      </c>
    </row>
    <row r="24" spans="3:5" x14ac:dyDescent="0.25">
      <c r="C24" s="3" t="s">
        <v>196</v>
      </c>
      <c r="D24" s="133" t="s">
        <v>197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198</v>
      </c>
      <c r="D26" s="133" t="s">
        <v>61</v>
      </c>
      <c r="E26" s="139">
        <v>1</v>
      </c>
    </row>
    <row r="27" spans="3:5" x14ac:dyDescent="0.25">
      <c r="C27" s="3" t="s">
        <v>199</v>
      </c>
      <c r="D27" s="140">
        <v>0</v>
      </c>
    </row>
    <row r="28" spans="3:5" x14ac:dyDescent="0.25">
      <c r="C28" s="3" t="s">
        <v>200</v>
      </c>
      <c r="D28" s="133" t="s">
        <v>144</v>
      </c>
    </row>
    <row r="29" spans="3:5" x14ac:dyDescent="0.25">
      <c r="C29" s="3" t="s">
        <v>201</v>
      </c>
      <c r="D29" s="133" t="s">
        <v>144</v>
      </c>
    </row>
    <row r="30" spans="3:5" x14ac:dyDescent="0.25">
      <c r="C30" s="3" t="s">
        <v>202</v>
      </c>
      <c r="D30" s="133" t="s">
        <v>203</v>
      </c>
    </row>
    <row r="31" spans="3:5" x14ac:dyDescent="0.25">
      <c r="C31" s="3" t="s">
        <v>204</v>
      </c>
      <c r="D31" s="133" t="s">
        <v>205</v>
      </c>
    </row>
    <row r="32" spans="3:5" ht="30" x14ac:dyDescent="0.25">
      <c r="C32" s="3" t="s">
        <v>206</v>
      </c>
      <c r="D32" s="133" t="s">
        <v>207</v>
      </c>
    </row>
    <row r="33" spans="1:4" x14ac:dyDescent="0.25">
      <c r="C33" s="3" t="s">
        <v>208</v>
      </c>
      <c r="D33" s="133" t="s">
        <v>209</v>
      </c>
    </row>
    <row r="34" spans="1:4" x14ac:dyDescent="0.25">
      <c r="C34" s="3" t="s">
        <v>210</v>
      </c>
      <c r="D34" s="133" t="s">
        <v>211</v>
      </c>
    </row>
    <row r="35" spans="1:4" x14ac:dyDescent="0.25">
      <c r="C35" s="3" t="s">
        <v>212</v>
      </c>
      <c r="D35" s="133" t="s">
        <v>213</v>
      </c>
    </row>
    <row r="36" spans="1:4" x14ac:dyDescent="0.25">
      <c r="C36" s="3" t="s">
        <v>214</v>
      </c>
      <c r="D36" s="133" t="s">
        <v>143</v>
      </c>
    </row>
    <row r="37" spans="1:4" ht="30" x14ac:dyDescent="0.25">
      <c r="C37" s="3" t="s">
        <v>215</v>
      </c>
      <c r="D37" s="133" t="s">
        <v>216</v>
      </c>
    </row>
    <row r="38" spans="1:4" x14ac:dyDescent="0.25">
      <c r="C38" s="3" t="s">
        <v>217</v>
      </c>
      <c r="D38" s="133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3" t="s">
        <v>221</v>
      </c>
    </row>
    <row r="42" spans="1:4" x14ac:dyDescent="0.25">
      <c r="C42" s="3" t="s">
        <v>222</v>
      </c>
      <c r="D42" s="133" t="s">
        <v>223</v>
      </c>
    </row>
    <row r="43" spans="1:4" x14ac:dyDescent="0.25">
      <c r="C43" s="3" t="s">
        <v>224</v>
      </c>
      <c r="D43" s="133" t="s">
        <v>143</v>
      </c>
    </row>
    <row r="44" spans="1:4" x14ac:dyDescent="0.25">
      <c r="C44" s="3" t="s">
        <v>225</v>
      </c>
      <c r="D44" s="133" t="s">
        <v>143</v>
      </c>
    </row>
    <row r="45" spans="1:4" ht="30" x14ac:dyDescent="0.25">
      <c r="C45" s="3" t="s">
        <v>226</v>
      </c>
      <c r="D45" s="133" t="s">
        <v>227</v>
      </c>
    </row>
    <row r="46" spans="1:4" x14ac:dyDescent="0.25">
      <c r="C46" s="3" t="s">
        <v>228</v>
      </c>
      <c r="D46" s="133" t="s">
        <v>143</v>
      </c>
    </row>
    <row r="47" spans="1:4" x14ac:dyDescent="0.25">
      <c r="C47" s="3" t="s">
        <v>229</v>
      </c>
      <c r="D47" s="133" t="s">
        <v>143</v>
      </c>
    </row>
    <row r="48" spans="1:4" x14ac:dyDescent="0.25">
      <c r="A48" t="s">
        <v>219</v>
      </c>
    </row>
    <row r="49" spans="1:10" x14ac:dyDescent="0.25">
      <c r="C49" s="3" t="s">
        <v>230</v>
      </c>
      <c r="D49" s="133">
        <v>8</v>
      </c>
    </row>
    <row r="50" spans="1:10" x14ac:dyDescent="0.25">
      <c r="C50" s="3" t="s">
        <v>231</v>
      </c>
      <c r="D50" s="133" t="s">
        <v>232</v>
      </c>
    </row>
    <row r="51" spans="1:1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236</v>
      </c>
    </row>
    <row r="53" spans="1:10" x14ac:dyDescent="0.25">
      <c r="C53" s="3" t="s">
        <v>237</v>
      </c>
      <c r="D53" s="133" t="s">
        <v>238</v>
      </c>
      <c r="E53" s="141" t="s">
        <v>12</v>
      </c>
      <c r="F53" s="141" t="s">
        <v>239</v>
      </c>
    </row>
    <row r="54" spans="1:10" x14ac:dyDescent="0.25">
      <c r="C54" s="3" t="s">
        <v>240</v>
      </c>
      <c r="D54" s="133" t="s">
        <v>241</v>
      </c>
    </row>
    <row r="55" spans="1:10" x14ac:dyDescent="0.25">
      <c r="C55" s="3" t="s">
        <v>242</v>
      </c>
      <c r="D55" s="133" t="s">
        <v>143</v>
      </c>
    </row>
    <row r="56" spans="1:10" x14ac:dyDescent="0.25">
      <c r="C56" s="3" t="s">
        <v>243</v>
      </c>
      <c r="D56" s="133" t="s">
        <v>244</v>
      </c>
    </row>
    <row r="57" spans="1:10" x14ac:dyDescent="0.25">
      <c r="C57" s="3" t="s">
        <v>245</v>
      </c>
      <c r="D57" s="133" t="s">
        <v>143</v>
      </c>
    </row>
    <row r="58" spans="1:10" x14ac:dyDescent="0.25">
      <c r="C58" s="3" t="s">
        <v>246</v>
      </c>
      <c r="D58" s="133" t="s">
        <v>247</v>
      </c>
    </row>
    <row r="59" spans="1:10" x14ac:dyDescent="0.25">
      <c r="C59" s="3" t="s">
        <v>248</v>
      </c>
      <c r="D59" s="133" t="s">
        <v>143</v>
      </c>
    </row>
    <row r="60" spans="1:10" x14ac:dyDescent="0.25">
      <c r="C60" s="3" t="s">
        <v>249</v>
      </c>
      <c r="D60" s="133" t="s">
        <v>143</v>
      </c>
    </row>
    <row r="61" spans="1:10" x14ac:dyDescent="0.25">
      <c r="C61" s="3" t="s">
        <v>250</v>
      </c>
      <c r="D61" s="133" t="s">
        <v>143</v>
      </c>
    </row>
    <row r="63" spans="1:10" x14ac:dyDescent="0.25">
      <c r="A63" t="s">
        <v>145</v>
      </c>
      <c r="C63" s="3"/>
    </row>
    <row r="64" spans="1:10" ht="30" x14ac:dyDescent="0.25">
      <c r="B64" s="142" t="s">
        <v>251</v>
      </c>
      <c r="C64" s="142" t="s">
        <v>252</v>
      </c>
      <c r="D64" s="143" t="s">
        <v>169</v>
      </c>
      <c r="E64" s="143" t="s">
        <v>171</v>
      </c>
      <c r="F64" s="142" t="s">
        <v>253</v>
      </c>
      <c r="G64" s="143" t="s">
        <v>254</v>
      </c>
      <c r="H64" s="143" t="s">
        <v>255</v>
      </c>
      <c r="I64" s="142" t="s">
        <v>256</v>
      </c>
      <c r="J64" s="143" t="s">
        <v>257</v>
      </c>
    </row>
    <row r="65" spans="1:10" ht="45" x14ac:dyDescent="0.25">
      <c r="B65" t="s">
        <v>7</v>
      </c>
      <c r="C65" s="3" t="s">
        <v>12</v>
      </c>
      <c r="D65" s="133" t="s">
        <v>7</v>
      </c>
      <c r="E65" t="s">
        <v>258</v>
      </c>
      <c r="F65" t="s">
        <v>143</v>
      </c>
      <c r="G65" s="134" t="s">
        <v>143</v>
      </c>
      <c r="H65" s="134" t="s">
        <v>259</v>
      </c>
      <c r="I65" t="s">
        <v>260</v>
      </c>
      <c r="J65" s="134" t="s">
        <v>261</v>
      </c>
    </row>
    <row r="66" spans="1:10" ht="30" x14ac:dyDescent="0.25">
      <c r="B66" t="s">
        <v>262</v>
      </c>
      <c r="C66" s="3" t="s">
        <v>51</v>
      </c>
      <c r="D66" s="133" t="s">
        <v>13</v>
      </c>
      <c r="E66" t="s">
        <v>258</v>
      </c>
      <c r="F66" t="s">
        <v>143</v>
      </c>
      <c r="G66" s="134" t="s">
        <v>143</v>
      </c>
      <c r="H66" s="134" t="s">
        <v>263</v>
      </c>
      <c r="I66" t="s">
        <v>260</v>
      </c>
      <c r="J66" s="134" t="s">
        <v>143</v>
      </c>
    </row>
    <row r="67" spans="1:10" x14ac:dyDescent="0.25">
      <c r="B67" t="s">
        <v>264</v>
      </c>
      <c r="C67" s="3" t="s">
        <v>12</v>
      </c>
      <c r="D67" s="133" t="s">
        <v>147</v>
      </c>
      <c r="E67" t="s">
        <v>178</v>
      </c>
      <c r="F67" t="s">
        <v>143</v>
      </c>
      <c r="G67" s="134" t="s">
        <v>143</v>
      </c>
      <c r="I67" t="s">
        <v>260</v>
      </c>
    </row>
    <row r="68" spans="1:10" x14ac:dyDescent="0.25">
      <c r="B68" t="s">
        <v>4</v>
      </c>
      <c r="C68" s="3" t="s">
        <v>51</v>
      </c>
      <c r="D68" s="133" t="s">
        <v>4</v>
      </c>
      <c r="E68" t="s">
        <v>258</v>
      </c>
      <c r="F68" t="s">
        <v>143</v>
      </c>
      <c r="G68" t="s">
        <v>143</v>
      </c>
    </row>
    <row r="69" spans="1:10" x14ac:dyDescent="0.25">
      <c r="B69" t="s">
        <v>265</v>
      </c>
      <c r="C69" s="3" t="s">
        <v>51</v>
      </c>
      <c r="D69" s="133" t="s">
        <v>4</v>
      </c>
      <c r="E69" t="s">
        <v>258</v>
      </c>
      <c r="F69" t="s">
        <v>143</v>
      </c>
      <c r="G69" t="s">
        <v>143</v>
      </c>
    </row>
    <row r="70" spans="1:10" x14ac:dyDescent="0.25">
      <c r="B70" t="s">
        <v>266</v>
      </c>
      <c r="C70" s="3" t="s">
        <v>51</v>
      </c>
      <c r="D70" s="133" t="s">
        <v>4</v>
      </c>
      <c r="E70" t="s">
        <v>267</v>
      </c>
      <c r="F70" t="s">
        <v>143</v>
      </c>
      <c r="G70" t="s">
        <v>143</v>
      </c>
    </row>
    <row r="71" spans="1:10" x14ac:dyDescent="0.25">
      <c r="B71" t="s">
        <v>268</v>
      </c>
      <c r="C71" s="3" t="s">
        <v>12</v>
      </c>
      <c r="D71" s="133" t="s">
        <v>14</v>
      </c>
      <c r="E71" t="s">
        <v>267</v>
      </c>
      <c r="F71" t="s">
        <v>143</v>
      </c>
      <c r="G71" t="s">
        <v>143</v>
      </c>
    </row>
    <row r="72" spans="1:10" x14ac:dyDescent="0.25">
      <c r="B72" t="s">
        <v>269</v>
      </c>
      <c r="C72" s="3" t="s">
        <v>12</v>
      </c>
      <c r="D72" s="133" t="s">
        <v>135</v>
      </c>
      <c r="E72" t="s">
        <v>178</v>
      </c>
      <c r="F72" t="s">
        <v>143</v>
      </c>
      <c r="G72" t="s">
        <v>143</v>
      </c>
    </row>
    <row r="73" spans="1:10" s="134" customFormat="1" x14ac:dyDescent="0.25">
      <c r="A73"/>
      <c r="B73" t="s">
        <v>6</v>
      </c>
      <c r="C73" s="3" t="s">
        <v>51</v>
      </c>
      <c r="D73" s="133" t="s">
        <v>6</v>
      </c>
      <c r="E73" t="s">
        <v>178</v>
      </c>
      <c r="F73" t="s">
        <v>143</v>
      </c>
      <c r="G73" t="s">
        <v>143</v>
      </c>
      <c r="I73"/>
    </row>
    <row r="74" spans="1:10" s="134" customFormat="1" x14ac:dyDescent="0.25">
      <c r="A74"/>
      <c r="B74" t="s">
        <v>5</v>
      </c>
      <c r="C74" s="3" t="s">
        <v>12</v>
      </c>
      <c r="D74" s="133" t="s">
        <v>5</v>
      </c>
      <c r="E74" t="s">
        <v>178</v>
      </c>
      <c r="F74" t="s">
        <v>143</v>
      </c>
      <c r="G74" t="s">
        <v>143</v>
      </c>
      <c r="I74"/>
    </row>
    <row r="75" spans="1:10" s="134" customFormat="1" x14ac:dyDescent="0.25">
      <c r="A75"/>
      <c r="B75" t="s">
        <v>270</v>
      </c>
      <c r="C75" s="3" t="s">
        <v>51</v>
      </c>
      <c r="D75" s="133" t="s">
        <v>15</v>
      </c>
      <c r="E75" t="s">
        <v>178</v>
      </c>
      <c r="F75" t="s">
        <v>143</v>
      </c>
      <c r="G75" t="s">
        <v>143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6" workbookViewId="0">
      <selection activeCell="I20" sqref="I20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167</v>
      </c>
      <c r="E6" s="21" t="b">
        <f>COUNTIF(E8:E14,TRUE)&gt;0</f>
        <v>1</v>
      </c>
      <c r="F6" s="51" t="s">
        <v>275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16"/>
      <c r="B8" s="115"/>
      <c r="C8" s="16" t="s">
        <v>76</v>
      </c>
      <c r="D8" s="87" t="s">
        <v>272</v>
      </c>
      <c r="E8" s="21" t="b">
        <v>1</v>
      </c>
      <c r="F8" s="117" t="s">
        <v>74</v>
      </c>
      <c r="G8" t="s">
        <v>92</v>
      </c>
    </row>
    <row r="9" spans="1:8" x14ac:dyDescent="0.25">
      <c r="A9" s="116"/>
      <c r="B9" s="115"/>
      <c r="C9" s="16" t="s">
        <v>80</v>
      </c>
      <c r="D9" s="87" t="s">
        <v>271</v>
      </c>
      <c r="E9" s="21" t="b">
        <v>1</v>
      </c>
      <c r="F9" s="118"/>
      <c r="G9" t="s">
        <v>91</v>
      </c>
    </row>
    <row r="10" spans="1:8" x14ac:dyDescent="0.25">
      <c r="A10" s="116"/>
      <c r="B10" s="115"/>
      <c r="C10" s="16" t="s">
        <v>71</v>
      </c>
      <c r="D10" s="89">
        <v>2</v>
      </c>
      <c r="E10" s="21" t="b">
        <v>1</v>
      </c>
      <c r="F10" s="119" t="s">
        <v>93</v>
      </c>
      <c r="G10" t="s">
        <v>91</v>
      </c>
    </row>
    <row r="11" spans="1:8" x14ac:dyDescent="0.25">
      <c r="A11" s="116"/>
      <c r="B11" s="115"/>
      <c r="C11" s="16" t="s">
        <v>72</v>
      </c>
      <c r="D11" s="89" t="s">
        <v>61</v>
      </c>
      <c r="E11" s="21" t="b">
        <v>1</v>
      </c>
      <c r="F11" s="119"/>
      <c r="G11" t="s">
        <v>91</v>
      </c>
    </row>
    <row r="12" spans="1:8" x14ac:dyDescent="0.25">
      <c r="A12" s="116"/>
      <c r="B12" s="115"/>
      <c r="C12" s="16" t="s">
        <v>70</v>
      </c>
      <c r="D12" s="89" t="s">
        <v>12</v>
      </c>
      <c r="E12" s="21" t="b">
        <v>1</v>
      </c>
      <c r="F12" s="119"/>
      <c r="G12" t="s">
        <v>91</v>
      </c>
    </row>
    <row r="13" spans="1:8" x14ac:dyDescent="0.25">
      <c r="A13" s="116"/>
      <c r="B13" s="115"/>
      <c r="C13" s="16" t="s">
        <v>88</v>
      </c>
      <c r="D13" s="89" t="s">
        <v>273</v>
      </c>
      <c r="E13" s="21" t="b">
        <v>1</v>
      </c>
      <c r="F13" s="114" t="s">
        <v>75</v>
      </c>
      <c r="G13" t="s">
        <v>92</v>
      </c>
    </row>
    <row r="14" spans="1:8" x14ac:dyDescent="0.25">
      <c r="A14" s="116"/>
      <c r="B14" s="115"/>
      <c r="C14" s="16" t="s">
        <v>73</v>
      </c>
      <c r="D14" s="89" t="s">
        <v>274</v>
      </c>
      <c r="E14" s="21" t="b">
        <v>1</v>
      </c>
      <c r="F14" s="114"/>
      <c r="G14" t="s">
        <v>92</v>
      </c>
    </row>
    <row r="15" spans="1:8" ht="15" customHeight="1" x14ac:dyDescent="0.25">
      <c r="C15" s="30" t="s">
        <v>89</v>
      </c>
      <c r="D15" s="87" t="s">
        <v>590</v>
      </c>
      <c r="E15" s="31" t="b">
        <v>1</v>
      </c>
      <c r="F15" s="35" t="s">
        <v>132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275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589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610</v>
      </c>
      <c r="H22" s="111" t="s">
        <v>157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610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617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617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617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624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358D-0C4E-419B-8F4E-355402AD58C0}">
  <sheetPr codeName="Sheet10"/>
  <dimension ref="A1:AZ350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7" t="s">
        <v>615</v>
      </c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9"/>
      <c r="AJ1" s="147" t="s">
        <v>616</v>
      </c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9"/>
    </row>
    <row r="2" spans="1:52" x14ac:dyDescent="0.25">
      <c r="A2" s="144" t="s">
        <v>276</v>
      </c>
      <c r="B2" s="145" t="s">
        <v>277</v>
      </c>
      <c r="C2" s="145" t="s">
        <v>278</v>
      </c>
      <c r="D2" s="145" t="s">
        <v>279</v>
      </c>
      <c r="E2" s="145" t="s">
        <v>280</v>
      </c>
      <c r="F2" s="145" t="s">
        <v>281</v>
      </c>
      <c r="G2" s="145" t="s">
        <v>282</v>
      </c>
      <c r="H2" s="145" t="s">
        <v>283</v>
      </c>
      <c r="I2" s="145" t="s">
        <v>284</v>
      </c>
      <c r="J2" s="145" t="s">
        <v>285</v>
      </c>
      <c r="K2" s="145" t="s">
        <v>490</v>
      </c>
      <c r="L2" s="145" t="s">
        <v>95</v>
      </c>
      <c r="M2" s="145" t="s">
        <v>491</v>
      </c>
      <c r="N2" s="145" t="s">
        <v>611</v>
      </c>
      <c r="O2" s="146" t="s">
        <v>612</v>
      </c>
      <c r="P2" s="144">
        <v>-0.9</v>
      </c>
      <c r="Q2" s="145">
        <v>-0.46</v>
      </c>
      <c r="R2" s="145">
        <v>0</v>
      </c>
      <c r="S2" s="145">
        <v>0.03</v>
      </c>
      <c r="T2" s="145">
        <v>0.05</v>
      </c>
      <c r="U2" s="145">
        <v>0.1</v>
      </c>
      <c r="V2" s="145">
        <v>0.15</v>
      </c>
      <c r="W2" s="145">
        <v>0.3</v>
      </c>
      <c r="X2" s="145">
        <v>0.46</v>
      </c>
      <c r="Y2" s="145">
        <v>0.61</v>
      </c>
      <c r="Z2" s="145">
        <v>0.76</v>
      </c>
      <c r="AA2" s="145">
        <v>0.91</v>
      </c>
      <c r="AB2" s="145">
        <v>1.02</v>
      </c>
      <c r="AC2" s="145">
        <v>1.22</v>
      </c>
      <c r="AD2" s="145">
        <v>1.52</v>
      </c>
      <c r="AE2" s="145">
        <v>1.83</v>
      </c>
      <c r="AF2" s="145">
        <v>2.7</v>
      </c>
      <c r="AG2" s="145" t="s">
        <v>613</v>
      </c>
      <c r="AH2" s="145" t="s">
        <v>614</v>
      </c>
      <c r="AI2" s="145" t="s">
        <v>103</v>
      </c>
      <c r="AJ2" s="145">
        <v>-0.9</v>
      </c>
      <c r="AK2" s="145">
        <v>-0.46</v>
      </c>
      <c r="AL2" s="145">
        <v>0</v>
      </c>
      <c r="AM2" s="145">
        <v>0.03</v>
      </c>
      <c r="AN2" s="145">
        <v>0.05</v>
      </c>
      <c r="AO2" s="145">
        <v>0.1</v>
      </c>
      <c r="AP2" s="145">
        <v>0.15</v>
      </c>
      <c r="AQ2" s="145">
        <v>0.3</v>
      </c>
      <c r="AR2" s="145">
        <v>0.46</v>
      </c>
      <c r="AS2" s="145">
        <v>0.61</v>
      </c>
      <c r="AT2" s="145">
        <v>0.76</v>
      </c>
      <c r="AU2" s="145">
        <v>0.91</v>
      </c>
      <c r="AV2" s="145">
        <v>1.02</v>
      </c>
      <c r="AW2" s="145">
        <v>1.22</v>
      </c>
      <c r="AX2" s="145">
        <v>1.52</v>
      </c>
      <c r="AY2" s="145">
        <v>1.83</v>
      </c>
      <c r="AZ2" s="146">
        <v>2.7</v>
      </c>
    </row>
    <row r="3" spans="1:52" x14ac:dyDescent="0.25">
      <c r="A3">
        <v>1</v>
      </c>
      <c r="B3" t="s">
        <v>286</v>
      </c>
      <c r="C3" t="s">
        <v>287</v>
      </c>
      <c r="D3">
        <v>50</v>
      </c>
      <c r="E3">
        <v>220.5</v>
      </c>
      <c r="F3" t="s">
        <v>288</v>
      </c>
      <c r="G3">
        <v>4.41</v>
      </c>
      <c r="H3">
        <v>264.60000000000002</v>
      </c>
      <c r="I3" t="s">
        <v>289</v>
      </c>
      <c r="J3" t="s">
        <v>290</v>
      </c>
      <c r="K3" t="s">
        <v>492</v>
      </c>
      <c r="L3" t="s">
        <v>203</v>
      </c>
      <c r="M3" t="s">
        <v>493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493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264.60000000000002</v>
      </c>
      <c r="AV3">
        <f>$H$3*$AB$3</f>
        <v>264.60000000000002</v>
      </c>
      <c r="AW3">
        <f>$H$3*$AC$3</f>
        <v>264.60000000000002</v>
      </c>
      <c r="AX3">
        <f>$H$3*$AD$3</f>
        <v>264.60000000000002</v>
      </c>
      <c r="AY3">
        <f>$H$3*$AE$3</f>
        <v>264.60000000000002</v>
      </c>
      <c r="AZ3">
        <f>$H$3*$AF$3</f>
        <v>264.60000000000002</v>
      </c>
    </row>
    <row r="4" spans="1:52" x14ac:dyDescent="0.25">
      <c r="A4">
        <v>2</v>
      </c>
      <c r="B4" t="s">
        <v>286</v>
      </c>
      <c r="C4" t="s">
        <v>291</v>
      </c>
      <c r="D4">
        <v>50</v>
      </c>
      <c r="E4">
        <v>231.5</v>
      </c>
      <c r="F4" t="s">
        <v>288</v>
      </c>
      <c r="G4">
        <v>4.63</v>
      </c>
      <c r="H4">
        <v>277.8</v>
      </c>
      <c r="I4" t="s">
        <v>292</v>
      </c>
      <c r="J4" t="s">
        <v>293</v>
      </c>
      <c r="K4" t="s">
        <v>494</v>
      </c>
      <c r="L4" t="s">
        <v>203</v>
      </c>
      <c r="M4" t="s">
        <v>493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493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277.8</v>
      </c>
      <c r="AV4">
        <f>$H$4*$AB$4</f>
        <v>277.8</v>
      </c>
      <c r="AW4">
        <f>$H$4*$AC$4</f>
        <v>277.8</v>
      </c>
      <c r="AX4">
        <f>$H$4*$AD$4</f>
        <v>277.8</v>
      </c>
      <c r="AY4">
        <f>$H$4*$AE$4</f>
        <v>277.8</v>
      </c>
      <c r="AZ4">
        <f>$H$4*$AF$4</f>
        <v>277.8</v>
      </c>
    </row>
    <row r="5" spans="1:52" x14ac:dyDescent="0.25">
      <c r="A5">
        <v>4</v>
      </c>
      <c r="B5" t="s">
        <v>286</v>
      </c>
      <c r="C5" t="s">
        <v>295</v>
      </c>
      <c r="D5">
        <v>1</v>
      </c>
      <c r="E5">
        <v>94.15</v>
      </c>
      <c r="F5" t="s">
        <v>294</v>
      </c>
      <c r="G5">
        <v>94.15</v>
      </c>
      <c r="H5">
        <v>112.99</v>
      </c>
      <c r="I5" t="s">
        <v>296</v>
      </c>
      <c r="J5" t="s">
        <v>297</v>
      </c>
      <c r="K5" t="s">
        <v>495</v>
      </c>
      <c r="L5" t="s">
        <v>203</v>
      </c>
      <c r="M5" t="s">
        <v>493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493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112.99</v>
      </c>
      <c r="AY5">
        <f>$H$5*$AE$5</f>
        <v>112.99</v>
      </c>
      <c r="AZ5">
        <f>$H$5*$AF$5</f>
        <v>112.99</v>
      </c>
    </row>
    <row r="6" spans="1:52" x14ac:dyDescent="0.25">
      <c r="A6">
        <v>5</v>
      </c>
      <c r="B6" t="s">
        <v>286</v>
      </c>
      <c r="C6" t="s">
        <v>298</v>
      </c>
      <c r="D6">
        <v>1</v>
      </c>
      <c r="E6">
        <v>159.54</v>
      </c>
      <c r="F6" t="s">
        <v>294</v>
      </c>
      <c r="G6">
        <v>159.54</v>
      </c>
      <c r="H6">
        <v>191.44</v>
      </c>
      <c r="I6" t="s">
        <v>299</v>
      </c>
      <c r="J6" t="s">
        <v>300</v>
      </c>
      <c r="K6" t="s">
        <v>496</v>
      </c>
      <c r="L6" t="s">
        <v>203</v>
      </c>
      <c r="M6" t="s">
        <v>493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493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191.44</v>
      </c>
      <c r="AY6">
        <f>$H$6*$AE$6</f>
        <v>191.44</v>
      </c>
      <c r="AZ6">
        <f>$H$6*$AF$6</f>
        <v>191.44</v>
      </c>
    </row>
    <row r="7" spans="1:52" x14ac:dyDescent="0.25">
      <c r="A7">
        <v>6</v>
      </c>
      <c r="B7" t="s">
        <v>286</v>
      </c>
      <c r="C7" t="s">
        <v>301</v>
      </c>
      <c r="D7">
        <v>1</v>
      </c>
      <c r="E7">
        <v>84.78</v>
      </c>
      <c r="F7" t="s">
        <v>294</v>
      </c>
      <c r="G7">
        <v>84.78</v>
      </c>
      <c r="H7">
        <v>101.74</v>
      </c>
      <c r="I7" t="s">
        <v>302</v>
      </c>
      <c r="J7" t="s">
        <v>303</v>
      </c>
      <c r="K7" t="s">
        <v>497</v>
      </c>
      <c r="L7" t="s">
        <v>203</v>
      </c>
      <c r="M7" t="s">
        <v>493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493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286</v>
      </c>
      <c r="C8" t="s">
        <v>304</v>
      </c>
      <c r="D8">
        <v>15</v>
      </c>
      <c r="E8">
        <v>742.5</v>
      </c>
      <c r="F8" t="s">
        <v>288</v>
      </c>
      <c r="G8">
        <v>49.5</v>
      </c>
      <c r="H8">
        <v>891</v>
      </c>
      <c r="I8" t="s">
        <v>289</v>
      </c>
      <c r="J8" t="s">
        <v>305</v>
      </c>
      <c r="K8" t="s">
        <v>498</v>
      </c>
      <c r="L8" t="s">
        <v>203</v>
      </c>
      <c r="M8" t="s">
        <v>493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493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222.75</v>
      </c>
      <c r="AS8">
        <f>$H$8*$Y$8</f>
        <v>222.75</v>
      </c>
      <c r="AT8">
        <f>$H$8*$Z$8</f>
        <v>445.5</v>
      </c>
      <c r="AU8">
        <f>$H$8*$AA$8</f>
        <v>445.5</v>
      </c>
      <c r="AV8">
        <f>$H$8*$AB$8</f>
        <v>891</v>
      </c>
      <c r="AW8">
        <f>$H$8*$AC$8</f>
        <v>891</v>
      </c>
      <c r="AX8">
        <f>$H$8*$AD$8</f>
        <v>891</v>
      </c>
      <c r="AY8">
        <f>$H$8*$AE$8</f>
        <v>891</v>
      </c>
      <c r="AZ8">
        <f>$H$8*$AF$8</f>
        <v>891</v>
      </c>
    </row>
    <row r="9" spans="1:52" x14ac:dyDescent="0.25">
      <c r="A9">
        <v>8</v>
      </c>
      <c r="B9" t="s">
        <v>286</v>
      </c>
      <c r="C9" t="s">
        <v>306</v>
      </c>
      <c r="D9">
        <v>15</v>
      </c>
      <c r="E9">
        <v>2510.1</v>
      </c>
      <c r="F9" t="s">
        <v>288</v>
      </c>
      <c r="G9">
        <v>167.34</v>
      </c>
      <c r="H9">
        <v>3012.12</v>
      </c>
      <c r="I9" t="s">
        <v>292</v>
      </c>
      <c r="J9" t="s">
        <v>307</v>
      </c>
      <c r="K9" t="s">
        <v>499</v>
      </c>
      <c r="L9" t="s">
        <v>203</v>
      </c>
      <c r="M9" t="s">
        <v>493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493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753.03</v>
      </c>
      <c r="AS9">
        <f>$H$9*$Y$9</f>
        <v>753.03</v>
      </c>
      <c r="AT9">
        <f>$H$9*$Z$9</f>
        <v>1506.06</v>
      </c>
      <c r="AU9">
        <f>$H$9*$AA$9</f>
        <v>1506.06</v>
      </c>
      <c r="AV9">
        <f>$H$9*$AB$9</f>
        <v>3012.12</v>
      </c>
      <c r="AW9">
        <f>$H$9*$AC$9</f>
        <v>3012.12</v>
      </c>
      <c r="AX9">
        <f>$H$9*$AD$9</f>
        <v>3012.12</v>
      </c>
      <c r="AY9">
        <f>$H$9*$AE$9</f>
        <v>3012.12</v>
      </c>
      <c r="AZ9">
        <f>$H$9*$AF$9</f>
        <v>3012.12</v>
      </c>
    </row>
    <row r="10" spans="1:52" x14ac:dyDescent="0.25">
      <c r="A10">
        <v>20</v>
      </c>
      <c r="B10" t="s">
        <v>286</v>
      </c>
      <c r="C10" t="s">
        <v>310</v>
      </c>
      <c r="D10">
        <v>1</v>
      </c>
      <c r="E10">
        <v>1530.33</v>
      </c>
      <c r="F10" t="s">
        <v>294</v>
      </c>
      <c r="G10">
        <v>1530.33</v>
      </c>
      <c r="H10">
        <v>1836.39</v>
      </c>
      <c r="I10" t="s">
        <v>309</v>
      </c>
      <c r="J10" t="s">
        <v>311</v>
      </c>
      <c r="K10" t="s">
        <v>500</v>
      </c>
      <c r="L10" t="s">
        <v>203</v>
      </c>
      <c r="M10" t="s">
        <v>501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501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1836.39</v>
      </c>
      <c r="AP10">
        <f>$H$10*$V$10</f>
        <v>1836.39</v>
      </c>
      <c r="AQ10">
        <f>$H$10*$W$10</f>
        <v>1836.39</v>
      </c>
      <c r="AR10">
        <f>$H$10*$X$10</f>
        <v>1836.39</v>
      </c>
      <c r="AS10">
        <f>$H$10*$Y$10</f>
        <v>1836.39</v>
      </c>
      <c r="AT10">
        <f>$H$10*$Z$10</f>
        <v>1836.39</v>
      </c>
      <c r="AU10">
        <f>$H$10*$AA$10</f>
        <v>1836.39</v>
      </c>
      <c r="AV10">
        <f>$H$10*$AB$10</f>
        <v>1836.39</v>
      </c>
      <c r="AW10">
        <f>$H$10*$AC$10</f>
        <v>1836.39</v>
      </c>
      <c r="AX10">
        <f>$H$10*$AD$10</f>
        <v>1836.39</v>
      </c>
      <c r="AY10">
        <f>$H$10*$AE$10</f>
        <v>1836.39</v>
      </c>
      <c r="AZ10">
        <f>$H$10*$AF$10</f>
        <v>1836.39</v>
      </c>
    </row>
    <row r="11" spans="1:52" x14ac:dyDescent="0.25">
      <c r="A11">
        <v>29</v>
      </c>
      <c r="B11" t="s">
        <v>286</v>
      </c>
      <c r="C11" t="s">
        <v>312</v>
      </c>
      <c r="D11">
        <v>50</v>
      </c>
      <c r="E11">
        <v>387.5</v>
      </c>
      <c r="F11" t="s">
        <v>288</v>
      </c>
      <c r="G11">
        <v>7.75</v>
      </c>
      <c r="H11">
        <v>465</v>
      </c>
      <c r="I11" t="s">
        <v>289</v>
      </c>
      <c r="J11" t="s">
        <v>313</v>
      </c>
      <c r="K11" t="s">
        <v>502</v>
      </c>
      <c r="L11" t="s">
        <v>203</v>
      </c>
      <c r="M11" t="s">
        <v>493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493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465</v>
      </c>
      <c r="AV11">
        <f>$H$11*$AB$11</f>
        <v>465</v>
      </c>
      <c r="AW11">
        <f>$H$11*$AC$11</f>
        <v>465</v>
      </c>
      <c r="AX11">
        <f>$H$11*$AD$11</f>
        <v>465</v>
      </c>
      <c r="AY11">
        <f>$H$11*$AE$11</f>
        <v>465</v>
      </c>
      <c r="AZ11">
        <f>$H$11*$AF$11</f>
        <v>465</v>
      </c>
    </row>
    <row r="12" spans="1:52" x14ac:dyDescent="0.25">
      <c r="A12">
        <v>30</v>
      </c>
      <c r="B12" t="s">
        <v>286</v>
      </c>
      <c r="C12" t="s">
        <v>314</v>
      </c>
      <c r="D12">
        <v>50</v>
      </c>
      <c r="E12">
        <v>657</v>
      </c>
      <c r="F12" t="s">
        <v>288</v>
      </c>
      <c r="G12">
        <v>13.14</v>
      </c>
      <c r="H12">
        <v>788.4</v>
      </c>
      <c r="I12" t="s">
        <v>292</v>
      </c>
      <c r="J12" t="s">
        <v>315</v>
      </c>
      <c r="K12" t="s">
        <v>503</v>
      </c>
      <c r="L12" t="s">
        <v>203</v>
      </c>
      <c r="M12" t="s">
        <v>493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493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788.4</v>
      </c>
      <c r="AV12">
        <f>$H$12*$AB$12</f>
        <v>788.4</v>
      </c>
      <c r="AW12">
        <f>$H$12*$AC$12</f>
        <v>788.4</v>
      </c>
      <c r="AX12">
        <f>$H$12*$AD$12</f>
        <v>788.4</v>
      </c>
      <c r="AY12">
        <f>$H$12*$AE$12</f>
        <v>788.4</v>
      </c>
      <c r="AZ12">
        <f>$H$12*$AF$12</f>
        <v>788.4</v>
      </c>
    </row>
    <row r="13" spans="1:52" x14ac:dyDescent="0.25">
      <c r="A13">
        <v>31</v>
      </c>
      <c r="B13" t="s">
        <v>286</v>
      </c>
      <c r="C13" t="s">
        <v>316</v>
      </c>
      <c r="D13">
        <v>244</v>
      </c>
      <c r="E13">
        <v>395.28</v>
      </c>
      <c r="F13" t="s">
        <v>308</v>
      </c>
      <c r="G13">
        <v>1.62</v>
      </c>
      <c r="H13">
        <v>474.34</v>
      </c>
      <c r="I13" t="s">
        <v>289</v>
      </c>
      <c r="J13" t="s">
        <v>317</v>
      </c>
      <c r="K13" t="s">
        <v>504</v>
      </c>
      <c r="L13" t="s">
        <v>203</v>
      </c>
      <c r="M13" t="s">
        <v>493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493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474.34</v>
      </c>
      <c r="AO13">
        <f>$H$13*$U$13</f>
        <v>474.34</v>
      </c>
      <c r="AP13">
        <f>$H$13*$V$13</f>
        <v>474.34</v>
      </c>
      <c r="AQ13">
        <f>$H$13*$W$13</f>
        <v>474.34</v>
      </c>
      <c r="AR13">
        <f>$H$13*$X$13</f>
        <v>474.34</v>
      </c>
      <c r="AS13">
        <f>$H$13*$Y$13</f>
        <v>474.34</v>
      </c>
      <c r="AT13">
        <f>$H$13*$Z$13</f>
        <v>474.34</v>
      </c>
      <c r="AU13">
        <f>$H$13*$AA$13</f>
        <v>474.34</v>
      </c>
      <c r="AV13">
        <f>$H$13*$AB$13</f>
        <v>474.34</v>
      </c>
      <c r="AW13">
        <f>$H$13*$AC$13</f>
        <v>474.34</v>
      </c>
      <c r="AX13">
        <f>$H$13*$AD$13</f>
        <v>474.34</v>
      </c>
      <c r="AY13">
        <f>$H$13*$AE$13</f>
        <v>474.34</v>
      </c>
      <c r="AZ13">
        <f>$H$13*$AF$13</f>
        <v>474.34</v>
      </c>
    </row>
    <row r="14" spans="1:52" x14ac:dyDescent="0.25">
      <c r="A14">
        <v>32</v>
      </c>
      <c r="B14" t="s">
        <v>286</v>
      </c>
      <c r="C14" t="s">
        <v>318</v>
      </c>
      <c r="D14">
        <v>244</v>
      </c>
      <c r="E14">
        <v>1007.72</v>
      </c>
      <c r="F14" t="s">
        <v>308</v>
      </c>
      <c r="G14">
        <v>4.13</v>
      </c>
      <c r="H14">
        <v>1209.26</v>
      </c>
      <c r="I14" t="s">
        <v>319</v>
      </c>
      <c r="J14" t="s">
        <v>320</v>
      </c>
      <c r="K14" t="s">
        <v>505</v>
      </c>
      <c r="L14" t="s">
        <v>203</v>
      </c>
      <c r="M14" t="s">
        <v>493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493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302.315</v>
      </c>
      <c r="AN14">
        <f>$H$14*$T$14</f>
        <v>302.315</v>
      </c>
      <c r="AO14">
        <f>$H$14*$U$14</f>
        <v>302.315</v>
      </c>
      <c r="AP14">
        <f>$H$14*$V$14</f>
        <v>302.315</v>
      </c>
      <c r="AQ14">
        <f>$H$14*$W$14</f>
        <v>604.63</v>
      </c>
      <c r="AR14">
        <f>$H$14*$X$14</f>
        <v>604.63</v>
      </c>
      <c r="AS14">
        <f>$H$14*$Y$14</f>
        <v>604.63</v>
      </c>
      <c r="AT14">
        <f>$H$14*$Z$14</f>
        <v>604.63</v>
      </c>
      <c r="AU14">
        <f>$H$14*$AA$14</f>
        <v>1209.26</v>
      </c>
      <c r="AV14">
        <f>$H$14*$AB$14</f>
        <v>1209.26</v>
      </c>
      <c r="AW14">
        <f>$H$14*$AC$14</f>
        <v>1209.26</v>
      </c>
      <c r="AX14">
        <f>$H$14*$AD$14</f>
        <v>1209.26</v>
      </c>
      <c r="AY14">
        <f>$H$14*$AE$14</f>
        <v>1209.26</v>
      </c>
      <c r="AZ14">
        <f>$H$14*$AF$14</f>
        <v>1209.26</v>
      </c>
    </row>
    <row r="15" spans="1:52" x14ac:dyDescent="0.25">
      <c r="A15">
        <v>33</v>
      </c>
      <c r="B15" t="s">
        <v>286</v>
      </c>
      <c r="C15" t="s">
        <v>321</v>
      </c>
      <c r="D15">
        <v>2</v>
      </c>
      <c r="E15">
        <v>127.22</v>
      </c>
      <c r="F15" t="s">
        <v>294</v>
      </c>
      <c r="G15">
        <v>63.61</v>
      </c>
      <c r="H15">
        <v>152.66</v>
      </c>
      <c r="I15" t="s">
        <v>322</v>
      </c>
      <c r="J15" t="s">
        <v>323</v>
      </c>
      <c r="K15" t="s">
        <v>506</v>
      </c>
      <c r="L15" t="s">
        <v>203</v>
      </c>
      <c r="M15" t="s">
        <v>493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493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152.66</v>
      </c>
      <c r="AV15">
        <f>$H$15*$AB$15</f>
        <v>152.66</v>
      </c>
      <c r="AW15">
        <f>$H$15*$AC$15</f>
        <v>152.66</v>
      </c>
      <c r="AX15">
        <f>$H$15*$AD$15</f>
        <v>152.66</v>
      </c>
      <c r="AY15">
        <f>$H$15*$AE$15</f>
        <v>152.66</v>
      </c>
      <c r="AZ15">
        <f>$H$15*$AF$15</f>
        <v>152.66</v>
      </c>
    </row>
    <row r="16" spans="1:52" x14ac:dyDescent="0.25">
      <c r="A16">
        <v>34</v>
      </c>
      <c r="B16" t="s">
        <v>286</v>
      </c>
      <c r="C16" t="s">
        <v>324</v>
      </c>
      <c r="D16">
        <v>2</v>
      </c>
      <c r="E16">
        <v>820.62</v>
      </c>
      <c r="F16" t="s">
        <v>294</v>
      </c>
      <c r="G16">
        <v>410.31</v>
      </c>
      <c r="H16">
        <v>984.74</v>
      </c>
      <c r="I16" t="s">
        <v>325</v>
      </c>
      <c r="J16" t="s">
        <v>326</v>
      </c>
      <c r="K16" t="s">
        <v>507</v>
      </c>
      <c r="L16" t="s">
        <v>203</v>
      </c>
      <c r="M16" t="s">
        <v>493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493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984.74</v>
      </c>
      <c r="AO16">
        <f>$H$16*$U$16</f>
        <v>984.74</v>
      </c>
      <c r="AP16">
        <f>$H$16*$V$16</f>
        <v>984.74</v>
      </c>
      <c r="AQ16">
        <f>$H$16*$W$16</f>
        <v>984.74</v>
      </c>
      <c r="AR16">
        <f>$H$16*$X$16</f>
        <v>984.74</v>
      </c>
      <c r="AS16">
        <f>$H$16*$Y$16</f>
        <v>984.74</v>
      </c>
      <c r="AT16">
        <f>$H$16*$Z$16</f>
        <v>984.74</v>
      </c>
      <c r="AU16">
        <f>$H$16*$AA$16</f>
        <v>984.74</v>
      </c>
      <c r="AV16">
        <f>$H$16*$AB$16</f>
        <v>984.74</v>
      </c>
      <c r="AW16">
        <f>$H$16*$AC$16</f>
        <v>984.74</v>
      </c>
      <c r="AX16">
        <f>$H$16*$AD$16</f>
        <v>984.74</v>
      </c>
      <c r="AY16">
        <f>$H$16*$AE$16</f>
        <v>984.74</v>
      </c>
      <c r="AZ16">
        <f>$H$16*$AF$16</f>
        <v>984.74</v>
      </c>
    </row>
    <row r="17" spans="1:52" x14ac:dyDescent="0.25">
      <c r="A17">
        <v>35</v>
      </c>
      <c r="B17" t="s">
        <v>286</v>
      </c>
      <c r="C17" t="s">
        <v>327</v>
      </c>
      <c r="D17">
        <v>4</v>
      </c>
      <c r="E17">
        <v>213</v>
      </c>
      <c r="F17" t="s">
        <v>294</v>
      </c>
      <c r="G17">
        <v>53.25</v>
      </c>
      <c r="H17">
        <v>255.6</v>
      </c>
      <c r="I17" t="s">
        <v>289</v>
      </c>
      <c r="J17" t="s">
        <v>328</v>
      </c>
      <c r="K17" t="s">
        <v>508</v>
      </c>
      <c r="L17" t="s">
        <v>203</v>
      </c>
      <c r="M17" t="s">
        <v>493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493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255.6</v>
      </c>
      <c r="AN17">
        <f>$H$17*$T$17</f>
        <v>255.6</v>
      </c>
      <c r="AO17">
        <f>$H$17*$U$17</f>
        <v>255.6</v>
      </c>
      <c r="AP17">
        <f>$H$17*$V$17</f>
        <v>255.6</v>
      </c>
      <c r="AQ17">
        <f>$H$17*$W$17</f>
        <v>255.6</v>
      </c>
      <c r="AR17">
        <f>$H$17*$X$17</f>
        <v>255.6</v>
      </c>
      <c r="AS17">
        <f>$H$17*$Y$17</f>
        <v>255.6</v>
      </c>
      <c r="AT17">
        <f>$H$17*$Z$17</f>
        <v>255.6</v>
      </c>
      <c r="AU17">
        <f>$H$17*$AA$17</f>
        <v>255.6</v>
      </c>
      <c r="AV17">
        <f>$H$17*$AB$17</f>
        <v>255.6</v>
      </c>
      <c r="AW17">
        <f>$H$17*$AC$17</f>
        <v>255.6</v>
      </c>
      <c r="AX17">
        <f>$H$17*$AD$17</f>
        <v>255.6</v>
      </c>
      <c r="AY17">
        <f>$H$17*$AE$17</f>
        <v>255.6</v>
      </c>
      <c r="AZ17">
        <f>$H$17*$AF$17</f>
        <v>255.6</v>
      </c>
    </row>
    <row r="18" spans="1:52" x14ac:dyDescent="0.25">
      <c r="A18">
        <v>36</v>
      </c>
      <c r="B18" t="s">
        <v>286</v>
      </c>
      <c r="C18" t="s">
        <v>329</v>
      </c>
      <c r="D18">
        <v>4</v>
      </c>
      <c r="E18">
        <v>252.92</v>
      </c>
      <c r="F18" t="s">
        <v>294</v>
      </c>
      <c r="G18">
        <v>63.23</v>
      </c>
      <c r="H18">
        <v>303.5</v>
      </c>
      <c r="I18" t="s">
        <v>289</v>
      </c>
      <c r="J18" t="s">
        <v>325</v>
      </c>
      <c r="K18" t="s">
        <v>509</v>
      </c>
      <c r="L18" t="s">
        <v>203</v>
      </c>
      <c r="M18" t="s">
        <v>493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493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303.5</v>
      </c>
      <c r="AN18">
        <f>$H$18*$T$18</f>
        <v>303.5</v>
      </c>
      <c r="AO18">
        <f>$H$18*$U$18</f>
        <v>303.5</v>
      </c>
      <c r="AP18">
        <f>$H$18*$V$18</f>
        <v>303.5</v>
      </c>
      <c r="AQ18">
        <f>$H$18*$W$18</f>
        <v>303.5</v>
      </c>
      <c r="AR18">
        <f>$H$18*$X$18</f>
        <v>303.5</v>
      </c>
      <c r="AS18">
        <f>$H$18*$Y$18</f>
        <v>303.5</v>
      </c>
      <c r="AT18">
        <f>$H$18*$Z$18</f>
        <v>303.5</v>
      </c>
      <c r="AU18">
        <f>$H$18*$AA$18</f>
        <v>303.5</v>
      </c>
      <c r="AV18">
        <f>$H$18*$AB$18</f>
        <v>303.5</v>
      </c>
      <c r="AW18">
        <f>$H$18*$AC$18</f>
        <v>303.5</v>
      </c>
      <c r="AX18">
        <f>$H$18*$AD$18</f>
        <v>303.5</v>
      </c>
      <c r="AY18">
        <f>$H$18*$AE$18</f>
        <v>303.5</v>
      </c>
      <c r="AZ18">
        <f>$H$18*$AF$18</f>
        <v>303.5</v>
      </c>
    </row>
    <row r="19" spans="1:52" x14ac:dyDescent="0.25">
      <c r="A19">
        <v>39</v>
      </c>
      <c r="B19" t="s">
        <v>286</v>
      </c>
      <c r="C19" t="s">
        <v>330</v>
      </c>
      <c r="D19">
        <v>15</v>
      </c>
      <c r="E19">
        <v>290.55</v>
      </c>
      <c r="F19" t="s">
        <v>294</v>
      </c>
      <c r="G19">
        <v>19.37</v>
      </c>
      <c r="H19">
        <v>348.67</v>
      </c>
      <c r="I19" t="s">
        <v>331</v>
      </c>
      <c r="J19" t="s">
        <v>332</v>
      </c>
      <c r="K19" t="s">
        <v>510</v>
      </c>
      <c r="L19" t="s">
        <v>203</v>
      </c>
      <c r="M19" t="s">
        <v>493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493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348.67</v>
      </c>
      <c r="AN19">
        <f>$H$19*$T$19</f>
        <v>348.67</v>
      </c>
      <c r="AO19">
        <f>$H$19*$U$19</f>
        <v>348.67</v>
      </c>
      <c r="AP19">
        <f>$H$19*$V$19</f>
        <v>348.67</v>
      </c>
      <c r="AQ19">
        <f>$H$19*$W$19</f>
        <v>348.67</v>
      </c>
      <c r="AR19">
        <f>$H$19*$X$19</f>
        <v>348.67</v>
      </c>
      <c r="AS19">
        <f>$H$19*$Y$19</f>
        <v>348.67</v>
      </c>
      <c r="AT19">
        <f>$H$19*$Z$19</f>
        <v>348.67</v>
      </c>
      <c r="AU19">
        <f>$H$19*$AA$19</f>
        <v>348.67</v>
      </c>
      <c r="AV19">
        <f>$H$19*$AB$19</f>
        <v>348.67</v>
      </c>
      <c r="AW19">
        <f>$H$19*$AC$19</f>
        <v>348.67</v>
      </c>
      <c r="AX19">
        <f>$H$19*$AD$19</f>
        <v>348.67</v>
      </c>
      <c r="AY19">
        <f>$H$19*$AE$19</f>
        <v>348.67</v>
      </c>
      <c r="AZ19">
        <f>$H$19*$AF$19</f>
        <v>348.67</v>
      </c>
    </row>
    <row r="20" spans="1:52" x14ac:dyDescent="0.25">
      <c r="A20">
        <v>40</v>
      </c>
      <c r="B20" t="s">
        <v>286</v>
      </c>
      <c r="C20" t="s">
        <v>333</v>
      </c>
      <c r="D20">
        <v>2442.6</v>
      </c>
      <c r="E20">
        <v>7205.67</v>
      </c>
      <c r="F20" t="s">
        <v>308</v>
      </c>
      <c r="G20">
        <v>2.95</v>
      </c>
      <c r="H20">
        <v>8646.81</v>
      </c>
      <c r="I20" t="s">
        <v>334</v>
      </c>
      <c r="J20" t="s">
        <v>335</v>
      </c>
      <c r="K20" t="s">
        <v>511</v>
      </c>
      <c r="L20" t="s">
        <v>203</v>
      </c>
      <c r="M20" t="s">
        <v>512</v>
      </c>
      <c r="N20" t="s">
        <v>12</v>
      </c>
      <c r="O20" t="s">
        <v>68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512</v>
      </c>
      <c r="AH20" t="s">
        <v>12</v>
      </c>
      <c r="AI20" t="s">
        <v>68</v>
      </c>
      <c r="AJ20">
        <f>$H$20*$P$20</f>
        <v>0</v>
      </c>
      <c r="AK20">
        <f>$H$20*$Q$20</f>
        <v>2853.4472999999998</v>
      </c>
      <c r="AL20">
        <f>$H$20*$R$20</f>
        <v>2853.4472999999998</v>
      </c>
      <c r="AM20">
        <f>$H$20*$S$20</f>
        <v>3566.8091250000002</v>
      </c>
      <c r="AN20">
        <f>$H$20*$T$20</f>
        <v>3566.8091250000002</v>
      </c>
      <c r="AO20">
        <f>$H$20*$U$20</f>
        <v>3566.8091250000002</v>
      </c>
      <c r="AP20">
        <f>$H$20*$V$20</f>
        <v>3566.8091250000002</v>
      </c>
      <c r="AQ20">
        <f>$H$20*$W$20</f>
        <v>3566.8091250000002</v>
      </c>
      <c r="AR20">
        <f>$H$20*$X$20</f>
        <v>4280.1709499999997</v>
      </c>
      <c r="AS20">
        <f>$H$20*$Y$20</f>
        <v>4280.1709499999997</v>
      </c>
      <c r="AT20">
        <f>$H$20*$Z$20</f>
        <v>4280.1709499999997</v>
      </c>
      <c r="AU20">
        <f>$H$20*$AA$20</f>
        <v>4280.1709499999997</v>
      </c>
      <c r="AV20">
        <f>$H$20*$AB$20</f>
        <v>5706.8945999999996</v>
      </c>
      <c r="AW20">
        <f>$H$20*$AC$20</f>
        <v>5706.8945999999996</v>
      </c>
      <c r="AX20">
        <f>$H$20*$AD$20</f>
        <v>5706.8945999999996</v>
      </c>
      <c r="AY20">
        <f>$H$20*$AE$20</f>
        <v>5706.8945999999996</v>
      </c>
      <c r="AZ20">
        <f>$H$20*$AF$20</f>
        <v>5706.8945999999996</v>
      </c>
    </row>
    <row r="21" spans="1:52" x14ac:dyDescent="0.25">
      <c r="A21">
        <v>41</v>
      </c>
      <c r="B21" t="s">
        <v>286</v>
      </c>
      <c r="C21" t="s">
        <v>333</v>
      </c>
      <c r="D21">
        <v>600</v>
      </c>
      <c r="E21">
        <v>1770</v>
      </c>
      <c r="F21" t="s">
        <v>308</v>
      </c>
      <c r="G21">
        <v>2.95</v>
      </c>
      <c r="H21">
        <v>2124</v>
      </c>
      <c r="I21" t="s">
        <v>334</v>
      </c>
      <c r="J21" t="s">
        <v>335</v>
      </c>
      <c r="K21" t="s">
        <v>511</v>
      </c>
      <c r="L21" t="s">
        <v>203</v>
      </c>
      <c r="M21" t="s">
        <v>512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512</v>
      </c>
      <c r="AH21" t="s">
        <v>12</v>
      </c>
      <c r="AI21" t="s">
        <v>68</v>
      </c>
      <c r="AJ21">
        <f>$H$21*$P$21</f>
        <v>0</v>
      </c>
      <c r="AK21">
        <f>$H$21*$Q$21</f>
        <v>700.92000000000007</v>
      </c>
      <c r="AL21">
        <f>$H$21*$R$21</f>
        <v>700.92000000000007</v>
      </c>
      <c r="AM21">
        <f>$H$21*$S$21</f>
        <v>876.15000000000009</v>
      </c>
      <c r="AN21">
        <f>$H$21*$T$21</f>
        <v>876.15000000000009</v>
      </c>
      <c r="AO21">
        <f>$H$21*$U$21</f>
        <v>876.15000000000009</v>
      </c>
      <c r="AP21">
        <f>$H$21*$V$21</f>
        <v>876.15000000000009</v>
      </c>
      <c r="AQ21">
        <f>$H$21*$W$21</f>
        <v>876.15000000000009</v>
      </c>
      <c r="AR21">
        <f>$H$21*$X$21</f>
        <v>1051.3799999999999</v>
      </c>
      <c r="AS21">
        <f>$H$21*$Y$21</f>
        <v>1051.3799999999999</v>
      </c>
      <c r="AT21">
        <f>$H$21*$Z$21</f>
        <v>1051.3799999999999</v>
      </c>
      <c r="AU21">
        <f>$H$21*$AA$21</f>
        <v>1051.3799999999999</v>
      </c>
      <c r="AV21">
        <f>$H$21*$AB$21</f>
        <v>1401.8400000000001</v>
      </c>
      <c r="AW21">
        <f>$H$21*$AC$21</f>
        <v>1401.8400000000001</v>
      </c>
      <c r="AX21">
        <f>$H$21*$AD$21</f>
        <v>1401.8400000000001</v>
      </c>
      <c r="AY21">
        <f>$H$21*$AE$21</f>
        <v>1401.8400000000001</v>
      </c>
      <c r="AZ21">
        <f>$H$21*$AF$21</f>
        <v>1401.8400000000001</v>
      </c>
    </row>
    <row r="22" spans="1:52" x14ac:dyDescent="0.25">
      <c r="A22">
        <v>43</v>
      </c>
      <c r="B22" t="s">
        <v>286</v>
      </c>
      <c r="C22" t="s">
        <v>336</v>
      </c>
      <c r="D22">
        <v>1</v>
      </c>
      <c r="E22">
        <v>4395.82</v>
      </c>
      <c r="F22" t="s">
        <v>294</v>
      </c>
      <c r="G22">
        <v>4395.82</v>
      </c>
      <c r="H22">
        <v>5274.98</v>
      </c>
      <c r="I22" t="s">
        <v>302</v>
      </c>
      <c r="J22" t="s">
        <v>337</v>
      </c>
      <c r="K22" t="s">
        <v>513</v>
      </c>
      <c r="L22" t="s">
        <v>203</v>
      </c>
      <c r="M22" t="s">
        <v>501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501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5274.98</v>
      </c>
      <c r="AQ22">
        <f>$H$22*$W$22</f>
        <v>5274.98</v>
      </c>
      <c r="AR22">
        <f>$H$22*$X$22</f>
        <v>5274.98</v>
      </c>
      <c r="AS22">
        <f>$H$22*$Y$22</f>
        <v>5274.98</v>
      </c>
      <c r="AT22">
        <f>$H$22*$Z$22</f>
        <v>5274.98</v>
      </c>
      <c r="AU22">
        <f>$H$22*$AA$22</f>
        <v>5274.98</v>
      </c>
      <c r="AV22">
        <f>$H$22*$AB$22</f>
        <v>5274.98</v>
      </c>
      <c r="AW22">
        <f>$H$22*$AC$22</f>
        <v>5274.98</v>
      </c>
      <c r="AX22">
        <f>$H$22*$AD$22</f>
        <v>5274.98</v>
      </c>
      <c r="AY22">
        <f>$H$22*$AE$22</f>
        <v>5274.98</v>
      </c>
      <c r="AZ22">
        <f>$H$22*$AF$22</f>
        <v>5274.98</v>
      </c>
    </row>
    <row r="23" spans="1:52" x14ac:dyDescent="0.25">
      <c r="A23">
        <v>44</v>
      </c>
      <c r="B23" t="s">
        <v>286</v>
      </c>
      <c r="C23" t="s">
        <v>338</v>
      </c>
      <c r="D23">
        <v>1</v>
      </c>
      <c r="E23">
        <v>5856.48</v>
      </c>
      <c r="F23" t="s">
        <v>294</v>
      </c>
      <c r="G23">
        <v>5856.48</v>
      </c>
      <c r="H23">
        <v>7027.78</v>
      </c>
      <c r="I23" t="s">
        <v>302</v>
      </c>
      <c r="J23" t="s">
        <v>339</v>
      </c>
      <c r="K23" t="s">
        <v>514</v>
      </c>
      <c r="L23" t="s">
        <v>203</v>
      </c>
      <c r="M23" t="s">
        <v>501</v>
      </c>
      <c r="N23" t="s">
        <v>26</v>
      </c>
      <c r="O23" t="s">
        <v>67</v>
      </c>
      <c r="P23">
        <v>0</v>
      </c>
      <c r="Q23">
        <v>0.5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0.5</v>
      </c>
      <c r="Z23">
        <v>0.5</v>
      </c>
      <c r="AA23">
        <v>0.5</v>
      </c>
      <c r="AB23">
        <v>0.5</v>
      </c>
      <c r="AC23">
        <v>0.5</v>
      </c>
      <c r="AD23">
        <v>0.5</v>
      </c>
      <c r="AE23">
        <v>0.5</v>
      </c>
      <c r="AF23">
        <v>0.5</v>
      </c>
      <c r="AG23" t="s">
        <v>501</v>
      </c>
      <c r="AH23" t="s">
        <v>26</v>
      </c>
      <c r="AI23" t="s">
        <v>67</v>
      </c>
      <c r="AJ23">
        <f>$H$23*$P$23</f>
        <v>0</v>
      </c>
      <c r="AK23">
        <f>$H$23*$Q$23</f>
        <v>3513.89</v>
      </c>
      <c r="AL23">
        <f>$H$23*$R$23</f>
        <v>3513.89</v>
      </c>
      <c r="AM23">
        <f>$H$23*$S$23</f>
        <v>3513.89</v>
      </c>
      <c r="AN23">
        <f>$H$23*$T$23</f>
        <v>3513.89</v>
      </c>
      <c r="AO23">
        <f>$H$23*$U$23</f>
        <v>3513.89</v>
      </c>
      <c r="AP23">
        <f>$H$23*$V$23</f>
        <v>3513.89</v>
      </c>
      <c r="AQ23">
        <f>$H$23*$W$23</f>
        <v>3513.89</v>
      </c>
      <c r="AR23">
        <f>$H$23*$X$23</f>
        <v>3513.89</v>
      </c>
      <c r="AS23">
        <f>$H$23*$Y$23</f>
        <v>3513.89</v>
      </c>
      <c r="AT23">
        <f>$H$23*$Z$23</f>
        <v>3513.89</v>
      </c>
      <c r="AU23">
        <f>$H$23*$AA$23</f>
        <v>3513.89</v>
      </c>
      <c r="AV23">
        <f>$H$23*$AB$23</f>
        <v>3513.89</v>
      </c>
      <c r="AW23">
        <f>$H$23*$AC$23</f>
        <v>3513.89</v>
      </c>
      <c r="AX23">
        <f>$H$23*$AD$23</f>
        <v>3513.89</v>
      </c>
      <c r="AY23">
        <f>$H$23*$AE$23</f>
        <v>3513.89</v>
      </c>
      <c r="AZ23">
        <f>$H$23*$AF$23</f>
        <v>3513.89</v>
      </c>
    </row>
    <row r="24" spans="1:52" x14ac:dyDescent="0.25">
      <c r="A24">
        <v>45</v>
      </c>
      <c r="B24" t="s">
        <v>286</v>
      </c>
      <c r="C24" t="s">
        <v>340</v>
      </c>
      <c r="D24">
        <v>1</v>
      </c>
      <c r="E24">
        <v>171.31</v>
      </c>
      <c r="F24" t="s">
        <v>294</v>
      </c>
      <c r="G24">
        <v>171.31</v>
      </c>
      <c r="H24">
        <v>205.57</v>
      </c>
      <c r="I24" t="s">
        <v>302</v>
      </c>
      <c r="J24" t="s">
        <v>341</v>
      </c>
      <c r="K24" t="s">
        <v>515</v>
      </c>
      <c r="L24" t="s">
        <v>203</v>
      </c>
      <c r="M24" t="s">
        <v>493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 t="s">
        <v>493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205.57</v>
      </c>
      <c r="AX24">
        <f>$H$24*$AD$24</f>
        <v>205.57</v>
      </c>
      <c r="AY24">
        <f>$H$24*$AE$24</f>
        <v>205.57</v>
      </c>
      <c r="AZ24">
        <f>$H$24*$AF$24</f>
        <v>205.57</v>
      </c>
    </row>
    <row r="25" spans="1:52" x14ac:dyDescent="0.25">
      <c r="A25">
        <v>46</v>
      </c>
      <c r="B25" t="s">
        <v>286</v>
      </c>
      <c r="C25" t="s">
        <v>342</v>
      </c>
      <c r="D25">
        <v>1</v>
      </c>
      <c r="E25">
        <v>81.78</v>
      </c>
      <c r="F25" t="s">
        <v>294</v>
      </c>
      <c r="G25">
        <v>81.78</v>
      </c>
      <c r="H25">
        <v>98.14</v>
      </c>
      <c r="I25" t="s">
        <v>302</v>
      </c>
      <c r="J25" t="s">
        <v>343</v>
      </c>
      <c r="K25" t="s">
        <v>516</v>
      </c>
      <c r="L25" t="s">
        <v>203</v>
      </c>
      <c r="M25" t="s">
        <v>501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501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98.14</v>
      </c>
      <c r="AQ25">
        <f>$H$25*$W$25</f>
        <v>98.14</v>
      </c>
      <c r="AR25">
        <f>$H$25*$X$25</f>
        <v>98.14</v>
      </c>
      <c r="AS25">
        <f>$H$25*$Y$25</f>
        <v>98.14</v>
      </c>
      <c r="AT25">
        <f>$H$25*$Z$25</f>
        <v>98.14</v>
      </c>
      <c r="AU25">
        <f>$H$25*$AA$25</f>
        <v>98.14</v>
      </c>
      <c r="AV25">
        <f>$H$25*$AB$25</f>
        <v>98.14</v>
      </c>
      <c r="AW25">
        <f>$H$25*$AC$25</f>
        <v>98.14</v>
      </c>
      <c r="AX25">
        <f>$H$25*$AD$25</f>
        <v>98.14</v>
      </c>
      <c r="AY25">
        <f>$H$25*$AE$25</f>
        <v>98.14</v>
      </c>
      <c r="AZ25">
        <f>$H$25*$AF$25</f>
        <v>98.14</v>
      </c>
    </row>
    <row r="26" spans="1:52" x14ac:dyDescent="0.25">
      <c r="A26">
        <v>47</v>
      </c>
      <c r="B26" t="s">
        <v>286</v>
      </c>
      <c r="C26" t="s">
        <v>344</v>
      </c>
      <c r="D26">
        <v>1</v>
      </c>
      <c r="E26">
        <v>4703.5</v>
      </c>
      <c r="F26" t="s">
        <v>294</v>
      </c>
      <c r="G26">
        <v>4703.5</v>
      </c>
      <c r="H26">
        <v>5644.2</v>
      </c>
      <c r="I26" t="s">
        <v>302</v>
      </c>
      <c r="J26" t="s">
        <v>345</v>
      </c>
      <c r="K26" t="s">
        <v>517</v>
      </c>
      <c r="L26" t="s">
        <v>203</v>
      </c>
      <c r="M26" t="s">
        <v>501</v>
      </c>
      <c r="N26" t="s">
        <v>26</v>
      </c>
      <c r="O26" t="s">
        <v>67</v>
      </c>
      <c r="P26">
        <v>0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501</v>
      </c>
      <c r="AH26" t="s">
        <v>26</v>
      </c>
      <c r="AI26" t="s">
        <v>67</v>
      </c>
      <c r="AJ26">
        <f>$H$26*$P$26</f>
        <v>0</v>
      </c>
      <c r="AK26">
        <f>$H$26*$Q$26</f>
        <v>5644.2</v>
      </c>
      <c r="AL26">
        <f>$H$26*$R$26</f>
        <v>5644.2</v>
      </c>
      <c r="AM26">
        <f>$H$26*$S$26</f>
        <v>5644.2</v>
      </c>
      <c r="AN26">
        <f>$H$26*$T$26</f>
        <v>5644.2</v>
      </c>
      <c r="AO26">
        <f>$H$26*$U$26</f>
        <v>5644.2</v>
      </c>
      <c r="AP26">
        <f>$H$26*$V$26</f>
        <v>5644.2</v>
      </c>
      <c r="AQ26">
        <f>$H$26*$W$26</f>
        <v>5644.2</v>
      </c>
      <c r="AR26">
        <f>$H$26*$X$26</f>
        <v>5644.2</v>
      </c>
      <c r="AS26">
        <f>$H$26*$Y$26</f>
        <v>5644.2</v>
      </c>
      <c r="AT26">
        <f>$H$26*$Z$26</f>
        <v>5644.2</v>
      </c>
      <c r="AU26">
        <f>$H$26*$AA$26</f>
        <v>5644.2</v>
      </c>
      <c r="AV26">
        <f>$H$26*$AB$26</f>
        <v>5644.2</v>
      </c>
      <c r="AW26">
        <f>$H$26*$AC$26</f>
        <v>5644.2</v>
      </c>
      <c r="AX26">
        <f>$H$26*$AD$26</f>
        <v>5644.2</v>
      </c>
      <c r="AY26">
        <f>$H$26*$AE$26</f>
        <v>5644.2</v>
      </c>
      <c r="AZ26">
        <f>$H$26*$AF$26</f>
        <v>5644.2</v>
      </c>
    </row>
    <row r="27" spans="1:52" x14ac:dyDescent="0.25">
      <c r="A27">
        <v>53</v>
      </c>
      <c r="B27" t="s">
        <v>286</v>
      </c>
      <c r="C27" t="s">
        <v>346</v>
      </c>
      <c r="D27">
        <v>1</v>
      </c>
      <c r="E27">
        <v>289.87</v>
      </c>
      <c r="F27" t="s">
        <v>294</v>
      </c>
      <c r="G27">
        <v>289.87</v>
      </c>
      <c r="H27">
        <v>347.85</v>
      </c>
      <c r="I27" t="s">
        <v>299</v>
      </c>
      <c r="J27" t="s">
        <v>347</v>
      </c>
      <c r="K27" t="s">
        <v>518</v>
      </c>
      <c r="L27" t="s">
        <v>203</v>
      </c>
      <c r="M27" t="s">
        <v>512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1</v>
      </c>
      <c r="AF27">
        <v>1</v>
      </c>
      <c r="AG27" t="s">
        <v>512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347.85</v>
      </c>
      <c r="AY27">
        <f>$H$27*$AE$27</f>
        <v>347.85</v>
      </c>
      <c r="AZ27">
        <f>$H$27*$AF$27</f>
        <v>347.85</v>
      </c>
    </row>
    <row r="28" spans="1:52" x14ac:dyDescent="0.25">
      <c r="A28">
        <v>54</v>
      </c>
      <c r="B28" t="s">
        <v>286</v>
      </c>
      <c r="C28" t="s">
        <v>348</v>
      </c>
      <c r="D28">
        <v>2</v>
      </c>
      <c r="E28">
        <v>188.06</v>
      </c>
      <c r="F28" t="s">
        <v>294</v>
      </c>
      <c r="G28">
        <v>94.03</v>
      </c>
      <c r="H28">
        <v>225.68</v>
      </c>
      <c r="I28" t="s">
        <v>299</v>
      </c>
      <c r="J28" t="s">
        <v>349</v>
      </c>
      <c r="K28" t="s">
        <v>519</v>
      </c>
      <c r="L28" t="s">
        <v>203</v>
      </c>
      <c r="M28" t="s">
        <v>512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512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225.68</v>
      </c>
      <c r="AY28">
        <f>$H$28*$AE$28</f>
        <v>225.68</v>
      </c>
      <c r="AZ28">
        <f>$H$28*$AF$28</f>
        <v>225.68</v>
      </c>
    </row>
    <row r="29" spans="1:52" x14ac:dyDescent="0.25">
      <c r="A29">
        <v>55</v>
      </c>
      <c r="B29" t="s">
        <v>286</v>
      </c>
      <c r="C29" t="s">
        <v>350</v>
      </c>
      <c r="D29">
        <v>2</v>
      </c>
      <c r="E29">
        <v>213.24</v>
      </c>
      <c r="F29" t="s">
        <v>294</v>
      </c>
      <c r="G29">
        <v>106.62</v>
      </c>
      <c r="H29">
        <v>255.88</v>
      </c>
      <c r="I29" t="s">
        <v>322</v>
      </c>
      <c r="J29" t="s">
        <v>351</v>
      </c>
      <c r="K29" t="s">
        <v>520</v>
      </c>
      <c r="L29" t="s">
        <v>203</v>
      </c>
      <c r="M29" t="s">
        <v>512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512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255.88</v>
      </c>
      <c r="AV29">
        <f>$H$29*$AB$29</f>
        <v>255.88</v>
      </c>
      <c r="AW29">
        <f>$H$29*$AC$29</f>
        <v>255.88</v>
      </c>
      <c r="AX29">
        <f>$H$29*$AD$29</f>
        <v>255.88</v>
      </c>
      <c r="AY29">
        <f>$H$29*$AE$29</f>
        <v>255.88</v>
      </c>
      <c r="AZ29">
        <f>$H$29*$AF$29</f>
        <v>255.88</v>
      </c>
    </row>
    <row r="30" spans="1:52" x14ac:dyDescent="0.25">
      <c r="A30">
        <v>56</v>
      </c>
      <c r="B30" t="s">
        <v>286</v>
      </c>
      <c r="C30" t="s">
        <v>352</v>
      </c>
      <c r="D30">
        <v>2</v>
      </c>
      <c r="E30">
        <v>956.6</v>
      </c>
      <c r="F30" t="s">
        <v>294</v>
      </c>
      <c r="G30">
        <v>478.3</v>
      </c>
      <c r="H30">
        <v>1147.92</v>
      </c>
      <c r="I30" t="s">
        <v>325</v>
      </c>
      <c r="J30" t="s">
        <v>349</v>
      </c>
      <c r="K30" t="s">
        <v>521</v>
      </c>
      <c r="L30" t="s">
        <v>203</v>
      </c>
      <c r="M30" t="s">
        <v>512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512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1147.92</v>
      </c>
      <c r="AP30">
        <f>$H$30*$V$30</f>
        <v>1147.92</v>
      </c>
      <c r="AQ30">
        <f>$H$30*$W$30</f>
        <v>1147.92</v>
      </c>
      <c r="AR30">
        <f>$H$30*$X$30</f>
        <v>1147.92</v>
      </c>
      <c r="AS30">
        <f>$H$30*$Y$30</f>
        <v>1147.92</v>
      </c>
      <c r="AT30">
        <f>$H$30*$Z$30</f>
        <v>1147.92</v>
      </c>
      <c r="AU30">
        <f>$H$30*$AA$30</f>
        <v>1147.92</v>
      </c>
      <c r="AV30">
        <f>$H$30*$AB$30</f>
        <v>1147.92</v>
      </c>
      <c r="AW30">
        <f>$H$30*$AC$30</f>
        <v>1147.92</v>
      </c>
      <c r="AX30">
        <f>$H$30*$AD$30</f>
        <v>1147.92</v>
      </c>
      <c r="AY30">
        <f>$H$30*$AE$30</f>
        <v>1147.92</v>
      </c>
      <c r="AZ30">
        <f>$H$30*$AF$30</f>
        <v>1147.92</v>
      </c>
    </row>
    <row r="31" spans="1:52" x14ac:dyDescent="0.25">
      <c r="A31">
        <v>57</v>
      </c>
      <c r="B31" t="s">
        <v>286</v>
      </c>
      <c r="C31" t="s">
        <v>353</v>
      </c>
      <c r="D31">
        <v>1</v>
      </c>
      <c r="E31">
        <v>1159.26</v>
      </c>
      <c r="F31" t="s">
        <v>294</v>
      </c>
      <c r="G31">
        <v>1159.26</v>
      </c>
      <c r="H31">
        <v>1391.12</v>
      </c>
      <c r="I31" t="s">
        <v>354</v>
      </c>
      <c r="J31" t="s">
        <v>355</v>
      </c>
      <c r="K31" t="s">
        <v>522</v>
      </c>
      <c r="L31" t="s">
        <v>203</v>
      </c>
      <c r="M31" t="s">
        <v>512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512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1391.12</v>
      </c>
      <c r="AP31">
        <f>$H$31*$V$31</f>
        <v>1391.12</v>
      </c>
      <c r="AQ31">
        <f>$H$31*$W$31</f>
        <v>1391.12</v>
      </c>
      <c r="AR31">
        <f>$H$31*$X$31</f>
        <v>1391.12</v>
      </c>
      <c r="AS31">
        <f>$H$31*$Y$31</f>
        <v>1391.12</v>
      </c>
      <c r="AT31">
        <f>$H$31*$Z$31</f>
        <v>1391.12</v>
      </c>
      <c r="AU31">
        <f>$H$31*$AA$31</f>
        <v>1391.12</v>
      </c>
      <c r="AV31">
        <f>$H$31*$AB$31</f>
        <v>1391.12</v>
      </c>
      <c r="AW31">
        <f>$H$31*$AC$31</f>
        <v>1391.12</v>
      </c>
      <c r="AX31">
        <f>$H$31*$AD$31</f>
        <v>1391.12</v>
      </c>
      <c r="AY31">
        <f>$H$31*$AE$31</f>
        <v>1391.12</v>
      </c>
      <c r="AZ31">
        <f>$H$31*$AF$31</f>
        <v>1391.12</v>
      </c>
    </row>
    <row r="32" spans="1:52" x14ac:dyDescent="0.25">
      <c r="A32">
        <v>70</v>
      </c>
      <c r="B32" t="s">
        <v>286</v>
      </c>
      <c r="C32" t="s">
        <v>357</v>
      </c>
      <c r="D32">
        <v>2</v>
      </c>
      <c r="E32">
        <v>41.28</v>
      </c>
      <c r="F32" t="s">
        <v>294</v>
      </c>
      <c r="G32">
        <v>20.64</v>
      </c>
      <c r="H32">
        <v>49.54</v>
      </c>
      <c r="I32" t="s">
        <v>296</v>
      </c>
      <c r="J32" t="s">
        <v>358</v>
      </c>
      <c r="K32" t="s">
        <v>523</v>
      </c>
      <c r="L32" t="s">
        <v>203</v>
      </c>
      <c r="M32" t="s">
        <v>493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493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49.54</v>
      </c>
      <c r="AS32">
        <f>$H$32*$Y$32</f>
        <v>49.54</v>
      </c>
      <c r="AT32">
        <f>$H$32*$Z$32</f>
        <v>49.54</v>
      </c>
      <c r="AU32">
        <f>$H$32*$AA$32</f>
        <v>49.54</v>
      </c>
      <c r="AV32">
        <f>$H$32*$AB$32</f>
        <v>49.54</v>
      </c>
      <c r="AW32">
        <f>$H$32*$AC$32</f>
        <v>49.54</v>
      </c>
      <c r="AX32">
        <f>$H$32*$AD$32</f>
        <v>49.54</v>
      </c>
      <c r="AY32">
        <f>$H$32*$AE$32</f>
        <v>49.54</v>
      </c>
      <c r="AZ32">
        <f>$H$32*$AF$32</f>
        <v>49.54</v>
      </c>
    </row>
    <row r="33" spans="1:52" x14ac:dyDescent="0.25">
      <c r="A33">
        <v>72</v>
      </c>
      <c r="B33" t="s">
        <v>286</v>
      </c>
      <c r="C33" t="s">
        <v>359</v>
      </c>
      <c r="D33">
        <v>1</v>
      </c>
      <c r="E33">
        <v>920.12</v>
      </c>
      <c r="F33" t="s">
        <v>294</v>
      </c>
      <c r="G33">
        <v>920.12</v>
      </c>
      <c r="H33">
        <v>1104.1400000000001</v>
      </c>
      <c r="I33" t="s">
        <v>296</v>
      </c>
      <c r="J33" t="s">
        <v>360</v>
      </c>
      <c r="K33" t="s">
        <v>524</v>
      </c>
      <c r="L33" t="s">
        <v>203</v>
      </c>
      <c r="M33" t="s">
        <v>501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501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1104.1400000000001</v>
      </c>
      <c r="AV33">
        <f>$H$33*$AB$33</f>
        <v>1104.1400000000001</v>
      </c>
      <c r="AW33">
        <f>$H$33*$AC$33</f>
        <v>1104.1400000000001</v>
      </c>
      <c r="AX33">
        <f>$H$33*$AD$33</f>
        <v>1104.1400000000001</v>
      </c>
      <c r="AY33">
        <f>$H$33*$AE$33</f>
        <v>1104.1400000000001</v>
      </c>
      <c r="AZ33">
        <f>$H$33*$AF$33</f>
        <v>1104.1400000000001</v>
      </c>
    </row>
    <row r="34" spans="1:52" x14ac:dyDescent="0.25">
      <c r="A34">
        <v>75</v>
      </c>
      <c r="B34" t="s">
        <v>286</v>
      </c>
      <c r="C34" t="s">
        <v>361</v>
      </c>
      <c r="D34">
        <v>40</v>
      </c>
      <c r="E34">
        <v>48.4</v>
      </c>
      <c r="F34" t="s">
        <v>288</v>
      </c>
      <c r="G34">
        <v>1.21</v>
      </c>
      <c r="H34">
        <v>58.08</v>
      </c>
      <c r="I34" t="s">
        <v>296</v>
      </c>
      <c r="J34" t="s">
        <v>362</v>
      </c>
      <c r="K34" t="s">
        <v>525</v>
      </c>
      <c r="L34" t="s">
        <v>203</v>
      </c>
      <c r="M34" t="s">
        <v>493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493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34.847999999999999</v>
      </c>
      <c r="AS34">
        <f>$H$34*$Y$34</f>
        <v>34.847999999999999</v>
      </c>
      <c r="AT34">
        <f>$H$34*$Z$34</f>
        <v>34.847999999999999</v>
      </c>
      <c r="AU34">
        <f>$H$34*$AA$34</f>
        <v>34.847999999999999</v>
      </c>
      <c r="AV34">
        <f>$H$34*$AB$34</f>
        <v>34.847999999999999</v>
      </c>
      <c r="AW34">
        <f>$H$34*$AC$34</f>
        <v>34.847999999999999</v>
      </c>
      <c r="AX34">
        <f>$H$34*$AD$34</f>
        <v>34.847999999999999</v>
      </c>
      <c r="AY34">
        <f>$H$34*$AE$34</f>
        <v>34.847999999999999</v>
      </c>
      <c r="AZ34">
        <f>$H$34*$AF$34</f>
        <v>34.847999999999999</v>
      </c>
    </row>
    <row r="35" spans="1:52" x14ac:dyDescent="0.25">
      <c r="A35">
        <v>77</v>
      </c>
      <c r="B35" t="s">
        <v>286</v>
      </c>
      <c r="C35" t="s">
        <v>357</v>
      </c>
      <c r="D35">
        <v>4</v>
      </c>
      <c r="E35">
        <v>82.56</v>
      </c>
      <c r="F35" t="s">
        <v>294</v>
      </c>
      <c r="G35">
        <v>20.64</v>
      </c>
      <c r="H35">
        <v>99.08</v>
      </c>
      <c r="I35" t="s">
        <v>296</v>
      </c>
      <c r="J35" t="s">
        <v>358</v>
      </c>
      <c r="K35" t="s">
        <v>523</v>
      </c>
      <c r="L35" t="s">
        <v>203</v>
      </c>
      <c r="M35" t="s">
        <v>493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493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99.08</v>
      </c>
      <c r="AS35">
        <f>$H$35*$Y$35</f>
        <v>99.08</v>
      </c>
      <c r="AT35">
        <f>$H$35*$Z$35</f>
        <v>99.08</v>
      </c>
      <c r="AU35">
        <f>$H$35*$AA$35</f>
        <v>99.08</v>
      </c>
      <c r="AV35">
        <f>$H$35*$AB$35</f>
        <v>99.08</v>
      </c>
      <c r="AW35">
        <f>$H$35*$AC$35</f>
        <v>99.08</v>
      </c>
      <c r="AX35">
        <f>$H$35*$AD$35</f>
        <v>99.08</v>
      </c>
      <c r="AY35">
        <f>$H$35*$AE$35</f>
        <v>99.08</v>
      </c>
      <c r="AZ35">
        <f>$H$35*$AF$35</f>
        <v>99.08</v>
      </c>
    </row>
    <row r="36" spans="1:52" x14ac:dyDescent="0.25">
      <c r="A36">
        <v>78</v>
      </c>
      <c r="B36" t="s">
        <v>286</v>
      </c>
      <c r="C36" t="s">
        <v>363</v>
      </c>
      <c r="D36">
        <v>2</v>
      </c>
      <c r="E36">
        <v>47.24</v>
      </c>
      <c r="F36" t="s">
        <v>294</v>
      </c>
      <c r="G36">
        <v>23.62</v>
      </c>
      <c r="H36">
        <v>56.68</v>
      </c>
      <c r="I36" t="s">
        <v>296</v>
      </c>
      <c r="J36" t="s">
        <v>364</v>
      </c>
      <c r="K36" t="s">
        <v>526</v>
      </c>
      <c r="L36" t="s">
        <v>203</v>
      </c>
      <c r="M36" t="s">
        <v>512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512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56.68</v>
      </c>
      <c r="AS36">
        <f>$H$36*$Y$36</f>
        <v>56.68</v>
      </c>
      <c r="AT36">
        <f>$H$36*$Z$36</f>
        <v>56.68</v>
      </c>
      <c r="AU36">
        <f>$H$36*$AA$36</f>
        <v>56.68</v>
      </c>
      <c r="AV36">
        <f>$H$36*$AB$36</f>
        <v>56.68</v>
      </c>
      <c r="AW36">
        <f>$H$36*$AC$36</f>
        <v>56.68</v>
      </c>
      <c r="AX36">
        <f>$H$36*$AD$36</f>
        <v>56.68</v>
      </c>
      <c r="AY36">
        <f>$H$36*$AE$36</f>
        <v>56.68</v>
      </c>
      <c r="AZ36">
        <f>$H$36*$AF$36</f>
        <v>56.68</v>
      </c>
    </row>
    <row r="37" spans="1:52" x14ac:dyDescent="0.25">
      <c r="A37">
        <v>79</v>
      </c>
      <c r="B37" t="s">
        <v>286</v>
      </c>
      <c r="C37" t="s">
        <v>365</v>
      </c>
      <c r="D37">
        <v>1200</v>
      </c>
      <c r="E37">
        <v>5088</v>
      </c>
      <c r="F37" t="s">
        <v>308</v>
      </c>
      <c r="G37">
        <v>4.24</v>
      </c>
      <c r="H37">
        <v>6105.6</v>
      </c>
      <c r="I37" t="s">
        <v>296</v>
      </c>
      <c r="J37" t="s">
        <v>366</v>
      </c>
      <c r="K37" t="s">
        <v>527</v>
      </c>
      <c r="L37" t="s">
        <v>203</v>
      </c>
      <c r="M37" t="s">
        <v>493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493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3663.36</v>
      </c>
      <c r="AS37">
        <f>$H$37*$Y$37</f>
        <v>3663.36</v>
      </c>
      <c r="AT37">
        <f>$H$37*$Z$37</f>
        <v>3663.36</v>
      </c>
      <c r="AU37">
        <f>$H$37*$AA$37</f>
        <v>3663.36</v>
      </c>
      <c r="AV37">
        <f>$H$37*$AB$37</f>
        <v>3663.36</v>
      </c>
      <c r="AW37">
        <f>$H$37*$AC$37</f>
        <v>3663.36</v>
      </c>
      <c r="AX37">
        <f>$H$37*$AD$37</f>
        <v>3663.36</v>
      </c>
      <c r="AY37">
        <f>$H$37*$AE$37</f>
        <v>3663.36</v>
      </c>
      <c r="AZ37">
        <f>$H$37*$AF$37</f>
        <v>3663.36</v>
      </c>
    </row>
    <row r="38" spans="1:52" x14ac:dyDescent="0.25">
      <c r="A38">
        <v>80</v>
      </c>
      <c r="B38" t="s">
        <v>286</v>
      </c>
      <c r="C38" t="s">
        <v>361</v>
      </c>
      <c r="D38">
        <v>40</v>
      </c>
      <c r="E38">
        <v>48.4</v>
      </c>
      <c r="F38" t="s">
        <v>288</v>
      </c>
      <c r="G38">
        <v>1.21</v>
      </c>
      <c r="H38">
        <v>58.08</v>
      </c>
      <c r="I38" t="s">
        <v>296</v>
      </c>
      <c r="J38" t="s">
        <v>362</v>
      </c>
      <c r="K38" t="s">
        <v>525</v>
      </c>
      <c r="L38" t="s">
        <v>203</v>
      </c>
      <c r="M38" t="s">
        <v>493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493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34.847999999999999</v>
      </c>
      <c r="AS38">
        <f>$H$38*$Y$38</f>
        <v>34.847999999999999</v>
      </c>
      <c r="AT38">
        <f>$H$38*$Z$38</f>
        <v>34.847999999999999</v>
      </c>
      <c r="AU38">
        <f>$H$38*$AA$38</f>
        <v>34.847999999999999</v>
      </c>
      <c r="AV38">
        <f>$H$38*$AB$38</f>
        <v>34.847999999999999</v>
      </c>
      <c r="AW38">
        <f>$H$38*$AC$38</f>
        <v>34.847999999999999</v>
      </c>
      <c r="AX38">
        <f>$H$38*$AD$38</f>
        <v>34.847999999999999</v>
      </c>
      <c r="AY38">
        <f>$H$38*$AE$38</f>
        <v>34.847999999999999</v>
      </c>
      <c r="AZ38">
        <f>$H$38*$AF$38</f>
        <v>34.847999999999999</v>
      </c>
    </row>
    <row r="39" spans="1:52" x14ac:dyDescent="0.25">
      <c r="A39">
        <v>82</v>
      </c>
      <c r="B39" t="s">
        <v>286</v>
      </c>
      <c r="C39" t="s">
        <v>312</v>
      </c>
      <c r="D39">
        <v>4</v>
      </c>
      <c r="E39">
        <v>31</v>
      </c>
      <c r="F39" t="s">
        <v>288</v>
      </c>
      <c r="G39">
        <v>7.75</v>
      </c>
      <c r="H39">
        <v>37.200000000000003</v>
      </c>
      <c r="I39" t="s">
        <v>289</v>
      </c>
      <c r="J39" t="s">
        <v>313</v>
      </c>
      <c r="K39" t="s">
        <v>502</v>
      </c>
      <c r="L39" t="s">
        <v>203</v>
      </c>
      <c r="M39" t="s">
        <v>493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493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37.200000000000003</v>
      </c>
      <c r="AV39">
        <f>$H$39*$AB$39</f>
        <v>37.200000000000003</v>
      </c>
      <c r="AW39">
        <f>$H$39*$AC$39</f>
        <v>37.200000000000003</v>
      </c>
      <c r="AX39">
        <f>$H$39*$AD$39</f>
        <v>37.200000000000003</v>
      </c>
      <c r="AY39">
        <f>$H$39*$AE$39</f>
        <v>37.200000000000003</v>
      </c>
      <c r="AZ39">
        <f>$H$39*$AF$39</f>
        <v>37.200000000000003</v>
      </c>
    </row>
    <row r="40" spans="1:52" x14ac:dyDescent="0.25">
      <c r="A40">
        <v>83</v>
      </c>
      <c r="B40" t="s">
        <v>286</v>
      </c>
      <c r="C40" t="s">
        <v>314</v>
      </c>
      <c r="D40">
        <v>4</v>
      </c>
      <c r="E40">
        <v>52.56</v>
      </c>
      <c r="F40" t="s">
        <v>288</v>
      </c>
      <c r="G40">
        <v>13.14</v>
      </c>
      <c r="H40">
        <v>63.08</v>
      </c>
      <c r="I40" t="s">
        <v>292</v>
      </c>
      <c r="J40" t="s">
        <v>315</v>
      </c>
      <c r="K40" t="s">
        <v>503</v>
      </c>
      <c r="L40" t="s">
        <v>203</v>
      </c>
      <c r="M40" t="s">
        <v>493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493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63.08</v>
      </c>
      <c r="AV40">
        <f>$H$40*$AB$40</f>
        <v>63.08</v>
      </c>
      <c r="AW40">
        <f>$H$40*$AC$40</f>
        <v>63.08</v>
      </c>
      <c r="AX40">
        <f>$H$40*$AD$40</f>
        <v>63.08</v>
      </c>
      <c r="AY40">
        <f>$H$40*$AE$40</f>
        <v>63.08</v>
      </c>
      <c r="AZ40">
        <f>$H$40*$AF$40</f>
        <v>63.08</v>
      </c>
    </row>
    <row r="41" spans="1:52" x14ac:dyDescent="0.25">
      <c r="A41">
        <v>84</v>
      </c>
      <c r="B41" t="s">
        <v>286</v>
      </c>
      <c r="C41" t="s">
        <v>367</v>
      </c>
      <c r="D41">
        <v>4</v>
      </c>
      <c r="E41">
        <v>22.08</v>
      </c>
      <c r="F41" t="s">
        <v>288</v>
      </c>
      <c r="G41">
        <v>5.52</v>
      </c>
      <c r="H41">
        <v>26.5</v>
      </c>
      <c r="I41" t="s">
        <v>292</v>
      </c>
      <c r="J41" t="s">
        <v>368</v>
      </c>
      <c r="K41" t="s">
        <v>528</v>
      </c>
      <c r="L41" t="s">
        <v>203</v>
      </c>
      <c r="M41" t="s">
        <v>493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493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26.5</v>
      </c>
      <c r="AX41">
        <f>$H$41*$AD$41</f>
        <v>26.5</v>
      </c>
      <c r="AY41">
        <f>$H$41*$AE$41</f>
        <v>26.5</v>
      </c>
      <c r="AZ41">
        <f>$H$41*$AF$41</f>
        <v>26.5</v>
      </c>
    </row>
    <row r="42" spans="1:52" x14ac:dyDescent="0.25">
      <c r="A42">
        <v>85</v>
      </c>
      <c r="B42" t="s">
        <v>286</v>
      </c>
      <c r="C42" t="s">
        <v>316</v>
      </c>
      <c r="D42">
        <v>104</v>
      </c>
      <c r="E42">
        <v>168.48</v>
      </c>
      <c r="F42" t="s">
        <v>308</v>
      </c>
      <c r="G42">
        <v>1.62</v>
      </c>
      <c r="H42">
        <v>202.18</v>
      </c>
      <c r="I42" t="s">
        <v>289</v>
      </c>
      <c r="J42" t="s">
        <v>317</v>
      </c>
      <c r="K42" t="s">
        <v>504</v>
      </c>
      <c r="L42" t="s">
        <v>203</v>
      </c>
      <c r="M42" t="s">
        <v>493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493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202.18</v>
      </c>
      <c r="AO42">
        <f>$H$42*$U$42</f>
        <v>202.18</v>
      </c>
      <c r="AP42">
        <f>$H$42*$V$42</f>
        <v>202.18</v>
      </c>
      <c r="AQ42">
        <f>$H$42*$W$42</f>
        <v>202.18</v>
      </c>
      <c r="AR42">
        <f>$H$42*$X$42</f>
        <v>202.18</v>
      </c>
      <c r="AS42">
        <f>$H$42*$Y$42</f>
        <v>202.18</v>
      </c>
      <c r="AT42">
        <f>$H$42*$Z$42</f>
        <v>202.18</v>
      </c>
      <c r="AU42">
        <f>$H$42*$AA$42</f>
        <v>202.18</v>
      </c>
      <c r="AV42">
        <f>$H$42*$AB$42</f>
        <v>202.18</v>
      </c>
      <c r="AW42">
        <f>$H$42*$AC$42</f>
        <v>202.18</v>
      </c>
      <c r="AX42">
        <f>$H$42*$AD$42</f>
        <v>202.18</v>
      </c>
      <c r="AY42">
        <f>$H$42*$AE$42</f>
        <v>202.18</v>
      </c>
      <c r="AZ42">
        <f>$H$42*$AF$42</f>
        <v>202.18</v>
      </c>
    </row>
    <row r="43" spans="1:52" x14ac:dyDescent="0.25">
      <c r="A43">
        <v>86</v>
      </c>
      <c r="B43" t="s">
        <v>286</v>
      </c>
      <c r="C43" t="s">
        <v>369</v>
      </c>
      <c r="D43">
        <v>104</v>
      </c>
      <c r="E43">
        <v>350.48</v>
      </c>
      <c r="F43" t="s">
        <v>308</v>
      </c>
      <c r="G43">
        <v>3.37</v>
      </c>
      <c r="H43">
        <v>420.58</v>
      </c>
      <c r="I43" t="s">
        <v>319</v>
      </c>
      <c r="J43" t="s">
        <v>370</v>
      </c>
      <c r="K43" t="s">
        <v>529</v>
      </c>
      <c r="L43" t="s">
        <v>203</v>
      </c>
      <c r="M43" t="s">
        <v>493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493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105.145</v>
      </c>
      <c r="AN43">
        <f>$H$43*$T$43</f>
        <v>105.145</v>
      </c>
      <c r="AO43">
        <f>$H$43*$U$43</f>
        <v>105.145</v>
      </c>
      <c r="AP43">
        <f>$H$43*$V$43</f>
        <v>105.145</v>
      </c>
      <c r="AQ43">
        <f>$H$43*$W$43</f>
        <v>105.145</v>
      </c>
      <c r="AR43">
        <f>$H$43*$X$43</f>
        <v>210.29</v>
      </c>
      <c r="AS43">
        <f>$H$43*$Y$43</f>
        <v>210.29</v>
      </c>
      <c r="AT43">
        <f>$H$43*$Z$43</f>
        <v>210.29</v>
      </c>
      <c r="AU43">
        <f>$H$43*$AA$43</f>
        <v>420.58</v>
      </c>
      <c r="AV43">
        <f>$H$43*$AB$43</f>
        <v>420.58</v>
      </c>
      <c r="AW43">
        <f>$H$43*$AC$43</f>
        <v>420.58</v>
      </c>
      <c r="AX43">
        <f>$H$43*$AD$43</f>
        <v>420.58</v>
      </c>
      <c r="AY43">
        <f>$H$43*$AE$43</f>
        <v>420.58</v>
      </c>
      <c r="AZ43">
        <f>$H$43*$AF$43</f>
        <v>420.58</v>
      </c>
    </row>
    <row r="44" spans="1:52" x14ac:dyDescent="0.25">
      <c r="A44">
        <v>87</v>
      </c>
      <c r="B44" t="s">
        <v>286</v>
      </c>
      <c r="C44" t="s">
        <v>371</v>
      </c>
      <c r="D44">
        <v>1</v>
      </c>
      <c r="E44">
        <v>49.16</v>
      </c>
      <c r="F44" t="s">
        <v>294</v>
      </c>
      <c r="G44">
        <v>49.16</v>
      </c>
      <c r="H44">
        <v>59</v>
      </c>
      <c r="I44" t="s">
        <v>322</v>
      </c>
      <c r="J44" t="s">
        <v>372</v>
      </c>
      <c r="K44" t="s">
        <v>530</v>
      </c>
      <c r="L44" t="s">
        <v>203</v>
      </c>
      <c r="M44" t="s">
        <v>493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493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59</v>
      </c>
      <c r="AV44">
        <f>$H$44*$AB$44</f>
        <v>59</v>
      </c>
      <c r="AW44">
        <f>$H$44*$AC$44</f>
        <v>59</v>
      </c>
      <c r="AX44">
        <f>$H$44*$AD$44</f>
        <v>59</v>
      </c>
      <c r="AY44">
        <f>$H$44*$AE$44</f>
        <v>59</v>
      </c>
      <c r="AZ44">
        <f>$H$44*$AF$44</f>
        <v>59</v>
      </c>
    </row>
    <row r="45" spans="1:52" x14ac:dyDescent="0.25">
      <c r="A45">
        <v>88</v>
      </c>
      <c r="B45" t="s">
        <v>286</v>
      </c>
      <c r="C45" t="s">
        <v>373</v>
      </c>
      <c r="D45">
        <v>1</v>
      </c>
      <c r="E45">
        <v>411.33</v>
      </c>
      <c r="F45" t="s">
        <v>294</v>
      </c>
      <c r="G45">
        <v>411.33</v>
      </c>
      <c r="H45">
        <v>493.59</v>
      </c>
      <c r="I45" t="s">
        <v>325</v>
      </c>
      <c r="J45" t="s">
        <v>356</v>
      </c>
      <c r="K45" t="s">
        <v>531</v>
      </c>
      <c r="L45" t="s">
        <v>203</v>
      </c>
      <c r="M45" t="s">
        <v>493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493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493.59</v>
      </c>
      <c r="AO45">
        <f>$H$45*$U$45</f>
        <v>493.59</v>
      </c>
      <c r="AP45">
        <f>$H$45*$V$45</f>
        <v>493.59</v>
      </c>
      <c r="AQ45">
        <f>$H$45*$W$45</f>
        <v>493.59</v>
      </c>
      <c r="AR45">
        <f>$H$45*$X$45</f>
        <v>493.59</v>
      </c>
      <c r="AS45">
        <f>$H$45*$Y$45</f>
        <v>493.59</v>
      </c>
      <c r="AT45">
        <f>$H$45*$Z$45</f>
        <v>493.59</v>
      </c>
      <c r="AU45">
        <f>$H$45*$AA$45</f>
        <v>493.59</v>
      </c>
      <c r="AV45">
        <f>$H$45*$AB$45</f>
        <v>493.59</v>
      </c>
      <c r="AW45">
        <f>$H$45*$AC$45</f>
        <v>493.59</v>
      </c>
      <c r="AX45">
        <f>$H$45*$AD$45</f>
        <v>493.59</v>
      </c>
      <c r="AY45">
        <f>$H$45*$AE$45</f>
        <v>493.59</v>
      </c>
      <c r="AZ45">
        <f>$H$45*$AF$45</f>
        <v>493.59</v>
      </c>
    </row>
    <row r="46" spans="1:52" x14ac:dyDescent="0.25">
      <c r="A46">
        <v>89</v>
      </c>
      <c r="B46" t="s">
        <v>286</v>
      </c>
      <c r="C46" t="s">
        <v>327</v>
      </c>
      <c r="D46">
        <v>2</v>
      </c>
      <c r="E46">
        <v>106.5</v>
      </c>
      <c r="F46" t="s">
        <v>294</v>
      </c>
      <c r="G46">
        <v>53.25</v>
      </c>
      <c r="H46">
        <v>127.8</v>
      </c>
      <c r="I46" t="s">
        <v>289</v>
      </c>
      <c r="J46" t="s">
        <v>328</v>
      </c>
      <c r="K46" t="s">
        <v>508</v>
      </c>
      <c r="L46" t="s">
        <v>203</v>
      </c>
      <c r="M46" t="s">
        <v>493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493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127.8</v>
      </c>
      <c r="AN46">
        <f>$H$46*$T$46</f>
        <v>127.8</v>
      </c>
      <c r="AO46">
        <f>$H$46*$U$46</f>
        <v>127.8</v>
      </c>
      <c r="AP46">
        <f>$H$46*$V$46</f>
        <v>127.8</v>
      </c>
      <c r="AQ46">
        <f>$H$46*$W$46</f>
        <v>127.8</v>
      </c>
      <c r="AR46">
        <f>$H$46*$X$46</f>
        <v>127.8</v>
      </c>
      <c r="AS46">
        <f>$H$46*$Y$46</f>
        <v>127.8</v>
      </c>
      <c r="AT46">
        <f>$H$46*$Z$46</f>
        <v>127.8</v>
      </c>
      <c r="AU46">
        <f>$H$46*$AA$46</f>
        <v>127.8</v>
      </c>
      <c r="AV46">
        <f>$H$46*$AB$46</f>
        <v>127.8</v>
      </c>
      <c r="AW46">
        <f>$H$46*$AC$46</f>
        <v>127.8</v>
      </c>
      <c r="AX46">
        <f>$H$46*$AD$46</f>
        <v>127.8</v>
      </c>
      <c r="AY46">
        <f>$H$46*$AE$46</f>
        <v>127.8</v>
      </c>
      <c r="AZ46">
        <f>$H$46*$AF$46</f>
        <v>127.8</v>
      </c>
    </row>
    <row r="47" spans="1:52" x14ac:dyDescent="0.25">
      <c r="A47">
        <v>90</v>
      </c>
      <c r="B47" t="s">
        <v>286</v>
      </c>
      <c r="C47" t="s">
        <v>329</v>
      </c>
      <c r="D47">
        <v>2</v>
      </c>
      <c r="E47">
        <v>126.46</v>
      </c>
      <c r="F47" t="s">
        <v>294</v>
      </c>
      <c r="G47">
        <v>63.23</v>
      </c>
      <c r="H47">
        <v>151.76</v>
      </c>
      <c r="I47" t="s">
        <v>289</v>
      </c>
      <c r="J47" t="s">
        <v>325</v>
      </c>
      <c r="K47" t="s">
        <v>509</v>
      </c>
      <c r="L47" t="s">
        <v>203</v>
      </c>
      <c r="M47" t="s">
        <v>493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493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151.76</v>
      </c>
      <c r="AN47">
        <f>$H$47*$T$47</f>
        <v>151.76</v>
      </c>
      <c r="AO47">
        <f>$H$47*$U$47</f>
        <v>151.76</v>
      </c>
      <c r="AP47">
        <f>$H$47*$V$47</f>
        <v>151.76</v>
      </c>
      <c r="AQ47">
        <f>$H$47*$W$47</f>
        <v>151.76</v>
      </c>
      <c r="AR47">
        <f>$H$47*$X$47</f>
        <v>151.76</v>
      </c>
      <c r="AS47">
        <f>$H$47*$Y$47</f>
        <v>151.76</v>
      </c>
      <c r="AT47">
        <f>$H$47*$Z$47</f>
        <v>151.76</v>
      </c>
      <c r="AU47">
        <f>$H$47*$AA$47</f>
        <v>151.76</v>
      </c>
      <c r="AV47">
        <f>$H$47*$AB$47</f>
        <v>151.76</v>
      </c>
      <c r="AW47">
        <f>$H$47*$AC$47</f>
        <v>151.76</v>
      </c>
      <c r="AX47">
        <f>$H$47*$AD$47</f>
        <v>151.76</v>
      </c>
      <c r="AY47">
        <f>$H$47*$AE$47</f>
        <v>151.76</v>
      </c>
      <c r="AZ47">
        <f>$H$47*$AF$47</f>
        <v>151.76</v>
      </c>
    </row>
    <row r="48" spans="1:52" x14ac:dyDescent="0.25">
      <c r="A48">
        <v>91</v>
      </c>
      <c r="B48" t="s">
        <v>262</v>
      </c>
      <c r="C48" t="s">
        <v>374</v>
      </c>
      <c r="D48">
        <v>55</v>
      </c>
      <c r="E48">
        <v>1706.65</v>
      </c>
      <c r="F48" t="s">
        <v>308</v>
      </c>
      <c r="G48">
        <v>31.03</v>
      </c>
      <c r="H48">
        <v>2047.99</v>
      </c>
      <c r="I48" t="s">
        <v>375</v>
      </c>
      <c r="J48" t="s">
        <v>376</v>
      </c>
      <c r="K48" t="s">
        <v>532</v>
      </c>
      <c r="L48" t="s">
        <v>203</v>
      </c>
      <c r="M48" t="s">
        <v>262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0.25</v>
      </c>
      <c r="T48">
        <v>0.25</v>
      </c>
      <c r="U48">
        <v>0.25</v>
      </c>
      <c r="V48">
        <v>0.25</v>
      </c>
      <c r="W48">
        <v>0.25</v>
      </c>
      <c r="X48">
        <v>0.5</v>
      </c>
      <c r="Y48">
        <v>0.5</v>
      </c>
      <c r="Z48">
        <v>0.5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262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511.9975</v>
      </c>
      <c r="AN48">
        <f>$H$48*$T$48</f>
        <v>511.9975</v>
      </c>
      <c r="AO48">
        <f>$H$48*$U$48</f>
        <v>511.9975</v>
      </c>
      <c r="AP48">
        <f>$H$48*$V$48</f>
        <v>511.9975</v>
      </c>
      <c r="AQ48">
        <f>$H$48*$W$48</f>
        <v>511.9975</v>
      </c>
      <c r="AR48">
        <f>$H$48*$X$48</f>
        <v>1023.995</v>
      </c>
      <c r="AS48">
        <f>$H$48*$Y$48</f>
        <v>1023.995</v>
      </c>
      <c r="AT48">
        <f>$H$48*$Z$48</f>
        <v>1023.995</v>
      </c>
      <c r="AU48">
        <f>$H$48*$AA$48</f>
        <v>2047.99</v>
      </c>
      <c r="AV48">
        <f>$H$48*$AB$48</f>
        <v>2047.99</v>
      </c>
      <c r="AW48">
        <f>$H$48*$AC$48</f>
        <v>2047.99</v>
      </c>
      <c r="AX48">
        <f>$H$48*$AD$48</f>
        <v>2047.99</v>
      </c>
      <c r="AY48">
        <f>$H$48*$AE$48</f>
        <v>2047.99</v>
      </c>
      <c r="AZ48">
        <f>$H$48*$AF$48</f>
        <v>2047.99</v>
      </c>
    </row>
    <row r="49" spans="1:52" x14ac:dyDescent="0.25">
      <c r="A49">
        <v>92</v>
      </c>
      <c r="B49" t="s">
        <v>262</v>
      </c>
      <c r="C49" t="s">
        <v>377</v>
      </c>
      <c r="D49">
        <v>55</v>
      </c>
      <c r="E49">
        <v>680.9</v>
      </c>
      <c r="F49" t="s">
        <v>308</v>
      </c>
      <c r="G49">
        <v>12.38</v>
      </c>
      <c r="H49">
        <v>817.08</v>
      </c>
      <c r="I49" t="s">
        <v>378</v>
      </c>
      <c r="J49" t="s">
        <v>379</v>
      </c>
      <c r="K49" t="s">
        <v>533</v>
      </c>
      <c r="L49" t="s">
        <v>203</v>
      </c>
      <c r="M49" t="s">
        <v>262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262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817.08</v>
      </c>
      <c r="AN49">
        <f>$H$49*$T$49</f>
        <v>817.08</v>
      </c>
      <c r="AO49">
        <f>$H$49*$U$49</f>
        <v>817.08</v>
      </c>
      <c r="AP49">
        <f>$H$49*$V$49</f>
        <v>817.08</v>
      </c>
      <c r="AQ49">
        <f>$H$49*$W$49</f>
        <v>817.08</v>
      </c>
      <c r="AR49">
        <f>$H$49*$X$49</f>
        <v>817.08</v>
      </c>
      <c r="AS49">
        <f>$H$49*$Y$49</f>
        <v>817.08</v>
      </c>
      <c r="AT49">
        <f>$H$49*$Z$49</f>
        <v>817.08</v>
      </c>
      <c r="AU49">
        <f>$H$49*$AA$49</f>
        <v>817.08</v>
      </c>
      <c r="AV49">
        <f>$H$49*$AB$49</f>
        <v>817.08</v>
      </c>
      <c r="AW49">
        <f>$H$49*$AC$49</f>
        <v>817.08</v>
      </c>
      <c r="AX49">
        <f>$H$49*$AD$49</f>
        <v>817.08</v>
      </c>
      <c r="AY49">
        <f>$H$49*$AE$49</f>
        <v>817.08</v>
      </c>
      <c r="AZ49">
        <f>$H$49*$AF$49</f>
        <v>817.08</v>
      </c>
    </row>
    <row r="50" spans="1:52" x14ac:dyDescent="0.25">
      <c r="A50">
        <v>93</v>
      </c>
      <c r="B50" t="s">
        <v>262</v>
      </c>
      <c r="C50" t="s">
        <v>380</v>
      </c>
      <c r="D50">
        <v>1</v>
      </c>
      <c r="E50">
        <v>37.39</v>
      </c>
      <c r="F50" t="s">
        <v>294</v>
      </c>
      <c r="G50">
        <v>37.39</v>
      </c>
      <c r="H50">
        <v>44.87</v>
      </c>
      <c r="I50" t="s">
        <v>322</v>
      </c>
      <c r="J50" t="s">
        <v>381</v>
      </c>
      <c r="K50" t="s">
        <v>534</v>
      </c>
      <c r="L50" t="s">
        <v>203</v>
      </c>
      <c r="M50" t="s">
        <v>262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262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44.87</v>
      </c>
      <c r="AV50">
        <f>$H$50*$AB$50</f>
        <v>44.87</v>
      </c>
      <c r="AW50">
        <f>$H$50*$AC$50</f>
        <v>44.87</v>
      </c>
      <c r="AX50">
        <f>$H$50*$AD$50</f>
        <v>44.87</v>
      </c>
      <c r="AY50">
        <f>$H$50*$AE$50</f>
        <v>44.87</v>
      </c>
      <c r="AZ50">
        <f>$H$50*$AF$50</f>
        <v>44.87</v>
      </c>
    </row>
    <row r="51" spans="1:52" x14ac:dyDescent="0.25">
      <c r="A51">
        <v>94</v>
      </c>
      <c r="B51" t="s">
        <v>262</v>
      </c>
      <c r="C51" t="s">
        <v>312</v>
      </c>
      <c r="D51">
        <v>12</v>
      </c>
      <c r="E51">
        <v>93</v>
      </c>
      <c r="F51" t="s">
        <v>288</v>
      </c>
      <c r="G51">
        <v>7.75</v>
      </c>
      <c r="H51">
        <v>111.6</v>
      </c>
      <c r="I51" t="s">
        <v>289</v>
      </c>
      <c r="J51" t="s">
        <v>313</v>
      </c>
      <c r="K51" t="s">
        <v>502</v>
      </c>
      <c r="L51" t="s">
        <v>203</v>
      </c>
      <c r="M51" t="s">
        <v>262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262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111.6</v>
      </c>
      <c r="AV51">
        <f>$H$51*$AB$51</f>
        <v>111.6</v>
      </c>
      <c r="AW51">
        <f>$H$51*$AC$51</f>
        <v>111.6</v>
      </c>
      <c r="AX51">
        <f>$H$51*$AD$51</f>
        <v>111.6</v>
      </c>
      <c r="AY51">
        <f>$H$51*$AE$51</f>
        <v>111.6</v>
      </c>
      <c r="AZ51">
        <f>$H$51*$AF$51</f>
        <v>111.6</v>
      </c>
    </row>
    <row r="52" spans="1:52" x14ac:dyDescent="0.25">
      <c r="A52">
        <v>95</v>
      </c>
      <c r="B52" t="s">
        <v>262</v>
      </c>
      <c r="C52" t="s">
        <v>314</v>
      </c>
      <c r="D52">
        <v>12</v>
      </c>
      <c r="E52">
        <v>157.68</v>
      </c>
      <c r="F52" t="s">
        <v>288</v>
      </c>
      <c r="G52">
        <v>13.14</v>
      </c>
      <c r="H52">
        <v>189.22</v>
      </c>
      <c r="I52" t="s">
        <v>292</v>
      </c>
      <c r="J52" t="s">
        <v>315</v>
      </c>
      <c r="K52" t="s">
        <v>503</v>
      </c>
      <c r="L52" t="s">
        <v>203</v>
      </c>
      <c r="M52" t="s">
        <v>262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262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189.22</v>
      </c>
      <c r="AV52">
        <f>$H$52*$AB$52</f>
        <v>189.22</v>
      </c>
      <c r="AW52">
        <f>$H$52*$AC$52</f>
        <v>189.22</v>
      </c>
      <c r="AX52">
        <f>$H$52*$AD$52</f>
        <v>189.22</v>
      </c>
      <c r="AY52">
        <f>$H$52*$AE$52</f>
        <v>189.22</v>
      </c>
      <c r="AZ52">
        <f>$H$52*$AF$52</f>
        <v>189.22</v>
      </c>
    </row>
    <row r="53" spans="1:52" x14ac:dyDescent="0.25">
      <c r="A53">
        <v>96</v>
      </c>
      <c r="B53" t="s">
        <v>262</v>
      </c>
      <c r="C53" t="s">
        <v>382</v>
      </c>
      <c r="D53">
        <v>1</v>
      </c>
      <c r="E53">
        <v>37.44</v>
      </c>
      <c r="F53" t="s">
        <v>294</v>
      </c>
      <c r="G53">
        <v>37.44</v>
      </c>
      <c r="H53">
        <v>44.92</v>
      </c>
      <c r="I53" t="s">
        <v>322</v>
      </c>
      <c r="J53" t="s">
        <v>383</v>
      </c>
      <c r="K53" t="s">
        <v>535</v>
      </c>
      <c r="L53" t="s">
        <v>203</v>
      </c>
      <c r="M53" t="s">
        <v>262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262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44.92</v>
      </c>
      <c r="AV53">
        <f>$H$53*$AB$53</f>
        <v>44.92</v>
      </c>
      <c r="AW53">
        <f>$H$53*$AC$53</f>
        <v>44.92</v>
      </c>
      <c r="AX53">
        <f>$H$53*$AD$53</f>
        <v>44.92</v>
      </c>
      <c r="AY53">
        <f>$H$53*$AE$53</f>
        <v>44.92</v>
      </c>
      <c r="AZ53">
        <f>$H$53*$AF$53</f>
        <v>44.92</v>
      </c>
    </row>
    <row r="54" spans="1:52" x14ac:dyDescent="0.25">
      <c r="A54">
        <v>97</v>
      </c>
      <c r="B54" t="s">
        <v>262</v>
      </c>
      <c r="C54" t="s">
        <v>384</v>
      </c>
      <c r="D54">
        <v>1</v>
      </c>
      <c r="E54">
        <v>33.979999999999997</v>
      </c>
      <c r="F54" t="s">
        <v>294</v>
      </c>
      <c r="G54">
        <v>33.979999999999997</v>
      </c>
      <c r="H54">
        <v>40.78</v>
      </c>
      <c r="I54" t="s">
        <v>322</v>
      </c>
      <c r="J54" t="s">
        <v>385</v>
      </c>
      <c r="K54" t="s">
        <v>536</v>
      </c>
      <c r="L54" t="s">
        <v>203</v>
      </c>
      <c r="M54" t="s">
        <v>262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262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40.78</v>
      </c>
      <c r="AT54">
        <f>$H$54*$Z$54</f>
        <v>40.78</v>
      </c>
      <c r="AU54">
        <f>$H$54*$AA$54</f>
        <v>40.78</v>
      </c>
      <c r="AV54">
        <f>$H$54*$AB$54</f>
        <v>40.78</v>
      </c>
      <c r="AW54">
        <f>$H$54*$AC$54</f>
        <v>40.78</v>
      </c>
      <c r="AX54">
        <f>$H$54*$AD$54</f>
        <v>40.78</v>
      </c>
      <c r="AY54">
        <f>$H$54*$AE$54</f>
        <v>40.78</v>
      </c>
      <c r="AZ54">
        <f>$H$54*$AF$54</f>
        <v>40.78</v>
      </c>
    </row>
    <row r="55" spans="1:52" x14ac:dyDescent="0.25">
      <c r="A55">
        <v>98</v>
      </c>
      <c r="B55" t="s">
        <v>262</v>
      </c>
      <c r="C55" t="s">
        <v>386</v>
      </c>
      <c r="D55">
        <v>2</v>
      </c>
      <c r="E55">
        <v>32.28</v>
      </c>
      <c r="F55" t="s">
        <v>294</v>
      </c>
      <c r="G55">
        <v>16.14</v>
      </c>
      <c r="H55">
        <v>38.74</v>
      </c>
      <c r="I55" t="s">
        <v>296</v>
      </c>
      <c r="J55" t="s">
        <v>387</v>
      </c>
      <c r="K55" t="s">
        <v>537</v>
      </c>
      <c r="L55" t="s">
        <v>203</v>
      </c>
      <c r="M55" t="s">
        <v>262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262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38.74</v>
      </c>
      <c r="AS55">
        <f>$H$55*$Y$55</f>
        <v>38.74</v>
      </c>
      <c r="AT55">
        <f>$H$55*$Z$55</f>
        <v>38.74</v>
      </c>
      <c r="AU55">
        <f>$H$55*$AA$55</f>
        <v>38.74</v>
      </c>
      <c r="AV55">
        <f>$H$55*$AB$55</f>
        <v>38.74</v>
      </c>
      <c r="AW55">
        <f>$H$55*$AC$55</f>
        <v>38.74</v>
      </c>
      <c r="AX55">
        <f>$H$55*$AD$55</f>
        <v>38.74</v>
      </c>
      <c r="AY55">
        <f>$H$55*$AE$55</f>
        <v>38.74</v>
      </c>
      <c r="AZ55">
        <f>$H$55*$AF$55</f>
        <v>38.74</v>
      </c>
    </row>
    <row r="56" spans="1:52" x14ac:dyDescent="0.25">
      <c r="A56">
        <v>99</v>
      </c>
      <c r="B56" t="s">
        <v>262</v>
      </c>
      <c r="C56" t="s">
        <v>388</v>
      </c>
      <c r="D56">
        <v>6</v>
      </c>
      <c r="E56">
        <v>114.18</v>
      </c>
      <c r="F56" t="s">
        <v>308</v>
      </c>
      <c r="G56">
        <v>19.03</v>
      </c>
      <c r="H56">
        <v>137.02000000000001</v>
      </c>
      <c r="I56" t="s">
        <v>389</v>
      </c>
      <c r="J56" t="s">
        <v>356</v>
      </c>
      <c r="K56" t="s">
        <v>538</v>
      </c>
      <c r="L56" t="s">
        <v>203</v>
      </c>
      <c r="M56" t="s">
        <v>262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262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137.02000000000001</v>
      </c>
      <c r="AV56">
        <f>$H$56*$AB$56</f>
        <v>137.02000000000001</v>
      </c>
      <c r="AW56">
        <f>$H$56*$AC$56</f>
        <v>137.02000000000001</v>
      </c>
      <c r="AX56">
        <f>$H$56*$AD$56</f>
        <v>137.02000000000001</v>
      </c>
      <c r="AY56">
        <f>$H$56*$AE$56</f>
        <v>137.02000000000001</v>
      </c>
      <c r="AZ56">
        <f>$H$56*$AF$56</f>
        <v>137.02000000000001</v>
      </c>
    </row>
    <row r="57" spans="1:52" x14ac:dyDescent="0.25">
      <c r="A57">
        <v>100</v>
      </c>
      <c r="B57" t="s">
        <v>262</v>
      </c>
      <c r="C57" t="s">
        <v>390</v>
      </c>
      <c r="D57">
        <v>0.75</v>
      </c>
      <c r="E57">
        <v>494.51</v>
      </c>
      <c r="F57" t="s">
        <v>294</v>
      </c>
      <c r="G57">
        <v>659.35</v>
      </c>
      <c r="H57">
        <v>593.41</v>
      </c>
      <c r="I57" t="s">
        <v>309</v>
      </c>
      <c r="J57" t="s">
        <v>391</v>
      </c>
      <c r="K57" t="s">
        <v>539</v>
      </c>
      <c r="L57" t="s">
        <v>203</v>
      </c>
      <c r="M57" t="s">
        <v>262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262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593.41</v>
      </c>
      <c r="AV57">
        <f>$H$57*$AB$57</f>
        <v>593.41</v>
      </c>
      <c r="AW57">
        <f>$H$57*$AC$57</f>
        <v>593.41</v>
      </c>
      <c r="AX57">
        <f>$H$57*$AD$57</f>
        <v>593.41</v>
      </c>
      <c r="AY57">
        <f>$H$57*$AE$57</f>
        <v>593.41</v>
      </c>
      <c r="AZ57">
        <f>$H$57*$AF$57</f>
        <v>593.41</v>
      </c>
    </row>
    <row r="58" spans="1:52" x14ac:dyDescent="0.25">
      <c r="A58">
        <v>101</v>
      </c>
      <c r="B58" t="s">
        <v>262</v>
      </c>
      <c r="C58" t="s">
        <v>390</v>
      </c>
      <c r="D58">
        <v>0.75</v>
      </c>
      <c r="E58">
        <v>494.51</v>
      </c>
      <c r="F58" t="s">
        <v>294</v>
      </c>
      <c r="G58">
        <v>659.35</v>
      </c>
      <c r="H58">
        <v>593.41</v>
      </c>
      <c r="I58" t="s">
        <v>309</v>
      </c>
      <c r="J58" t="s">
        <v>391</v>
      </c>
      <c r="K58" t="s">
        <v>539</v>
      </c>
      <c r="L58" t="s">
        <v>203</v>
      </c>
      <c r="M58" t="s">
        <v>262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262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593.41</v>
      </c>
      <c r="AV58">
        <f>$H$58*$AB$58</f>
        <v>593.41</v>
      </c>
      <c r="AW58">
        <f>$H$58*$AC$58</f>
        <v>593.41</v>
      </c>
      <c r="AX58">
        <f>$H$58*$AD$58</f>
        <v>593.41</v>
      </c>
      <c r="AY58">
        <f>$H$58*$AE$58</f>
        <v>593.41</v>
      </c>
      <c r="AZ58">
        <f>$H$58*$AF$58</f>
        <v>593.41</v>
      </c>
    </row>
    <row r="59" spans="1:52" x14ac:dyDescent="0.25">
      <c r="A59">
        <v>102</v>
      </c>
      <c r="B59" t="s">
        <v>262</v>
      </c>
      <c r="C59" t="s">
        <v>390</v>
      </c>
      <c r="D59">
        <v>0.25</v>
      </c>
      <c r="E59">
        <v>164.84</v>
      </c>
      <c r="F59" t="s">
        <v>294</v>
      </c>
      <c r="G59">
        <v>659.35</v>
      </c>
      <c r="H59">
        <v>197.8</v>
      </c>
      <c r="I59" t="s">
        <v>309</v>
      </c>
      <c r="J59" t="s">
        <v>391</v>
      </c>
      <c r="K59" t="s">
        <v>539</v>
      </c>
      <c r="L59" t="s">
        <v>203</v>
      </c>
      <c r="M59" t="s">
        <v>262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262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197.8</v>
      </c>
      <c r="AV59">
        <f>$H$59*$AB$59</f>
        <v>197.8</v>
      </c>
      <c r="AW59">
        <f>$H$59*$AC$59</f>
        <v>197.8</v>
      </c>
      <c r="AX59">
        <f>$H$59*$AD$59</f>
        <v>197.8</v>
      </c>
      <c r="AY59">
        <f>$H$59*$AE$59</f>
        <v>197.8</v>
      </c>
      <c r="AZ59">
        <f>$H$59*$AF$59</f>
        <v>197.8</v>
      </c>
    </row>
    <row r="60" spans="1:52" x14ac:dyDescent="0.25">
      <c r="A60">
        <v>103</v>
      </c>
      <c r="B60" t="s">
        <v>262</v>
      </c>
      <c r="C60" t="s">
        <v>390</v>
      </c>
      <c r="D60">
        <v>0.25</v>
      </c>
      <c r="E60">
        <v>164.84</v>
      </c>
      <c r="F60" t="s">
        <v>294</v>
      </c>
      <c r="G60">
        <v>659.35</v>
      </c>
      <c r="H60">
        <v>197.8</v>
      </c>
      <c r="I60" t="s">
        <v>309</v>
      </c>
      <c r="J60" t="s">
        <v>391</v>
      </c>
      <c r="K60" t="s">
        <v>539</v>
      </c>
      <c r="L60" t="s">
        <v>203</v>
      </c>
      <c r="M60" t="s">
        <v>262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262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197.8</v>
      </c>
      <c r="AV60">
        <f>$H$60*$AB$60</f>
        <v>197.8</v>
      </c>
      <c r="AW60">
        <f>$H$60*$AC$60</f>
        <v>197.8</v>
      </c>
      <c r="AX60">
        <f>$H$60*$AD$60</f>
        <v>197.8</v>
      </c>
      <c r="AY60">
        <f>$H$60*$AE$60</f>
        <v>197.8</v>
      </c>
      <c r="AZ60">
        <f>$H$60*$AF$60</f>
        <v>197.8</v>
      </c>
    </row>
    <row r="61" spans="1:52" x14ac:dyDescent="0.25">
      <c r="A61">
        <v>104</v>
      </c>
      <c r="B61" t="s">
        <v>262</v>
      </c>
      <c r="C61" t="s">
        <v>392</v>
      </c>
      <c r="D61">
        <v>1</v>
      </c>
      <c r="E61">
        <v>59.87</v>
      </c>
      <c r="F61" t="s">
        <v>294</v>
      </c>
      <c r="G61">
        <v>59.87</v>
      </c>
      <c r="H61">
        <v>71.849999999999994</v>
      </c>
      <c r="I61" t="s">
        <v>309</v>
      </c>
      <c r="J61" t="s">
        <v>393</v>
      </c>
      <c r="K61" t="s">
        <v>540</v>
      </c>
      <c r="L61" t="s">
        <v>203</v>
      </c>
      <c r="M61" t="s">
        <v>262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262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71.849999999999994</v>
      </c>
      <c r="AT61">
        <f>$H$61*$Z$61</f>
        <v>71.849999999999994</v>
      </c>
      <c r="AU61">
        <f>$H$61*$AA$61</f>
        <v>71.849999999999994</v>
      </c>
      <c r="AV61">
        <f>$H$61*$AB$61</f>
        <v>71.849999999999994</v>
      </c>
      <c r="AW61">
        <f>$H$61*$AC$61</f>
        <v>71.849999999999994</v>
      </c>
      <c r="AX61">
        <f>$H$61*$AD$61</f>
        <v>71.849999999999994</v>
      </c>
      <c r="AY61">
        <f>$H$61*$AE$61</f>
        <v>71.849999999999994</v>
      </c>
      <c r="AZ61">
        <f>$H$61*$AF$61</f>
        <v>71.849999999999994</v>
      </c>
    </row>
    <row r="62" spans="1:52" x14ac:dyDescent="0.25">
      <c r="A62">
        <v>105</v>
      </c>
      <c r="B62" t="s">
        <v>262</v>
      </c>
      <c r="C62" t="s">
        <v>394</v>
      </c>
      <c r="D62">
        <v>1</v>
      </c>
      <c r="E62">
        <v>552.6</v>
      </c>
      <c r="F62" t="s">
        <v>294</v>
      </c>
      <c r="G62">
        <v>552.6</v>
      </c>
      <c r="H62">
        <v>663.12</v>
      </c>
      <c r="I62" t="s">
        <v>309</v>
      </c>
      <c r="J62" t="s">
        <v>395</v>
      </c>
      <c r="K62" t="s">
        <v>541</v>
      </c>
      <c r="L62" t="s">
        <v>203</v>
      </c>
      <c r="M62" t="s">
        <v>262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262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663.12</v>
      </c>
      <c r="AT62">
        <f>$H$62*$Z$62</f>
        <v>663.12</v>
      </c>
      <c r="AU62">
        <f>$H$62*$AA$62</f>
        <v>663.12</v>
      </c>
      <c r="AV62">
        <f>$H$62*$AB$62</f>
        <v>663.12</v>
      </c>
      <c r="AW62">
        <f>$H$62*$AC$62</f>
        <v>663.12</v>
      </c>
      <c r="AX62">
        <f>$H$62*$AD$62</f>
        <v>663.12</v>
      </c>
      <c r="AY62">
        <f>$H$62*$AE$62</f>
        <v>663.12</v>
      </c>
      <c r="AZ62">
        <f>$H$62*$AF$62</f>
        <v>663.12</v>
      </c>
    </row>
    <row r="63" spans="1:52" x14ac:dyDescent="0.25">
      <c r="A63">
        <v>106</v>
      </c>
      <c r="B63" t="s">
        <v>262</v>
      </c>
      <c r="C63" t="s">
        <v>396</v>
      </c>
      <c r="D63">
        <v>1</v>
      </c>
      <c r="E63">
        <v>975.35</v>
      </c>
      <c r="F63" t="s">
        <v>294</v>
      </c>
      <c r="G63">
        <v>975.35</v>
      </c>
      <c r="H63">
        <v>1170.43</v>
      </c>
      <c r="I63" t="s">
        <v>309</v>
      </c>
      <c r="J63" t="s">
        <v>397</v>
      </c>
      <c r="K63" t="s">
        <v>542</v>
      </c>
      <c r="L63" t="s">
        <v>203</v>
      </c>
      <c r="M63" t="s">
        <v>262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262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1170.43</v>
      </c>
      <c r="AT63">
        <f>$H$63*$Z$63</f>
        <v>1170.43</v>
      </c>
      <c r="AU63">
        <f>$H$63*$AA$63</f>
        <v>1170.43</v>
      </c>
      <c r="AV63">
        <f>$H$63*$AB$63</f>
        <v>1170.43</v>
      </c>
      <c r="AW63">
        <f>$H$63*$AC$63</f>
        <v>1170.43</v>
      </c>
      <c r="AX63">
        <f>$H$63*$AD$63</f>
        <v>1170.43</v>
      </c>
      <c r="AY63">
        <f>$H$63*$AE$63</f>
        <v>1170.43</v>
      </c>
      <c r="AZ63">
        <f>$H$63*$AF$63</f>
        <v>1170.43</v>
      </c>
    </row>
    <row r="64" spans="1:52" x14ac:dyDescent="0.25">
      <c r="A64">
        <v>107</v>
      </c>
      <c r="B64" t="s">
        <v>262</v>
      </c>
      <c r="C64" t="s">
        <v>398</v>
      </c>
      <c r="D64">
        <v>1</v>
      </c>
      <c r="E64">
        <v>35.32</v>
      </c>
      <c r="F64" t="s">
        <v>294</v>
      </c>
      <c r="G64">
        <v>35.32</v>
      </c>
      <c r="H64">
        <v>42.38</v>
      </c>
      <c r="I64" t="s">
        <v>322</v>
      </c>
      <c r="J64" t="s">
        <v>399</v>
      </c>
      <c r="K64" t="s">
        <v>543</v>
      </c>
      <c r="L64" t="s">
        <v>203</v>
      </c>
      <c r="M64" t="s">
        <v>262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262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42.38</v>
      </c>
      <c r="AV64">
        <f>$H$64*$AB$64</f>
        <v>42.38</v>
      </c>
      <c r="AW64">
        <f>$H$64*$AC$64</f>
        <v>42.38</v>
      </c>
      <c r="AX64">
        <f>$H$64*$AD$64</f>
        <v>42.38</v>
      </c>
      <c r="AY64">
        <f>$H$64*$AE$64</f>
        <v>42.38</v>
      </c>
      <c r="AZ64">
        <f>$H$64*$AF$64</f>
        <v>42.38</v>
      </c>
    </row>
    <row r="65" spans="1:52" x14ac:dyDescent="0.25">
      <c r="A65">
        <v>108</v>
      </c>
      <c r="B65" t="s">
        <v>262</v>
      </c>
      <c r="C65" t="s">
        <v>400</v>
      </c>
      <c r="D65">
        <v>1</v>
      </c>
      <c r="E65">
        <v>354.82</v>
      </c>
      <c r="F65" t="s">
        <v>294</v>
      </c>
      <c r="G65">
        <v>354.82</v>
      </c>
      <c r="H65">
        <v>425.78</v>
      </c>
      <c r="I65" t="s">
        <v>309</v>
      </c>
      <c r="J65" t="s">
        <v>401</v>
      </c>
      <c r="K65" t="s">
        <v>544</v>
      </c>
      <c r="L65" t="s">
        <v>203</v>
      </c>
      <c r="M65" t="s">
        <v>262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262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425.78</v>
      </c>
      <c r="AV65">
        <f>$H$65*$AB$65</f>
        <v>425.78</v>
      </c>
      <c r="AW65">
        <f>$H$65*$AC$65</f>
        <v>425.78</v>
      </c>
      <c r="AX65">
        <f>$H$65*$AD$65</f>
        <v>425.78</v>
      </c>
      <c r="AY65">
        <f>$H$65*$AE$65</f>
        <v>425.78</v>
      </c>
      <c r="AZ65">
        <f>$H$65*$AF$65</f>
        <v>425.78</v>
      </c>
    </row>
    <row r="66" spans="1:52" x14ac:dyDescent="0.25">
      <c r="A66">
        <v>109</v>
      </c>
      <c r="B66" t="s">
        <v>262</v>
      </c>
      <c r="C66" t="s">
        <v>402</v>
      </c>
      <c r="D66">
        <v>10</v>
      </c>
      <c r="E66">
        <v>79.8</v>
      </c>
      <c r="F66" t="s">
        <v>288</v>
      </c>
      <c r="G66">
        <v>7.98</v>
      </c>
      <c r="H66">
        <v>95.76</v>
      </c>
      <c r="I66" t="s">
        <v>302</v>
      </c>
      <c r="J66" t="s">
        <v>403</v>
      </c>
      <c r="K66" t="s">
        <v>545</v>
      </c>
      <c r="L66" t="s">
        <v>203</v>
      </c>
      <c r="M66" t="s">
        <v>262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262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95.76</v>
      </c>
      <c r="AY66">
        <f>$H$66*$AE$66</f>
        <v>95.76</v>
      </c>
      <c r="AZ66">
        <f>$H$66*$AF$66</f>
        <v>95.76</v>
      </c>
    </row>
    <row r="67" spans="1:52" x14ac:dyDescent="0.25">
      <c r="A67">
        <v>110</v>
      </c>
      <c r="B67" t="s">
        <v>262</v>
      </c>
      <c r="C67" t="s">
        <v>404</v>
      </c>
      <c r="D67">
        <v>1</v>
      </c>
      <c r="E67">
        <v>134</v>
      </c>
      <c r="F67" t="s">
        <v>294</v>
      </c>
      <c r="G67">
        <v>134</v>
      </c>
      <c r="H67">
        <v>160.80000000000001</v>
      </c>
      <c r="I67" t="s">
        <v>302</v>
      </c>
      <c r="J67" t="s">
        <v>405</v>
      </c>
      <c r="K67" t="s">
        <v>546</v>
      </c>
      <c r="L67" t="s">
        <v>203</v>
      </c>
      <c r="M67" t="s">
        <v>262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1</v>
      </c>
      <c r="AF67">
        <v>1</v>
      </c>
      <c r="AG67" t="s">
        <v>262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0</v>
      </c>
      <c r="AV67">
        <f>$H$67*$AB$67</f>
        <v>0</v>
      </c>
      <c r="AW67">
        <f>$H$67*$AC$67</f>
        <v>0</v>
      </c>
      <c r="AX67">
        <f>$H$67*$AD$67</f>
        <v>160.80000000000001</v>
      </c>
      <c r="AY67">
        <f>$H$67*$AE$67</f>
        <v>160.80000000000001</v>
      </c>
      <c r="AZ67">
        <f>$H$67*$AF$67</f>
        <v>160.80000000000001</v>
      </c>
    </row>
    <row r="68" spans="1:52" x14ac:dyDescent="0.25">
      <c r="A68">
        <v>111</v>
      </c>
      <c r="B68" t="s">
        <v>262</v>
      </c>
      <c r="C68" t="s">
        <v>406</v>
      </c>
      <c r="D68">
        <v>1</v>
      </c>
      <c r="E68">
        <v>116.2</v>
      </c>
      <c r="F68" t="s">
        <v>294</v>
      </c>
      <c r="G68">
        <v>116.2</v>
      </c>
      <c r="H68">
        <v>139.44</v>
      </c>
      <c r="I68" t="s">
        <v>299</v>
      </c>
      <c r="J68" t="s">
        <v>407</v>
      </c>
      <c r="K68" t="s">
        <v>547</v>
      </c>
      <c r="L68" t="s">
        <v>203</v>
      </c>
      <c r="M68" t="s">
        <v>262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262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139.44</v>
      </c>
      <c r="AY68">
        <f>$H$68*$AE$68</f>
        <v>139.44</v>
      </c>
      <c r="AZ68">
        <f>$H$68*$AF$68</f>
        <v>139.44</v>
      </c>
    </row>
    <row r="69" spans="1:52" x14ac:dyDescent="0.25">
      <c r="A69">
        <v>112</v>
      </c>
      <c r="B69" t="s">
        <v>262</v>
      </c>
      <c r="C69" t="s">
        <v>371</v>
      </c>
      <c r="D69">
        <v>1</v>
      </c>
      <c r="E69">
        <v>49.16</v>
      </c>
      <c r="F69" t="s">
        <v>294</v>
      </c>
      <c r="G69">
        <v>49.16</v>
      </c>
      <c r="H69">
        <v>59</v>
      </c>
      <c r="I69" t="s">
        <v>322</v>
      </c>
      <c r="J69" t="s">
        <v>372</v>
      </c>
      <c r="K69" t="s">
        <v>530</v>
      </c>
      <c r="L69" t="s">
        <v>203</v>
      </c>
      <c r="M69" t="s">
        <v>262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262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59</v>
      </c>
      <c r="AV69">
        <f>$H$69*$AB$69</f>
        <v>59</v>
      </c>
      <c r="AW69">
        <f>$H$69*$AC$69</f>
        <v>59</v>
      </c>
      <c r="AX69">
        <f>$H$69*$AD$69</f>
        <v>59</v>
      </c>
      <c r="AY69">
        <f>$H$69*$AE$69</f>
        <v>59</v>
      </c>
      <c r="AZ69">
        <f>$H$69*$AF$69</f>
        <v>59</v>
      </c>
    </row>
    <row r="70" spans="1:52" x14ac:dyDescent="0.25">
      <c r="A70">
        <v>113</v>
      </c>
      <c r="B70" t="s">
        <v>262</v>
      </c>
      <c r="C70" t="s">
        <v>329</v>
      </c>
      <c r="D70">
        <v>2</v>
      </c>
      <c r="E70">
        <v>126.46</v>
      </c>
      <c r="F70" t="s">
        <v>294</v>
      </c>
      <c r="G70">
        <v>63.23</v>
      </c>
      <c r="H70">
        <v>151.76</v>
      </c>
      <c r="I70" t="s">
        <v>289</v>
      </c>
      <c r="J70" t="s">
        <v>325</v>
      </c>
      <c r="K70" t="s">
        <v>509</v>
      </c>
      <c r="L70" t="s">
        <v>203</v>
      </c>
      <c r="M70" t="s">
        <v>262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262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151.76</v>
      </c>
      <c r="AN70">
        <f>$H$70*$T$70</f>
        <v>151.76</v>
      </c>
      <c r="AO70">
        <f>$H$70*$U$70</f>
        <v>151.76</v>
      </c>
      <c r="AP70">
        <f>$H$70*$V$70</f>
        <v>151.76</v>
      </c>
      <c r="AQ70">
        <f>$H$70*$W$70</f>
        <v>151.76</v>
      </c>
      <c r="AR70">
        <f>$H$70*$X$70</f>
        <v>151.76</v>
      </c>
      <c r="AS70">
        <f>$H$70*$Y$70</f>
        <v>151.76</v>
      </c>
      <c r="AT70">
        <f>$H$70*$Z$70</f>
        <v>151.76</v>
      </c>
      <c r="AU70">
        <f>$H$70*$AA$70</f>
        <v>151.76</v>
      </c>
      <c r="AV70">
        <f>$H$70*$AB$70</f>
        <v>151.76</v>
      </c>
      <c r="AW70">
        <f>$H$70*$AC$70</f>
        <v>151.76</v>
      </c>
      <c r="AX70">
        <f>$H$70*$AD$70</f>
        <v>151.76</v>
      </c>
      <c r="AY70">
        <f>$H$70*$AE$70</f>
        <v>151.76</v>
      </c>
      <c r="AZ70">
        <f>$H$70*$AF$70</f>
        <v>151.76</v>
      </c>
    </row>
    <row r="71" spans="1:52" x14ac:dyDescent="0.25">
      <c r="A71">
        <v>114</v>
      </c>
      <c r="B71" t="s">
        <v>262</v>
      </c>
      <c r="C71" t="s">
        <v>327</v>
      </c>
      <c r="D71">
        <v>2</v>
      </c>
      <c r="E71">
        <v>106.5</v>
      </c>
      <c r="F71" t="s">
        <v>294</v>
      </c>
      <c r="G71">
        <v>53.25</v>
      </c>
      <c r="H71">
        <v>127.8</v>
      </c>
      <c r="I71" t="s">
        <v>289</v>
      </c>
      <c r="J71" t="s">
        <v>328</v>
      </c>
      <c r="K71" t="s">
        <v>508</v>
      </c>
      <c r="L71" t="s">
        <v>203</v>
      </c>
      <c r="M71" t="s">
        <v>262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262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127.8</v>
      </c>
      <c r="AN71">
        <f>$H$71*$T$71</f>
        <v>127.8</v>
      </c>
      <c r="AO71">
        <f>$H$71*$U$71</f>
        <v>127.8</v>
      </c>
      <c r="AP71">
        <f>$H$71*$V$71</f>
        <v>127.8</v>
      </c>
      <c r="AQ71">
        <f>$H$71*$W$71</f>
        <v>127.8</v>
      </c>
      <c r="AR71">
        <f>$H$71*$X$71</f>
        <v>127.8</v>
      </c>
      <c r="AS71">
        <f>$H$71*$Y$71</f>
        <v>127.8</v>
      </c>
      <c r="AT71">
        <f>$H$71*$Z$71</f>
        <v>127.8</v>
      </c>
      <c r="AU71">
        <f>$H$71*$AA$71</f>
        <v>127.8</v>
      </c>
      <c r="AV71">
        <f>$H$71*$AB$71</f>
        <v>127.8</v>
      </c>
      <c r="AW71">
        <f>$H$71*$AC$71</f>
        <v>127.8</v>
      </c>
      <c r="AX71">
        <f>$H$71*$AD$71</f>
        <v>127.8</v>
      </c>
      <c r="AY71">
        <f>$H$71*$AE$71</f>
        <v>127.8</v>
      </c>
      <c r="AZ71">
        <f>$H$71*$AF$71</f>
        <v>127.8</v>
      </c>
    </row>
    <row r="72" spans="1:52" x14ac:dyDescent="0.25">
      <c r="A72">
        <v>115</v>
      </c>
      <c r="B72" t="s">
        <v>262</v>
      </c>
      <c r="C72" t="s">
        <v>373</v>
      </c>
      <c r="D72">
        <v>1</v>
      </c>
      <c r="E72">
        <v>411.33</v>
      </c>
      <c r="F72" t="s">
        <v>294</v>
      </c>
      <c r="G72">
        <v>411.33</v>
      </c>
      <c r="H72">
        <v>493.59</v>
      </c>
      <c r="I72" t="s">
        <v>325</v>
      </c>
      <c r="J72" t="s">
        <v>356</v>
      </c>
      <c r="K72" t="s">
        <v>531</v>
      </c>
      <c r="L72" t="s">
        <v>203</v>
      </c>
      <c r="M72" t="s">
        <v>262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262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493.59</v>
      </c>
      <c r="AO72">
        <f>$H$72*$U$72</f>
        <v>493.59</v>
      </c>
      <c r="AP72">
        <f>$H$72*$V$72</f>
        <v>493.59</v>
      </c>
      <c r="AQ72">
        <f>$H$72*$W$72</f>
        <v>493.59</v>
      </c>
      <c r="AR72">
        <f>$H$72*$X$72</f>
        <v>493.59</v>
      </c>
      <c r="AS72">
        <f>$H$72*$Y$72</f>
        <v>493.59</v>
      </c>
      <c r="AT72">
        <f>$H$72*$Z$72</f>
        <v>493.59</v>
      </c>
      <c r="AU72">
        <f>$H$72*$AA$72</f>
        <v>493.59</v>
      </c>
      <c r="AV72">
        <f>$H$72*$AB$72</f>
        <v>493.59</v>
      </c>
      <c r="AW72">
        <f>$H$72*$AC$72</f>
        <v>493.59</v>
      </c>
      <c r="AX72">
        <f>$H$72*$AD$72</f>
        <v>493.59</v>
      </c>
      <c r="AY72">
        <f>$H$72*$AE$72</f>
        <v>493.59</v>
      </c>
      <c r="AZ72">
        <f>$H$72*$AF$72</f>
        <v>493.59</v>
      </c>
    </row>
    <row r="73" spans="1:52" x14ac:dyDescent="0.25">
      <c r="A73">
        <v>116</v>
      </c>
      <c r="B73" t="s">
        <v>262</v>
      </c>
      <c r="C73" t="s">
        <v>408</v>
      </c>
      <c r="D73">
        <v>1</v>
      </c>
      <c r="E73">
        <v>37.340000000000003</v>
      </c>
      <c r="F73" t="s">
        <v>294</v>
      </c>
      <c r="G73">
        <v>37.340000000000003</v>
      </c>
      <c r="H73">
        <v>44.8</v>
      </c>
      <c r="I73" t="s">
        <v>296</v>
      </c>
      <c r="J73" t="s">
        <v>409</v>
      </c>
      <c r="K73" t="s">
        <v>548</v>
      </c>
      <c r="L73" t="s">
        <v>203</v>
      </c>
      <c r="M73" t="s">
        <v>262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0.6</v>
      </c>
      <c r="Y73">
        <v>0.6</v>
      </c>
      <c r="Z73">
        <v>0.6</v>
      </c>
      <c r="AA73">
        <v>0.6</v>
      </c>
      <c r="AB73">
        <v>0.6</v>
      </c>
      <c r="AC73">
        <v>0.6</v>
      </c>
      <c r="AD73">
        <v>1</v>
      </c>
      <c r="AE73">
        <v>1</v>
      </c>
      <c r="AF73">
        <v>1</v>
      </c>
      <c r="AG73" t="s">
        <v>262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26.88</v>
      </c>
      <c r="AS73">
        <f>$H$73*$Y$73</f>
        <v>26.88</v>
      </c>
      <c r="AT73">
        <f>$H$73*$Z$73</f>
        <v>26.88</v>
      </c>
      <c r="AU73">
        <f>$H$73*$AA$73</f>
        <v>26.88</v>
      </c>
      <c r="AV73">
        <f>$H$73*$AB$73</f>
        <v>26.88</v>
      </c>
      <c r="AW73">
        <f>$H$73*$AC$73</f>
        <v>26.88</v>
      </c>
      <c r="AX73">
        <f>$H$73*$AD$73</f>
        <v>44.8</v>
      </c>
      <c r="AY73">
        <f>$H$73*$AE$73</f>
        <v>44.8</v>
      </c>
      <c r="AZ73">
        <f>$H$73*$AF$73</f>
        <v>44.8</v>
      </c>
    </row>
    <row r="74" spans="1:52" x14ac:dyDescent="0.25">
      <c r="A74">
        <v>117</v>
      </c>
      <c r="B74" t="s">
        <v>262</v>
      </c>
      <c r="C74" t="s">
        <v>410</v>
      </c>
      <c r="D74">
        <v>3</v>
      </c>
      <c r="E74">
        <v>724.38</v>
      </c>
      <c r="F74" t="s">
        <v>288</v>
      </c>
      <c r="G74">
        <v>241.46</v>
      </c>
      <c r="H74">
        <v>869.26</v>
      </c>
      <c r="I74" t="s">
        <v>411</v>
      </c>
      <c r="J74" t="s">
        <v>412</v>
      </c>
      <c r="K74" t="s">
        <v>549</v>
      </c>
      <c r="L74" t="s">
        <v>203</v>
      </c>
      <c r="M74" t="s">
        <v>262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262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869.26</v>
      </c>
      <c r="AO74">
        <f>$H$74*$U$74</f>
        <v>869.26</v>
      </c>
      <c r="AP74">
        <f>$H$74*$V$74</f>
        <v>869.26</v>
      </c>
      <c r="AQ74">
        <f>$H$74*$W$74</f>
        <v>869.26</v>
      </c>
      <c r="AR74">
        <f>$H$74*$X$74</f>
        <v>869.26</v>
      </c>
      <c r="AS74">
        <f>$H$74*$Y$74</f>
        <v>869.26</v>
      </c>
      <c r="AT74">
        <f>$H$74*$Z$74</f>
        <v>869.26</v>
      </c>
      <c r="AU74">
        <f>$H$74*$AA$74</f>
        <v>869.26</v>
      </c>
      <c r="AV74">
        <f>$H$74*$AB$74</f>
        <v>869.26</v>
      </c>
      <c r="AW74">
        <f>$H$74*$AC$74</f>
        <v>869.26</v>
      </c>
      <c r="AX74">
        <f>$H$74*$AD$74</f>
        <v>869.26</v>
      </c>
      <c r="AY74">
        <f>$H$74*$AE$74</f>
        <v>869.26</v>
      </c>
      <c r="AZ74">
        <f>$H$74*$AF$74</f>
        <v>869.26</v>
      </c>
    </row>
    <row r="75" spans="1:52" x14ac:dyDescent="0.25">
      <c r="A75">
        <v>118</v>
      </c>
      <c r="B75" t="s">
        <v>262</v>
      </c>
      <c r="C75" t="s">
        <v>413</v>
      </c>
      <c r="D75">
        <v>6</v>
      </c>
      <c r="E75">
        <v>611.1</v>
      </c>
      <c r="F75" t="s">
        <v>308</v>
      </c>
      <c r="G75">
        <v>101.85</v>
      </c>
      <c r="H75">
        <v>733.32</v>
      </c>
      <c r="I75" t="s">
        <v>411</v>
      </c>
      <c r="J75" t="s">
        <v>414</v>
      </c>
      <c r="K75" t="s">
        <v>550</v>
      </c>
      <c r="L75" t="s">
        <v>203</v>
      </c>
      <c r="M75" t="s">
        <v>262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262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733.32</v>
      </c>
      <c r="AU75">
        <f>$H$75*$AA$75</f>
        <v>733.32</v>
      </c>
      <c r="AV75">
        <f>$H$75*$AB$75</f>
        <v>733.32</v>
      </c>
      <c r="AW75">
        <f>$H$75*$AC$75</f>
        <v>733.32</v>
      </c>
      <c r="AX75">
        <f>$H$75*$AD$75</f>
        <v>733.32</v>
      </c>
      <c r="AY75">
        <f>$H$75*$AE$75</f>
        <v>733.32</v>
      </c>
      <c r="AZ75">
        <f>$H$75*$AF$75</f>
        <v>733.32</v>
      </c>
    </row>
    <row r="76" spans="1:52" x14ac:dyDescent="0.25">
      <c r="A76">
        <v>119</v>
      </c>
      <c r="B76" t="s">
        <v>262</v>
      </c>
      <c r="C76" t="s">
        <v>415</v>
      </c>
      <c r="D76">
        <v>1</v>
      </c>
      <c r="E76">
        <v>236.97</v>
      </c>
      <c r="F76" t="s">
        <v>294</v>
      </c>
      <c r="G76">
        <v>236.97</v>
      </c>
      <c r="H76">
        <v>284.37</v>
      </c>
      <c r="I76" t="s">
        <v>309</v>
      </c>
      <c r="J76" t="s">
        <v>416</v>
      </c>
      <c r="K76" t="s">
        <v>551</v>
      </c>
      <c r="L76" t="s">
        <v>203</v>
      </c>
      <c r="M76" t="s">
        <v>262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262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284.37</v>
      </c>
      <c r="AV76">
        <f>$H$76*$AB$76</f>
        <v>284.37</v>
      </c>
      <c r="AW76">
        <f>$H$76*$AC$76</f>
        <v>284.37</v>
      </c>
      <c r="AX76">
        <f>$H$76*$AD$76</f>
        <v>284.37</v>
      </c>
      <c r="AY76">
        <f>$H$76*$AE$76</f>
        <v>284.37</v>
      </c>
      <c r="AZ76">
        <f>$H$76*$AF$76</f>
        <v>284.37</v>
      </c>
    </row>
    <row r="77" spans="1:52" x14ac:dyDescent="0.25">
      <c r="A77">
        <v>120</v>
      </c>
      <c r="B77" t="s">
        <v>262</v>
      </c>
      <c r="C77" t="s">
        <v>390</v>
      </c>
      <c r="D77">
        <v>0.75</v>
      </c>
      <c r="E77">
        <v>494.51</v>
      </c>
      <c r="F77" t="s">
        <v>294</v>
      </c>
      <c r="G77">
        <v>659.35</v>
      </c>
      <c r="H77">
        <v>593.41</v>
      </c>
      <c r="I77" t="s">
        <v>309</v>
      </c>
      <c r="J77" t="s">
        <v>391</v>
      </c>
      <c r="K77" t="s">
        <v>539</v>
      </c>
      <c r="L77" t="s">
        <v>203</v>
      </c>
      <c r="M77" t="s">
        <v>262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262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593.41</v>
      </c>
      <c r="AV77">
        <f>$H$77*$AB$77</f>
        <v>593.41</v>
      </c>
      <c r="AW77">
        <f>$H$77*$AC$77</f>
        <v>593.41</v>
      </c>
      <c r="AX77">
        <f>$H$77*$AD$77</f>
        <v>593.41</v>
      </c>
      <c r="AY77">
        <f>$H$77*$AE$77</f>
        <v>593.41</v>
      </c>
      <c r="AZ77">
        <f>$H$77*$AF$77</f>
        <v>593.41</v>
      </c>
    </row>
    <row r="78" spans="1:52" x14ac:dyDescent="0.25">
      <c r="A78">
        <v>121</v>
      </c>
      <c r="B78" t="s">
        <v>262</v>
      </c>
      <c r="C78" t="s">
        <v>390</v>
      </c>
      <c r="D78">
        <v>0.25</v>
      </c>
      <c r="E78">
        <v>164.84</v>
      </c>
      <c r="F78" t="s">
        <v>294</v>
      </c>
      <c r="G78">
        <v>659.35</v>
      </c>
      <c r="H78">
        <v>197.8</v>
      </c>
      <c r="I78" t="s">
        <v>309</v>
      </c>
      <c r="J78" t="s">
        <v>391</v>
      </c>
      <c r="K78" t="s">
        <v>539</v>
      </c>
      <c r="L78" t="s">
        <v>203</v>
      </c>
      <c r="M78" t="s">
        <v>262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262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197.8</v>
      </c>
      <c r="AV78">
        <f>$H$78*$AB$78</f>
        <v>197.8</v>
      </c>
      <c r="AW78">
        <f>$H$78*$AC$78</f>
        <v>197.8</v>
      </c>
      <c r="AX78">
        <f>$H$78*$AD$78</f>
        <v>197.8</v>
      </c>
      <c r="AY78">
        <f>$H$78*$AE$78</f>
        <v>197.8</v>
      </c>
      <c r="AZ78">
        <f>$H$78*$AF$78</f>
        <v>197.8</v>
      </c>
    </row>
    <row r="79" spans="1:52" x14ac:dyDescent="0.25">
      <c r="A79">
        <v>122</v>
      </c>
      <c r="B79" t="s">
        <v>262</v>
      </c>
      <c r="C79" t="s">
        <v>417</v>
      </c>
      <c r="D79">
        <v>1</v>
      </c>
      <c r="E79">
        <v>312.01</v>
      </c>
      <c r="F79" t="s">
        <v>294</v>
      </c>
      <c r="G79">
        <v>312.01</v>
      </c>
      <c r="H79">
        <v>374.41</v>
      </c>
      <c r="I79" t="s">
        <v>309</v>
      </c>
      <c r="J79" t="s">
        <v>418</v>
      </c>
      <c r="K79" t="s">
        <v>552</v>
      </c>
      <c r="L79" t="s">
        <v>203</v>
      </c>
      <c r="M79" t="s">
        <v>262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262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374.41</v>
      </c>
      <c r="AV79">
        <f>$H$79*$AB$79</f>
        <v>374.41</v>
      </c>
      <c r="AW79">
        <f>$H$79*$AC$79</f>
        <v>374.41</v>
      </c>
      <c r="AX79">
        <f>$H$79*$AD$79</f>
        <v>374.41</v>
      </c>
      <c r="AY79">
        <f>$H$79*$AE$79</f>
        <v>374.41</v>
      </c>
      <c r="AZ79">
        <f>$H$79*$AF$79</f>
        <v>374.41</v>
      </c>
    </row>
    <row r="80" spans="1:52" x14ac:dyDescent="0.25">
      <c r="A80">
        <v>123</v>
      </c>
      <c r="B80" t="s">
        <v>262</v>
      </c>
      <c r="C80" t="s">
        <v>419</v>
      </c>
      <c r="D80">
        <v>5.83</v>
      </c>
      <c r="E80">
        <v>22.39</v>
      </c>
      <c r="F80" t="s">
        <v>288</v>
      </c>
      <c r="G80">
        <v>3.84</v>
      </c>
      <c r="H80">
        <v>26.87</v>
      </c>
      <c r="I80" t="s">
        <v>420</v>
      </c>
      <c r="J80" t="s">
        <v>421</v>
      </c>
      <c r="K80" t="s">
        <v>553</v>
      </c>
      <c r="L80" t="s">
        <v>203</v>
      </c>
      <c r="M80" t="s">
        <v>262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262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26.87</v>
      </c>
      <c r="AV80">
        <f>$H$80*$AB$80</f>
        <v>26.87</v>
      </c>
      <c r="AW80">
        <f>$H$80*$AC$80</f>
        <v>26.87</v>
      </c>
      <c r="AX80">
        <f>$H$80*$AD$80</f>
        <v>26.87</v>
      </c>
      <c r="AY80">
        <f>$H$80*$AE$80</f>
        <v>26.87</v>
      </c>
      <c r="AZ80">
        <f>$H$80*$AF$80</f>
        <v>26.87</v>
      </c>
    </row>
    <row r="81" spans="1:52" x14ac:dyDescent="0.25">
      <c r="A81">
        <v>124</v>
      </c>
      <c r="B81" t="s">
        <v>262</v>
      </c>
      <c r="C81" t="s">
        <v>422</v>
      </c>
      <c r="D81">
        <v>46.67</v>
      </c>
      <c r="E81">
        <v>154.47999999999999</v>
      </c>
      <c r="F81" t="s">
        <v>308</v>
      </c>
      <c r="G81">
        <v>3.31</v>
      </c>
      <c r="H81">
        <v>185.38</v>
      </c>
      <c r="I81" t="s">
        <v>420</v>
      </c>
      <c r="J81" t="s">
        <v>423</v>
      </c>
      <c r="K81" t="s">
        <v>554</v>
      </c>
      <c r="L81" t="s">
        <v>203</v>
      </c>
      <c r="M81" t="s">
        <v>262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262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185.38</v>
      </c>
      <c r="AN81">
        <f>$H$81*$T$81</f>
        <v>185.38</v>
      </c>
      <c r="AO81">
        <f>$H$81*$U$81</f>
        <v>185.38</v>
      </c>
      <c r="AP81">
        <f>$H$81*$V$81</f>
        <v>185.38</v>
      </c>
      <c r="AQ81">
        <f>$H$81*$W$81</f>
        <v>185.38</v>
      </c>
      <c r="AR81">
        <f>$H$81*$X$81</f>
        <v>185.38</v>
      </c>
      <c r="AS81">
        <f>$H$81*$Y$81</f>
        <v>185.38</v>
      </c>
      <c r="AT81">
        <f>$H$81*$Z$81</f>
        <v>185.38</v>
      </c>
      <c r="AU81">
        <f>$H$81*$AA$81</f>
        <v>185.38</v>
      </c>
      <c r="AV81">
        <f>$H$81*$AB$81</f>
        <v>185.38</v>
      </c>
      <c r="AW81">
        <f>$H$81*$AC$81</f>
        <v>185.38</v>
      </c>
      <c r="AX81">
        <f>$H$81*$AD$81</f>
        <v>185.38</v>
      </c>
      <c r="AY81">
        <f>$H$81*$AE$81</f>
        <v>185.38</v>
      </c>
      <c r="AZ81">
        <f>$H$81*$AF$81</f>
        <v>185.38</v>
      </c>
    </row>
    <row r="82" spans="1:52" x14ac:dyDescent="0.25">
      <c r="A82">
        <v>125</v>
      </c>
      <c r="B82" t="s">
        <v>262</v>
      </c>
      <c r="C82" t="s">
        <v>424</v>
      </c>
      <c r="D82">
        <v>46.67</v>
      </c>
      <c r="E82">
        <v>49.94</v>
      </c>
      <c r="F82" t="s">
        <v>308</v>
      </c>
      <c r="G82">
        <v>1.07</v>
      </c>
      <c r="H82">
        <v>59.92</v>
      </c>
      <c r="I82" t="s">
        <v>289</v>
      </c>
      <c r="J82" t="s">
        <v>425</v>
      </c>
      <c r="K82" t="s">
        <v>555</v>
      </c>
      <c r="L82" t="s">
        <v>203</v>
      </c>
      <c r="M82" t="s">
        <v>262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262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59.92</v>
      </c>
      <c r="AY82">
        <f>$H$82*$AE$82</f>
        <v>59.92</v>
      </c>
      <c r="AZ82">
        <f>$H$82*$AF$82</f>
        <v>59.92</v>
      </c>
    </row>
    <row r="83" spans="1:52" x14ac:dyDescent="0.25">
      <c r="A83">
        <v>126</v>
      </c>
      <c r="B83" t="s">
        <v>262</v>
      </c>
      <c r="C83" t="s">
        <v>316</v>
      </c>
      <c r="D83">
        <v>140</v>
      </c>
      <c r="E83">
        <v>226.8</v>
      </c>
      <c r="F83" t="s">
        <v>308</v>
      </c>
      <c r="G83">
        <v>1.62</v>
      </c>
      <c r="H83">
        <v>272.16000000000003</v>
      </c>
      <c r="I83" t="s">
        <v>289</v>
      </c>
      <c r="J83" t="s">
        <v>317</v>
      </c>
      <c r="K83" t="s">
        <v>504</v>
      </c>
      <c r="L83" t="s">
        <v>203</v>
      </c>
      <c r="M83" t="s">
        <v>262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262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272.16000000000003</v>
      </c>
      <c r="AO83">
        <f>$H$83*$U$83</f>
        <v>272.16000000000003</v>
      </c>
      <c r="AP83">
        <f>$H$83*$V$83</f>
        <v>272.16000000000003</v>
      </c>
      <c r="AQ83">
        <f>$H$83*$W$83</f>
        <v>272.16000000000003</v>
      </c>
      <c r="AR83">
        <f>$H$83*$X$83</f>
        <v>272.16000000000003</v>
      </c>
      <c r="AS83">
        <f>$H$83*$Y$83</f>
        <v>272.16000000000003</v>
      </c>
      <c r="AT83">
        <f>$H$83*$Z$83</f>
        <v>272.16000000000003</v>
      </c>
      <c r="AU83">
        <f>$H$83*$AA$83</f>
        <v>272.16000000000003</v>
      </c>
      <c r="AV83">
        <f>$H$83*$AB$83</f>
        <v>272.16000000000003</v>
      </c>
      <c r="AW83">
        <f>$H$83*$AC$83</f>
        <v>272.16000000000003</v>
      </c>
      <c r="AX83">
        <f>$H$83*$AD$83</f>
        <v>272.16000000000003</v>
      </c>
      <c r="AY83">
        <f>$H$83*$AE$83</f>
        <v>272.16000000000003</v>
      </c>
      <c r="AZ83">
        <f>$H$83*$AF$83</f>
        <v>272.16000000000003</v>
      </c>
    </row>
    <row r="84" spans="1:52" x14ac:dyDescent="0.25">
      <c r="A84">
        <v>127</v>
      </c>
      <c r="B84" t="s">
        <v>262</v>
      </c>
      <c r="C84" t="s">
        <v>318</v>
      </c>
      <c r="D84">
        <v>186.67</v>
      </c>
      <c r="E84">
        <v>770.95</v>
      </c>
      <c r="F84" t="s">
        <v>308</v>
      </c>
      <c r="G84">
        <v>4.13</v>
      </c>
      <c r="H84">
        <v>925.15</v>
      </c>
      <c r="I84" t="s">
        <v>319</v>
      </c>
      <c r="J84" t="s">
        <v>320</v>
      </c>
      <c r="K84" t="s">
        <v>505</v>
      </c>
      <c r="L84" t="s">
        <v>203</v>
      </c>
      <c r="M84" t="s">
        <v>262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262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231.28749999999999</v>
      </c>
      <c r="AN84">
        <f>$H$84*$T$84</f>
        <v>231.28749999999999</v>
      </c>
      <c r="AO84">
        <f>$H$84*$U$84</f>
        <v>231.28749999999999</v>
      </c>
      <c r="AP84">
        <f>$H$84*$V$84</f>
        <v>231.28749999999999</v>
      </c>
      <c r="AQ84">
        <f>$H$84*$W$84</f>
        <v>462.57499999999999</v>
      </c>
      <c r="AR84">
        <f>$H$84*$X$84</f>
        <v>462.57499999999999</v>
      </c>
      <c r="AS84">
        <f>$H$84*$Y$84</f>
        <v>462.57499999999999</v>
      </c>
      <c r="AT84">
        <f>$H$84*$Z$84</f>
        <v>462.57499999999999</v>
      </c>
      <c r="AU84">
        <f>$H$84*$AA$84</f>
        <v>925.15</v>
      </c>
      <c r="AV84">
        <f>$H$84*$AB$84</f>
        <v>925.15</v>
      </c>
      <c r="AW84">
        <f>$H$84*$AC$84</f>
        <v>925.15</v>
      </c>
      <c r="AX84">
        <f>$H$84*$AD$84</f>
        <v>925.15</v>
      </c>
      <c r="AY84">
        <f>$H$84*$AE$84</f>
        <v>925.15</v>
      </c>
      <c r="AZ84">
        <f>$H$84*$AF$84</f>
        <v>925.15</v>
      </c>
    </row>
    <row r="85" spans="1:52" x14ac:dyDescent="0.25">
      <c r="A85">
        <v>128</v>
      </c>
      <c r="B85" t="s">
        <v>262</v>
      </c>
      <c r="C85" t="s">
        <v>426</v>
      </c>
      <c r="D85">
        <v>23.33</v>
      </c>
      <c r="E85">
        <v>61.36</v>
      </c>
      <c r="F85" t="s">
        <v>288</v>
      </c>
      <c r="G85">
        <v>2.63</v>
      </c>
      <c r="H85">
        <v>73.64</v>
      </c>
      <c r="I85" t="s">
        <v>289</v>
      </c>
      <c r="J85" t="s">
        <v>427</v>
      </c>
      <c r="K85" t="s">
        <v>556</v>
      </c>
      <c r="L85" t="s">
        <v>203</v>
      </c>
      <c r="M85" t="s">
        <v>262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262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73.64</v>
      </c>
      <c r="AN85">
        <f>$H$85*$T$85</f>
        <v>73.64</v>
      </c>
      <c r="AO85">
        <f>$H$85*$U$85</f>
        <v>73.64</v>
      </c>
      <c r="AP85">
        <f>$H$85*$V$85</f>
        <v>73.64</v>
      </c>
      <c r="AQ85">
        <f>$H$85*$W$85</f>
        <v>73.64</v>
      </c>
      <c r="AR85">
        <f>$H$85*$X$85</f>
        <v>73.64</v>
      </c>
      <c r="AS85">
        <f>$H$85*$Y$85</f>
        <v>73.64</v>
      </c>
      <c r="AT85">
        <f>$H$85*$Z$85</f>
        <v>73.64</v>
      </c>
      <c r="AU85">
        <f>$H$85*$AA$85</f>
        <v>73.64</v>
      </c>
      <c r="AV85">
        <f>$H$85*$AB$85</f>
        <v>73.64</v>
      </c>
      <c r="AW85">
        <f>$H$85*$AC$85</f>
        <v>73.64</v>
      </c>
      <c r="AX85">
        <f>$H$85*$AD$85</f>
        <v>73.64</v>
      </c>
      <c r="AY85">
        <f>$H$85*$AE$85</f>
        <v>73.64</v>
      </c>
      <c r="AZ85">
        <f>$H$85*$AF$85</f>
        <v>73.64</v>
      </c>
    </row>
    <row r="86" spans="1:52" x14ac:dyDescent="0.25">
      <c r="A86">
        <v>129</v>
      </c>
      <c r="B86" t="s">
        <v>262</v>
      </c>
      <c r="C86" t="s">
        <v>428</v>
      </c>
      <c r="D86">
        <v>23.33</v>
      </c>
      <c r="E86">
        <v>144.41</v>
      </c>
      <c r="F86" t="s">
        <v>288</v>
      </c>
      <c r="G86">
        <v>6.19</v>
      </c>
      <c r="H86">
        <v>173.29</v>
      </c>
      <c r="I86" t="s">
        <v>292</v>
      </c>
      <c r="J86" t="s">
        <v>429</v>
      </c>
      <c r="K86" t="s">
        <v>557</v>
      </c>
      <c r="L86" t="s">
        <v>203</v>
      </c>
      <c r="M86" t="s">
        <v>262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262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173.29</v>
      </c>
      <c r="AN86">
        <f>$H$86*$T$86</f>
        <v>173.29</v>
      </c>
      <c r="AO86">
        <f>$H$86*$U$86</f>
        <v>173.29</v>
      </c>
      <c r="AP86">
        <f>$H$86*$V$86</f>
        <v>173.29</v>
      </c>
      <c r="AQ86">
        <f>$H$86*$W$86</f>
        <v>173.29</v>
      </c>
      <c r="AR86">
        <f>$H$86*$X$86</f>
        <v>173.29</v>
      </c>
      <c r="AS86">
        <f>$H$86*$Y$86</f>
        <v>173.29</v>
      </c>
      <c r="AT86">
        <f>$H$86*$Z$86</f>
        <v>173.29</v>
      </c>
      <c r="AU86">
        <f>$H$86*$AA$86</f>
        <v>173.29</v>
      </c>
      <c r="AV86">
        <f>$H$86*$AB$86</f>
        <v>173.29</v>
      </c>
      <c r="AW86">
        <f>$H$86*$AC$86</f>
        <v>173.29</v>
      </c>
      <c r="AX86">
        <f>$H$86*$AD$86</f>
        <v>173.29</v>
      </c>
      <c r="AY86">
        <f>$H$86*$AE$86</f>
        <v>173.29</v>
      </c>
      <c r="AZ86">
        <f>$H$86*$AF$86</f>
        <v>173.29</v>
      </c>
    </row>
    <row r="87" spans="1:52" x14ac:dyDescent="0.25">
      <c r="A87">
        <v>130</v>
      </c>
      <c r="B87" t="s">
        <v>262</v>
      </c>
      <c r="C87" t="s">
        <v>318</v>
      </c>
      <c r="D87">
        <v>32.25</v>
      </c>
      <c r="E87">
        <v>133.19</v>
      </c>
      <c r="F87" t="s">
        <v>308</v>
      </c>
      <c r="G87">
        <v>4.13</v>
      </c>
      <c r="H87">
        <v>159.83000000000001</v>
      </c>
      <c r="I87" t="s">
        <v>319</v>
      </c>
      <c r="J87" t="s">
        <v>320</v>
      </c>
      <c r="K87" t="s">
        <v>505</v>
      </c>
      <c r="L87" t="s">
        <v>203</v>
      </c>
      <c r="M87" t="s">
        <v>262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0.25</v>
      </c>
      <c r="T87">
        <v>0.25</v>
      </c>
      <c r="U87">
        <v>0.25</v>
      </c>
      <c r="V87">
        <v>0.25</v>
      </c>
      <c r="W87">
        <v>0.5</v>
      </c>
      <c r="X87">
        <v>0.5</v>
      </c>
      <c r="Y87">
        <v>0.5</v>
      </c>
      <c r="Z87">
        <v>0.5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262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39.957500000000003</v>
      </c>
      <c r="AN87">
        <f>$H$87*$T$87</f>
        <v>39.957500000000003</v>
      </c>
      <c r="AO87">
        <f>$H$87*$U$87</f>
        <v>39.957500000000003</v>
      </c>
      <c r="AP87">
        <f>$H$87*$V$87</f>
        <v>39.957500000000003</v>
      </c>
      <c r="AQ87">
        <f>$H$87*$W$87</f>
        <v>79.915000000000006</v>
      </c>
      <c r="AR87">
        <f>$H$87*$X$87</f>
        <v>79.915000000000006</v>
      </c>
      <c r="AS87">
        <f>$H$87*$Y$87</f>
        <v>79.915000000000006</v>
      </c>
      <c r="AT87">
        <f>$H$87*$Z$87</f>
        <v>79.915000000000006</v>
      </c>
      <c r="AU87">
        <f>$H$87*$AA$87</f>
        <v>159.83000000000001</v>
      </c>
      <c r="AV87">
        <f>$H$87*$AB$87</f>
        <v>159.83000000000001</v>
      </c>
      <c r="AW87">
        <f>$H$87*$AC$87</f>
        <v>159.83000000000001</v>
      </c>
      <c r="AX87">
        <f>$H$87*$AD$87</f>
        <v>159.83000000000001</v>
      </c>
      <c r="AY87">
        <f>$H$87*$AE$87</f>
        <v>159.83000000000001</v>
      </c>
      <c r="AZ87">
        <f>$H$87*$AF$87</f>
        <v>159.83000000000001</v>
      </c>
    </row>
    <row r="88" spans="1:52" x14ac:dyDescent="0.25">
      <c r="A88">
        <v>131</v>
      </c>
      <c r="B88" t="s">
        <v>262</v>
      </c>
      <c r="C88" t="s">
        <v>424</v>
      </c>
      <c r="D88">
        <v>32.25</v>
      </c>
      <c r="E88">
        <v>34.51</v>
      </c>
      <c r="F88" t="s">
        <v>308</v>
      </c>
      <c r="G88">
        <v>1.07</v>
      </c>
      <c r="H88">
        <v>41.41</v>
      </c>
      <c r="I88" t="s">
        <v>289</v>
      </c>
      <c r="J88" t="s">
        <v>425</v>
      </c>
      <c r="K88" t="s">
        <v>555</v>
      </c>
      <c r="L88" t="s">
        <v>203</v>
      </c>
      <c r="M88" t="s">
        <v>262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262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41.41</v>
      </c>
      <c r="AY88">
        <f>$H$88*$AE$88</f>
        <v>41.41</v>
      </c>
      <c r="AZ88">
        <f>$H$88*$AF$88</f>
        <v>41.41</v>
      </c>
    </row>
    <row r="89" spans="1:52" x14ac:dyDescent="0.25">
      <c r="A89">
        <v>132</v>
      </c>
      <c r="B89" t="s">
        <v>262</v>
      </c>
      <c r="C89" t="s">
        <v>430</v>
      </c>
      <c r="D89">
        <v>32.25</v>
      </c>
      <c r="E89">
        <v>36.44</v>
      </c>
      <c r="F89" t="s">
        <v>308</v>
      </c>
      <c r="G89">
        <v>1.1299999999999999</v>
      </c>
      <c r="H89">
        <v>43.72</v>
      </c>
      <c r="I89" t="s">
        <v>289</v>
      </c>
      <c r="J89" t="s">
        <v>431</v>
      </c>
      <c r="K89" t="s">
        <v>558</v>
      </c>
      <c r="L89" t="s">
        <v>203</v>
      </c>
      <c r="M89" t="s">
        <v>262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262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43.72</v>
      </c>
      <c r="AN89">
        <f>$H$89*$T$89</f>
        <v>43.72</v>
      </c>
      <c r="AO89">
        <f>$H$89*$U$89</f>
        <v>43.72</v>
      </c>
      <c r="AP89">
        <f>$H$89*$V$89</f>
        <v>43.72</v>
      </c>
      <c r="AQ89">
        <f>$H$89*$W$89</f>
        <v>43.72</v>
      </c>
      <c r="AR89">
        <f>$H$89*$X$89</f>
        <v>43.72</v>
      </c>
      <c r="AS89">
        <f>$H$89*$Y$89</f>
        <v>43.72</v>
      </c>
      <c r="AT89">
        <f>$H$89*$Z$89</f>
        <v>43.72</v>
      </c>
      <c r="AU89">
        <f>$H$89*$AA$89</f>
        <v>43.72</v>
      </c>
      <c r="AV89">
        <f>$H$89*$AB$89</f>
        <v>43.72</v>
      </c>
      <c r="AW89">
        <f>$H$89*$AC$89</f>
        <v>43.72</v>
      </c>
      <c r="AX89">
        <f>$H$89*$AD$89</f>
        <v>43.72</v>
      </c>
      <c r="AY89">
        <f>$H$89*$AE$89</f>
        <v>43.72</v>
      </c>
      <c r="AZ89">
        <f>$H$89*$AF$89</f>
        <v>43.72</v>
      </c>
    </row>
    <row r="90" spans="1:52" x14ac:dyDescent="0.25">
      <c r="A90">
        <v>133</v>
      </c>
      <c r="B90" t="s">
        <v>262</v>
      </c>
      <c r="C90" t="s">
        <v>432</v>
      </c>
      <c r="D90">
        <v>10.06</v>
      </c>
      <c r="E90">
        <v>164.98</v>
      </c>
      <c r="F90" t="s">
        <v>308</v>
      </c>
      <c r="G90">
        <v>16.399999999999999</v>
      </c>
      <c r="H90">
        <v>197.98</v>
      </c>
      <c r="I90" t="s">
        <v>433</v>
      </c>
      <c r="J90" t="s">
        <v>326</v>
      </c>
      <c r="K90" t="s">
        <v>559</v>
      </c>
      <c r="L90" t="s">
        <v>203</v>
      </c>
      <c r="M90" t="s">
        <v>262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262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197.98</v>
      </c>
      <c r="AQ90">
        <f>$H$90*$W$90</f>
        <v>197.98</v>
      </c>
      <c r="AR90">
        <f>$H$90*$X$90</f>
        <v>197.98</v>
      </c>
      <c r="AS90">
        <f>$H$90*$Y$90</f>
        <v>197.98</v>
      </c>
      <c r="AT90">
        <f>$H$90*$Z$90</f>
        <v>197.98</v>
      </c>
      <c r="AU90">
        <f>$H$90*$AA$90</f>
        <v>197.98</v>
      </c>
      <c r="AV90">
        <f>$H$90*$AB$90</f>
        <v>197.98</v>
      </c>
      <c r="AW90">
        <f>$H$90*$AC$90</f>
        <v>197.98</v>
      </c>
      <c r="AX90">
        <f>$H$90*$AD$90</f>
        <v>197.98</v>
      </c>
      <c r="AY90">
        <f>$H$90*$AE$90</f>
        <v>197.98</v>
      </c>
      <c r="AZ90">
        <f>$H$90*$AF$90</f>
        <v>197.98</v>
      </c>
    </row>
    <row r="91" spans="1:52" x14ac:dyDescent="0.25">
      <c r="A91">
        <v>134</v>
      </c>
      <c r="B91" t="s">
        <v>262</v>
      </c>
      <c r="C91" t="s">
        <v>434</v>
      </c>
      <c r="D91">
        <v>20.13</v>
      </c>
      <c r="E91">
        <v>85.96</v>
      </c>
      <c r="F91" t="s">
        <v>308</v>
      </c>
      <c r="G91">
        <v>4.2699999999999996</v>
      </c>
      <c r="H91">
        <v>103.16</v>
      </c>
      <c r="I91" t="s">
        <v>435</v>
      </c>
      <c r="J91" t="s">
        <v>436</v>
      </c>
      <c r="K91" t="s">
        <v>560</v>
      </c>
      <c r="L91" t="s">
        <v>203</v>
      </c>
      <c r="M91" t="s">
        <v>262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262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103.16</v>
      </c>
      <c r="AN91">
        <f>$H$91*$T$91</f>
        <v>103.16</v>
      </c>
      <c r="AO91">
        <f>$H$91*$U$91</f>
        <v>103.16</v>
      </c>
      <c r="AP91">
        <f>$H$91*$V$91</f>
        <v>103.16</v>
      </c>
      <c r="AQ91">
        <f>$H$91*$W$91</f>
        <v>103.16</v>
      </c>
      <c r="AR91">
        <f>$H$91*$X$91</f>
        <v>103.16</v>
      </c>
      <c r="AS91">
        <f>$H$91*$Y$91</f>
        <v>103.16</v>
      </c>
      <c r="AT91">
        <f>$H$91*$Z$91</f>
        <v>103.16</v>
      </c>
      <c r="AU91">
        <f>$H$91*$AA$91</f>
        <v>103.16</v>
      </c>
      <c r="AV91">
        <f>$H$91*$AB$91</f>
        <v>103.16</v>
      </c>
      <c r="AW91">
        <f>$H$91*$AC$91</f>
        <v>103.16</v>
      </c>
      <c r="AX91">
        <f>$H$91*$AD$91</f>
        <v>103.16</v>
      </c>
      <c r="AY91">
        <f>$H$91*$AE$91</f>
        <v>103.16</v>
      </c>
      <c r="AZ91">
        <f>$H$91*$AF$91</f>
        <v>103.16</v>
      </c>
    </row>
    <row r="92" spans="1:52" x14ac:dyDescent="0.25">
      <c r="A92">
        <v>135</v>
      </c>
      <c r="B92" t="s">
        <v>262</v>
      </c>
      <c r="C92" t="s">
        <v>437</v>
      </c>
      <c r="D92">
        <v>20.13</v>
      </c>
      <c r="E92">
        <v>216.4</v>
      </c>
      <c r="F92" t="s">
        <v>308</v>
      </c>
      <c r="G92">
        <v>10.75</v>
      </c>
      <c r="H92">
        <v>259.68</v>
      </c>
      <c r="I92" t="s">
        <v>435</v>
      </c>
      <c r="J92" t="s">
        <v>326</v>
      </c>
      <c r="K92" t="s">
        <v>561</v>
      </c>
      <c r="L92" t="s">
        <v>203</v>
      </c>
      <c r="M92" t="s">
        <v>262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262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259.68</v>
      </c>
      <c r="AN92">
        <f>$H$92*$T$92</f>
        <v>259.68</v>
      </c>
      <c r="AO92">
        <f>$H$92*$U$92</f>
        <v>259.68</v>
      </c>
      <c r="AP92">
        <f>$H$92*$V$92</f>
        <v>259.68</v>
      </c>
      <c r="AQ92">
        <f>$H$92*$W$92</f>
        <v>259.68</v>
      </c>
      <c r="AR92">
        <f>$H$92*$X$92</f>
        <v>259.68</v>
      </c>
      <c r="AS92">
        <f>$H$92*$Y$92</f>
        <v>259.68</v>
      </c>
      <c r="AT92">
        <f>$H$92*$Z$92</f>
        <v>259.68</v>
      </c>
      <c r="AU92">
        <f>$H$92*$AA$92</f>
        <v>259.68</v>
      </c>
      <c r="AV92">
        <f>$H$92*$AB$92</f>
        <v>259.68</v>
      </c>
      <c r="AW92">
        <f>$H$92*$AC$92</f>
        <v>259.68</v>
      </c>
      <c r="AX92">
        <f>$H$92*$AD$92</f>
        <v>259.68</v>
      </c>
      <c r="AY92">
        <f>$H$92*$AE$92</f>
        <v>259.68</v>
      </c>
      <c r="AZ92">
        <f>$H$92*$AF$92</f>
        <v>259.68</v>
      </c>
    </row>
    <row r="93" spans="1:52" x14ac:dyDescent="0.25">
      <c r="A93">
        <v>136</v>
      </c>
      <c r="B93" t="s">
        <v>262</v>
      </c>
      <c r="C93" t="s">
        <v>438</v>
      </c>
      <c r="D93">
        <v>9.27</v>
      </c>
      <c r="E93">
        <v>8.06</v>
      </c>
      <c r="F93" t="s">
        <v>308</v>
      </c>
      <c r="G93">
        <v>0.87</v>
      </c>
      <c r="H93">
        <v>9.68</v>
      </c>
      <c r="I93" t="s">
        <v>331</v>
      </c>
      <c r="J93" t="s">
        <v>439</v>
      </c>
      <c r="K93" t="s">
        <v>562</v>
      </c>
      <c r="L93" t="s">
        <v>203</v>
      </c>
      <c r="M93" t="s">
        <v>262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262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9.68</v>
      </c>
      <c r="AN93">
        <f>$H$93*$T$93</f>
        <v>9.68</v>
      </c>
      <c r="AO93">
        <f>$H$93*$U$93</f>
        <v>9.68</v>
      </c>
      <c r="AP93">
        <f>$H$93*$V$93</f>
        <v>9.68</v>
      </c>
      <c r="AQ93">
        <f>$H$93*$W$93</f>
        <v>9.68</v>
      </c>
      <c r="AR93">
        <f>$H$93*$X$93</f>
        <v>9.68</v>
      </c>
      <c r="AS93">
        <f>$H$93*$Y$93</f>
        <v>9.68</v>
      </c>
      <c r="AT93">
        <f>$H$93*$Z$93</f>
        <v>9.68</v>
      </c>
      <c r="AU93">
        <f>$H$93*$AA$93</f>
        <v>9.68</v>
      </c>
      <c r="AV93">
        <f>$H$93*$AB$93</f>
        <v>9.68</v>
      </c>
      <c r="AW93">
        <f>$H$93*$AC$93</f>
        <v>9.68</v>
      </c>
      <c r="AX93">
        <f>$H$93*$AD$93</f>
        <v>9.68</v>
      </c>
      <c r="AY93">
        <f>$H$93*$AE$93</f>
        <v>9.68</v>
      </c>
      <c r="AZ93">
        <f>$H$93*$AF$93</f>
        <v>9.68</v>
      </c>
    </row>
    <row r="94" spans="1:52" x14ac:dyDescent="0.25">
      <c r="A94">
        <v>137</v>
      </c>
      <c r="B94" t="s">
        <v>262</v>
      </c>
      <c r="C94" t="s">
        <v>440</v>
      </c>
      <c r="D94">
        <v>9.27</v>
      </c>
      <c r="E94">
        <v>65.540000000000006</v>
      </c>
      <c r="F94" t="s">
        <v>308</v>
      </c>
      <c r="G94">
        <v>7.07</v>
      </c>
      <c r="H94">
        <v>78.64</v>
      </c>
      <c r="I94" t="s">
        <v>331</v>
      </c>
      <c r="J94" t="s">
        <v>326</v>
      </c>
      <c r="K94" t="s">
        <v>563</v>
      </c>
      <c r="L94" t="s">
        <v>203</v>
      </c>
      <c r="M94" t="s">
        <v>262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262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78.64</v>
      </c>
      <c r="AN94">
        <f>$H$94*$T$94</f>
        <v>78.64</v>
      </c>
      <c r="AO94">
        <f>$H$94*$U$94</f>
        <v>78.64</v>
      </c>
      <c r="AP94">
        <f>$H$94*$V$94</f>
        <v>78.64</v>
      </c>
      <c r="AQ94">
        <f>$H$94*$W$94</f>
        <v>78.64</v>
      </c>
      <c r="AR94">
        <f>$H$94*$X$94</f>
        <v>78.64</v>
      </c>
      <c r="AS94">
        <f>$H$94*$Y$94</f>
        <v>78.64</v>
      </c>
      <c r="AT94">
        <f>$H$94*$Z$94</f>
        <v>78.64</v>
      </c>
      <c r="AU94">
        <f>$H$94*$AA$94</f>
        <v>78.64</v>
      </c>
      <c r="AV94">
        <f>$H$94*$AB$94</f>
        <v>78.64</v>
      </c>
      <c r="AW94">
        <f>$H$94*$AC$94</f>
        <v>78.64</v>
      </c>
      <c r="AX94">
        <f>$H$94*$AD$94</f>
        <v>78.64</v>
      </c>
      <c r="AY94">
        <f>$H$94*$AE$94</f>
        <v>78.64</v>
      </c>
      <c r="AZ94">
        <f>$H$94*$AF$94</f>
        <v>78.64</v>
      </c>
    </row>
    <row r="95" spans="1:52" x14ac:dyDescent="0.25">
      <c r="A95">
        <v>138</v>
      </c>
      <c r="B95" t="s">
        <v>264</v>
      </c>
      <c r="C95" t="s">
        <v>386</v>
      </c>
      <c r="D95">
        <v>2</v>
      </c>
      <c r="E95">
        <v>32.28</v>
      </c>
      <c r="F95" t="s">
        <v>294</v>
      </c>
      <c r="G95">
        <v>16.14</v>
      </c>
      <c r="H95">
        <v>38.74</v>
      </c>
      <c r="I95" t="s">
        <v>296</v>
      </c>
      <c r="J95" t="s">
        <v>387</v>
      </c>
      <c r="K95" t="s">
        <v>537</v>
      </c>
      <c r="L95" t="s">
        <v>203</v>
      </c>
      <c r="M95" t="s">
        <v>264</v>
      </c>
      <c r="N95" t="s">
        <v>12</v>
      </c>
      <c r="O95" t="s">
        <v>147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264</v>
      </c>
      <c r="AH95" t="s">
        <v>12</v>
      </c>
      <c r="AI95" t="s">
        <v>147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38.74</v>
      </c>
      <c r="AS95">
        <f>$H$95*$Y$95</f>
        <v>38.74</v>
      </c>
      <c r="AT95">
        <f>$H$95*$Z$95</f>
        <v>38.74</v>
      </c>
      <c r="AU95">
        <f>$H$95*$AA$95</f>
        <v>38.74</v>
      </c>
      <c r="AV95">
        <f>$H$95*$AB$95</f>
        <v>38.74</v>
      </c>
      <c r="AW95">
        <f>$H$95*$AC$95</f>
        <v>38.74</v>
      </c>
      <c r="AX95">
        <f>$H$95*$AD$95</f>
        <v>38.74</v>
      </c>
      <c r="AY95">
        <f>$H$95*$AE$95</f>
        <v>38.74</v>
      </c>
      <c r="AZ95">
        <f>$H$95*$AF$95</f>
        <v>38.74</v>
      </c>
    </row>
    <row r="96" spans="1:52" x14ac:dyDescent="0.25">
      <c r="A96">
        <v>139</v>
      </c>
      <c r="B96" t="s">
        <v>264</v>
      </c>
      <c r="C96" t="s">
        <v>408</v>
      </c>
      <c r="D96">
        <v>1</v>
      </c>
      <c r="E96">
        <v>37.340000000000003</v>
      </c>
      <c r="F96" t="s">
        <v>294</v>
      </c>
      <c r="G96">
        <v>37.340000000000003</v>
      </c>
      <c r="H96">
        <v>44.8</v>
      </c>
      <c r="I96" t="s">
        <v>296</v>
      </c>
      <c r="J96" t="s">
        <v>409</v>
      </c>
      <c r="K96" t="s">
        <v>548</v>
      </c>
      <c r="L96" t="s">
        <v>203</v>
      </c>
      <c r="M96" t="s">
        <v>264</v>
      </c>
      <c r="N96" t="s">
        <v>12</v>
      </c>
      <c r="O96" t="s">
        <v>147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0.6</v>
      </c>
      <c r="Y96">
        <v>0.6</v>
      </c>
      <c r="Z96">
        <v>0.6</v>
      </c>
      <c r="AA96">
        <v>0.6</v>
      </c>
      <c r="AB96">
        <v>0.6</v>
      </c>
      <c r="AC96">
        <v>0.6</v>
      </c>
      <c r="AD96">
        <v>1</v>
      </c>
      <c r="AE96">
        <v>1</v>
      </c>
      <c r="AF96">
        <v>1</v>
      </c>
      <c r="AG96" t="s">
        <v>264</v>
      </c>
      <c r="AH96" t="s">
        <v>12</v>
      </c>
      <c r="AI96" t="s">
        <v>147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26.88</v>
      </c>
      <c r="AS96">
        <f>$H$96*$Y$96</f>
        <v>26.88</v>
      </c>
      <c r="AT96">
        <f>$H$96*$Z$96</f>
        <v>26.88</v>
      </c>
      <c r="AU96">
        <f>$H$96*$AA$96</f>
        <v>26.88</v>
      </c>
      <c r="AV96">
        <f>$H$96*$AB$96</f>
        <v>26.88</v>
      </c>
      <c r="AW96">
        <f>$H$96*$AC$96</f>
        <v>26.88</v>
      </c>
      <c r="AX96">
        <f>$H$96*$AD$96</f>
        <v>44.8</v>
      </c>
      <c r="AY96">
        <f>$H$96*$AE$96</f>
        <v>44.8</v>
      </c>
      <c r="AZ96">
        <f>$H$96*$AF$96</f>
        <v>44.8</v>
      </c>
    </row>
    <row r="97" spans="1:52" x14ac:dyDescent="0.25">
      <c r="A97">
        <v>140</v>
      </c>
      <c r="B97" t="s">
        <v>264</v>
      </c>
      <c r="C97" t="s">
        <v>380</v>
      </c>
      <c r="D97">
        <v>1</v>
      </c>
      <c r="E97">
        <v>37.39</v>
      </c>
      <c r="F97" t="s">
        <v>294</v>
      </c>
      <c r="G97">
        <v>37.39</v>
      </c>
      <c r="H97">
        <v>44.87</v>
      </c>
      <c r="I97" t="s">
        <v>322</v>
      </c>
      <c r="J97" t="s">
        <v>381</v>
      </c>
      <c r="K97" t="s">
        <v>534</v>
      </c>
      <c r="L97" t="s">
        <v>203</v>
      </c>
      <c r="M97" t="s">
        <v>264</v>
      </c>
      <c r="N97" t="s">
        <v>12</v>
      </c>
      <c r="O97" t="s">
        <v>147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264</v>
      </c>
      <c r="AH97" t="s">
        <v>12</v>
      </c>
      <c r="AI97" t="s">
        <v>147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44.87</v>
      </c>
      <c r="AV97">
        <f>$H$97*$AB$97</f>
        <v>44.87</v>
      </c>
      <c r="AW97">
        <f>$H$97*$AC$97</f>
        <v>44.87</v>
      </c>
      <c r="AX97">
        <f>$H$97*$AD$97</f>
        <v>44.87</v>
      </c>
      <c r="AY97">
        <f>$H$97*$AE$97</f>
        <v>44.87</v>
      </c>
      <c r="AZ97">
        <f>$H$97*$AF$97</f>
        <v>44.87</v>
      </c>
    </row>
    <row r="98" spans="1:52" x14ac:dyDescent="0.25">
      <c r="A98">
        <v>141</v>
      </c>
      <c r="B98" t="s">
        <v>264</v>
      </c>
      <c r="C98" t="s">
        <v>312</v>
      </c>
      <c r="D98">
        <v>12</v>
      </c>
      <c r="E98">
        <v>93</v>
      </c>
      <c r="F98" t="s">
        <v>288</v>
      </c>
      <c r="G98">
        <v>7.75</v>
      </c>
      <c r="H98">
        <v>111.6</v>
      </c>
      <c r="I98" t="s">
        <v>289</v>
      </c>
      <c r="J98" t="s">
        <v>313</v>
      </c>
      <c r="K98" t="s">
        <v>502</v>
      </c>
      <c r="L98" t="s">
        <v>203</v>
      </c>
      <c r="M98" t="s">
        <v>264</v>
      </c>
      <c r="N98" t="s">
        <v>12</v>
      </c>
      <c r="O98" t="s">
        <v>147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264</v>
      </c>
      <c r="AH98" t="s">
        <v>12</v>
      </c>
      <c r="AI98" t="s">
        <v>147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111.6</v>
      </c>
      <c r="AV98">
        <f>$H$98*$AB$98</f>
        <v>111.6</v>
      </c>
      <c r="AW98">
        <f>$H$98*$AC$98</f>
        <v>111.6</v>
      </c>
      <c r="AX98">
        <f>$H$98*$AD$98</f>
        <v>111.6</v>
      </c>
      <c r="AY98">
        <f>$H$98*$AE$98</f>
        <v>111.6</v>
      </c>
      <c r="AZ98">
        <f>$H$98*$AF$98</f>
        <v>111.6</v>
      </c>
    </row>
    <row r="99" spans="1:52" x14ac:dyDescent="0.25">
      <c r="A99">
        <v>142</v>
      </c>
      <c r="B99" t="s">
        <v>264</v>
      </c>
      <c r="C99" t="s">
        <v>314</v>
      </c>
      <c r="D99">
        <v>12</v>
      </c>
      <c r="E99">
        <v>157.68</v>
      </c>
      <c r="F99" t="s">
        <v>288</v>
      </c>
      <c r="G99">
        <v>13.14</v>
      </c>
      <c r="H99">
        <v>189.22</v>
      </c>
      <c r="I99" t="s">
        <v>292</v>
      </c>
      <c r="J99" t="s">
        <v>315</v>
      </c>
      <c r="K99" t="s">
        <v>503</v>
      </c>
      <c r="L99" t="s">
        <v>203</v>
      </c>
      <c r="M99" t="s">
        <v>264</v>
      </c>
      <c r="N99" t="s">
        <v>12</v>
      </c>
      <c r="O99" t="s">
        <v>147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264</v>
      </c>
      <c r="AH99" t="s">
        <v>12</v>
      </c>
      <c r="AI99" t="s">
        <v>147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189.22</v>
      </c>
      <c r="AV99">
        <f>$H$99*$AB$99</f>
        <v>189.22</v>
      </c>
      <c r="AW99">
        <f>$H$99*$AC$99</f>
        <v>189.22</v>
      </c>
      <c r="AX99">
        <f>$H$99*$AD$99</f>
        <v>189.22</v>
      </c>
      <c r="AY99">
        <f>$H$99*$AE$99</f>
        <v>189.22</v>
      </c>
      <c r="AZ99">
        <f>$H$99*$AF$99</f>
        <v>189.22</v>
      </c>
    </row>
    <row r="100" spans="1:52" x14ac:dyDescent="0.25">
      <c r="A100">
        <v>143</v>
      </c>
      <c r="B100" t="s">
        <v>264</v>
      </c>
      <c r="C100" t="s">
        <v>382</v>
      </c>
      <c r="D100">
        <v>1</v>
      </c>
      <c r="E100">
        <v>37.44</v>
      </c>
      <c r="F100" t="s">
        <v>294</v>
      </c>
      <c r="G100">
        <v>37.44</v>
      </c>
      <c r="H100">
        <v>44.92</v>
      </c>
      <c r="I100" t="s">
        <v>322</v>
      </c>
      <c r="J100" t="s">
        <v>383</v>
      </c>
      <c r="K100" t="s">
        <v>535</v>
      </c>
      <c r="L100" t="s">
        <v>203</v>
      </c>
      <c r="M100" t="s">
        <v>264</v>
      </c>
      <c r="N100" t="s">
        <v>12</v>
      </c>
      <c r="O100" t="s">
        <v>147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264</v>
      </c>
      <c r="AH100" t="s">
        <v>12</v>
      </c>
      <c r="AI100" t="s">
        <v>147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44.92</v>
      </c>
      <c r="AV100">
        <f>$H$100*$AB$100</f>
        <v>44.92</v>
      </c>
      <c r="AW100">
        <f>$H$100*$AC$100</f>
        <v>44.92</v>
      </c>
      <c r="AX100">
        <f>$H$100*$AD$100</f>
        <v>44.92</v>
      </c>
      <c r="AY100">
        <f>$H$100*$AE$100</f>
        <v>44.92</v>
      </c>
      <c r="AZ100">
        <f>$H$100*$AF$100</f>
        <v>44.92</v>
      </c>
    </row>
    <row r="101" spans="1:52" x14ac:dyDescent="0.25">
      <c r="A101">
        <v>144</v>
      </c>
      <c r="B101" t="s">
        <v>264</v>
      </c>
      <c r="C101" t="s">
        <v>384</v>
      </c>
      <c r="D101">
        <v>1</v>
      </c>
      <c r="E101">
        <v>33.979999999999997</v>
      </c>
      <c r="F101" t="s">
        <v>294</v>
      </c>
      <c r="G101">
        <v>33.979999999999997</v>
      </c>
      <c r="H101">
        <v>40.78</v>
      </c>
      <c r="I101" t="s">
        <v>322</v>
      </c>
      <c r="J101" t="s">
        <v>385</v>
      </c>
      <c r="K101" t="s">
        <v>536</v>
      </c>
      <c r="L101" t="s">
        <v>203</v>
      </c>
      <c r="M101" t="s">
        <v>264</v>
      </c>
      <c r="N101" t="s">
        <v>12</v>
      </c>
      <c r="O101" t="s">
        <v>147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264</v>
      </c>
      <c r="AH101" t="s">
        <v>12</v>
      </c>
      <c r="AI101" t="s">
        <v>147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40.78</v>
      </c>
      <c r="AT101">
        <f>$H$101*$Z$101</f>
        <v>40.78</v>
      </c>
      <c r="AU101">
        <f>$H$101*$AA$101</f>
        <v>40.78</v>
      </c>
      <c r="AV101">
        <f>$H$101*$AB$101</f>
        <v>40.78</v>
      </c>
      <c r="AW101">
        <f>$H$101*$AC$101</f>
        <v>40.78</v>
      </c>
      <c r="AX101">
        <f>$H$101*$AD$101</f>
        <v>40.78</v>
      </c>
      <c r="AY101">
        <f>$H$101*$AE$101</f>
        <v>40.78</v>
      </c>
      <c r="AZ101">
        <f>$H$101*$AF$101</f>
        <v>40.78</v>
      </c>
    </row>
    <row r="102" spans="1:52" x14ac:dyDescent="0.25">
      <c r="A102">
        <v>145</v>
      </c>
      <c r="B102" t="s">
        <v>264</v>
      </c>
      <c r="C102" t="s">
        <v>388</v>
      </c>
      <c r="D102">
        <v>6</v>
      </c>
      <c r="E102">
        <v>114.18</v>
      </c>
      <c r="F102" t="s">
        <v>308</v>
      </c>
      <c r="G102">
        <v>19.03</v>
      </c>
      <c r="H102">
        <v>137.02000000000001</v>
      </c>
      <c r="I102" t="s">
        <v>389</v>
      </c>
      <c r="J102" t="s">
        <v>356</v>
      </c>
      <c r="K102" t="s">
        <v>538</v>
      </c>
      <c r="L102" t="s">
        <v>203</v>
      </c>
      <c r="M102" t="s">
        <v>264</v>
      </c>
      <c r="N102" t="s">
        <v>12</v>
      </c>
      <c r="O102" t="s">
        <v>147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264</v>
      </c>
      <c r="AH102" t="s">
        <v>12</v>
      </c>
      <c r="AI102" t="s">
        <v>147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137.02000000000001</v>
      </c>
      <c r="AV102">
        <f>$H$102*$AB$102</f>
        <v>137.02000000000001</v>
      </c>
      <c r="AW102">
        <f>$H$102*$AC$102</f>
        <v>137.02000000000001</v>
      </c>
      <c r="AX102">
        <f>$H$102*$AD$102</f>
        <v>137.02000000000001</v>
      </c>
      <c r="AY102">
        <f>$H$102*$AE$102</f>
        <v>137.02000000000001</v>
      </c>
      <c r="AZ102">
        <f>$H$102*$AF$102</f>
        <v>137.02000000000001</v>
      </c>
    </row>
    <row r="103" spans="1:52" x14ac:dyDescent="0.25">
      <c r="A103">
        <v>146</v>
      </c>
      <c r="B103" t="s">
        <v>264</v>
      </c>
      <c r="C103" t="s">
        <v>390</v>
      </c>
      <c r="D103">
        <v>0.75</v>
      </c>
      <c r="E103">
        <v>494.51</v>
      </c>
      <c r="F103" t="s">
        <v>294</v>
      </c>
      <c r="G103">
        <v>659.35</v>
      </c>
      <c r="H103">
        <v>593.41</v>
      </c>
      <c r="I103" t="s">
        <v>309</v>
      </c>
      <c r="J103" t="s">
        <v>391</v>
      </c>
      <c r="K103" t="s">
        <v>539</v>
      </c>
      <c r="L103" t="s">
        <v>203</v>
      </c>
      <c r="M103" t="s">
        <v>264</v>
      </c>
      <c r="N103" t="s">
        <v>12</v>
      </c>
      <c r="O103" t="s">
        <v>147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264</v>
      </c>
      <c r="AH103" t="s">
        <v>12</v>
      </c>
      <c r="AI103" t="s">
        <v>147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593.41</v>
      </c>
      <c r="AV103">
        <f>$H$103*$AB$103</f>
        <v>593.41</v>
      </c>
      <c r="AW103">
        <f>$H$103*$AC$103</f>
        <v>593.41</v>
      </c>
      <c r="AX103">
        <f>$H$103*$AD$103</f>
        <v>593.41</v>
      </c>
      <c r="AY103">
        <f>$H$103*$AE$103</f>
        <v>593.41</v>
      </c>
      <c r="AZ103">
        <f>$H$103*$AF$103</f>
        <v>593.41</v>
      </c>
    </row>
    <row r="104" spans="1:52" x14ac:dyDescent="0.25">
      <c r="A104">
        <v>147</v>
      </c>
      <c r="B104" t="s">
        <v>264</v>
      </c>
      <c r="C104" t="s">
        <v>390</v>
      </c>
      <c r="D104">
        <v>0.25</v>
      </c>
      <c r="E104">
        <v>164.84</v>
      </c>
      <c r="F104" t="s">
        <v>294</v>
      </c>
      <c r="G104">
        <v>659.35</v>
      </c>
      <c r="H104">
        <v>197.8</v>
      </c>
      <c r="I104" t="s">
        <v>309</v>
      </c>
      <c r="J104" t="s">
        <v>391</v>
      </c>
      <c r="K104" t="s">
        <v>539</v>
      </c>
      <c r="L104" t="s">
        <v>203</v>
      </c>
      <c r="M104" t="s">
        <v>264</v>
      </c>
      <c r="N104" t="s">
        <v>12</v>
      </c>
      <c r="O104" t="s">
        <v>147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264</v>
      </c>
      <c r="AH104" t="s">
        <v>12</v>
      </c>
      <c r="AI104" t="s">
        <v>147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197.8</v>
      </c>
      <c r="AV104">
        <f>$H$104*$AB$104</f>
        <v>197.8</v>
      </c>
      <c r="AW104">
        <f>$H$104*$AC$104</f>
        <v>197.8</v>
      </c>
      <c r="AX104">
        <f>$H$104*$AD$104</f>
        <v>197.8</v>
      </c>
      <c r="AY104">
        <f>$H$104*$AE$104</f>
        <v>197.8</v>
      </c>
      <c r="AZ104">
        <f>$H$104*$AF$104</f>
        <v>197.8</v>
      </c>
    </row>
    <row r="105" spans="1:52" x14ac:dyDescent="0.25">
      <c r="A105">
        <v>148</v>
      </c>
      <c r="B105" t="s">
        <v>264</v>
      </c>
      <c r="C105" t="s">
        <v>392</v>
      </c>
      <c r="D105">
        <v>1</v>
      </c>
      <c r="E105">
        <v>59.87</v>
      </c>
      <c r="F105" t="s">
        <v>294</v>
      </c>
      <c r="G105">
        <v>59.87</v>
      </c>
      <c r="H105">
        <v>71.849999999999994</v>
      </c>
      <c r="I105" t="s">
        <v>309</v>
      </c>
      <c r="J105" t="s">
        <v>393</v>
      </c>
      <c r="K105" t="s">
        <v>540</v>
      </c>
      <c r="L105" t="s">
        <v>203</v>
      </c>
      <c r="M105" t="s">
        <v>264</v>
      </c>
      <c r="N105" t="s">
        <v>12</v>
      </c>
      <c r="O105" t="s">
        <v>147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264</v>
      </c>
      <c r="AH105" t="s">
        <v>12</v>
      </c>
      <c r="AI105" t="s">
        <v>147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71.849999999999994</v>
      </c>
      <c r="AT105">
        <f>$H$105*$Z$105</f>
        <v>71.849999999999994</v>
      </c>
      <c r="AU105">
        <f>$H$105*$AA$105</f>
        <v>71.849999999999994</v>
      </c>
      <c r="AV105">
        <f>$H$105*$AB$105</f>
        <v>71.849999999999994</v>
      </c>
      <c r="AW105">
        <f>$H$105*$AC$105</f>
        <v>71.849999999999994</v>
      </c>
      <c r="AX105">
        <f>$H$105*$AD$105</f>
        <v>71.849999999999994</v>
      </c>
      <c r="AY105">
        <f>$H$105*$AE$105</f>
        <v>71.849999999999994</v>
      </c>
      <c r="AZ105">
        <f>$H$105*$AF$105</f>
        <v>71.849999999999994</v>
      </c>
    </row>
    <row r="106" spans="1:52" x14ac:dyDescent="0.25">
      <c r="A106">
        <v>149</v>
      </c>
      <c r="B106" t="s">
        <v>264</v>
      </c>
      <c r="C106" t="s">
        <v>394</v>
      </c>
      <c r="D106">
        <v>1</v>
      </c>
      <c r="E106">
        <v>552.6</v>
      </c>
      <c r="F106" t="s">
        <v>294</v>
      </c>
      <c r="G106">
        <v>552.6</v>
      </c>
      <c r="H106">
        <v>663.12</v>
      </c>
      <c r="I106" t="s">
        <v>309</v>
      </c>
      <c r="J106" t="s">
        <v>395</v>
      </c>
      <c r="K106" t="s">
        <v>541</v>
      </c>
      <c r="L106" t="s">
        <v>203</v>
      </c>
      <c r="M106" t="s">
        <v>264</v>
      </c>
      <c r="N106" t="s">
        <v>12</v>
      </c>
      <c r="O106" t="s">
        <v>147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264</v>
      </c>
      <c r="AH106" t="s">
        <v>12</v>
      </c>
      <c r="AI106" t="s">
        <v>147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663.12</v>
      </c>
      <c r="AT106">
        <f>$H$106*$Z$106</f>
        <v>663.12</v>
      </c>
      <c r="AU106">
        <f>$H$106*$AA$106</f>
        <v>663.12</v>
      </c>
      <c r="AV106">
        <f>$H$106*$AB$106</f>
        <v>663.12</v>
      </c>
      <c r="AW106">
        <f>$H$106*$AC$106</f>
        <v>663.12</v>
      </c>
      <c r="AX106">
        <f>$H$106*$AD$106</f>
        <v>663.12</v>
      </c>
      <c r="AY106">
        <f>$H$106*$AE$106</f>
        <v>663.12</v>
      </c>
      <c r="AZ106">
        <f>$H$106*$AF$106</f>
        <v>663.12</v>
      </c>
    </row>
    <row r="107" spans="1:52" x14ac:dyDescent="0.25">
      <c r="A107">
        <v>150</v>
      </c>
      <c r="B107" t="s">
        <v>264</v>
      </c>
      <c r="C107" t="s">
        <v>402</v>
      </c>
      <c r="D107">
        <v>10</v>
      </c>
      <c r="E107">
        <v>79.8</v>
      </c>
      <c r="F107" t="s">
        <v>288</v>
      </c>
      <c r="G107">
        <v>7.98</v>
      </c>
      <c r="H107">
        <v>95.76</v>
      </c>
      <c r="I107" t="s">
        <v>302</v>
      </c>
      <c r="J107" t="s">
        <v>403</v>
      </c>
      <c r="K107" t="s">
        <v>545</v>
      </c>
      <c r="L107" t="s">
        <v>203</v>
      </c>
      <c r="M107" t="s">
        <v>264</v>
      </c>
      <c r="N107" t="s">
        <v>12</v>
      </c>
      <c r="O107" t="s">
        <v>147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 t="s">
        <v>264</v>
      </c>
      <c r="AH107" t="s">
        <v>12</v>
      </c>
      <c r="AI107" t="s">
        <v>147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0</v>
      </c>
      <c r="AX107">
        <f>$H$107*$AD$107</f>
        <v>95.76</v>
      </c>
      <c r="AY107">
        <f>$H$107*$AE$107</f>
        <v>95.76</v>
      </c>
      <c r="AZ107">
        <f>$H$107*$AF$107</f>
        <v>95.76</v>
      </c>
    </row>
    <row r="108" spans="1:52" x14ac:dyDescent="0.25">
      <c r="A108">
        <v>151</v>
      </c>
      <c r="B108" t="s">
        <v>264</v>
      </c>
      <c r="C108" t="s">
        <v>404</v>
      </c>
      <c r="D108">
        <v>1</v>
      </c>
      <c r="E108">
        <v>134</v>
      </c>
      <c r="F108" t="s">
        <v>294</v>
      </c>
      <c r="G108">
        <v>134</v>
      </c>
      <c r="H108">
        <v>160.80000000000001</v>
      </c>
      <c r="I108" t="s">
        <v>302</v>
      </c>
      <c r="J108" t="s">
        <v>405</v>
      </c>
      <c r="K108" t="s">
        <v>546</v>
      </c>
      <c r="L108" t="s">
        <v>203</v>
      </c>
      <c r="M108" t="s">
        <v>264</v>
      </c>
      <c r="N108" t="s">
        <v>12</v>
      </c>
      <c r="O108" t="s">
        <v>147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264</v>
      </c>
      <c r="AH108" t="s">
        <v>12</v>
      </c>
      <c r="AI108" t="s">
        <v>147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160.80000000000001</v>
      </c>
      <c r="AY108">
        <f>$H$108*$AE$108</f>
        <v>160.80000000000001</v>
      </c>
      <c r="AZ108">
        <f>$H$108*$AF$108</f>
        <v>160.80000000000001</v>
      </c>
    </row>
    <row r="109" spans="1:52" x14ac:dyDescent="0.25">
      <c r="A109">
        <v>152</v>
      </c>
      <c r="B109" t="s">
        <v>264</v>
      </c>
      <c r="C109" t="s">
        <v>441</v>
      </c>
      <c r="D109">
        <v>1</v>
      </c>
      <c r="E109">
        <v>100.13</v>
      </c>
      <c r="F109" t="s">
        <v>294</v>
      </c>
      <c r="G109">
        <v>100.13</v>
      </c>
      <c r="H109">
        <v>120.15</v>
      </c>
      <c r="I109" t="s">
        <v>299</v>
      </c>
      <c r="J109" t="s">
        <v>442</v>
      </c>
      <c r="K109" t="s">
        <v>564</v>
      </c>
      <c r="L109" t="s">
        <v>203</v>
      </c>
      <c r="M109" t="s">
        <v>264</v>
      </c>
      <c r="N109" t="s">
        <v>12</v>
      </c>
      <c r="O109" t="s">
        <v>147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264</v>
      </c>
      <c r="AH109" t="s">
        <v>12</v>
      </c>
      <c r="AI109" t="s">
        <v>147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120.15</v>
      </c>
      <c r="AY109">
        <f>$H$109*$AE$109</f>
        <v>120.15</v>
      </c>
      <c r="AZ109">
        <f>$H$109*$AF$109</f>
        <v>120.15</v>
      </c>
    </row>
    <row r="110" spans="1:52" x14ac:dyDescent="0.25">
      <c r="A110">
        <v>153</v>
      </c>
      <c r="B110" t="s">
        <v>264</v>
      </c>
      <c r="C110" t="s">
        <v>371</v>
      </c>
      <c r="D110">
        <v>1</v>
      </c>
      <c r="E110">
        <v>49.16</v>
      </c>
      <c r="F110" t="s">
        <v>294</v>
      </c>
      <c r="G110">
        <v>49.16</v>
      </c>
      <c r="H110">
        <v>59</v>
      </c>
      <c r="I110" t="s">
        <v>322</v>
      </c>
      <c r="J110" t="s">
        <v>372</v>
      </c>
      <c r="K110" t="s">
        <v>530</v>
      </c>
      <c r="L110" t="s">
        <v>203</v>
      </c>
      <c r="M110" t="s">
        <v>264</v>
      </c>
      <c r="N110" t="s">
        <v>12</v>
      </c>
      <c r="O110" t="s">
        <v>147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264</v>
      </c>
      <c r="AH110" t="s">
        <v>12</v>
      </c>
      <c r="AI110" t="s">
        <v>147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59</v>
      </c>
      <c r="AV110">
        <f>$H$110*$AB$110</f>
        <v>59</v>
      </c>
      <c r="AW110">
        <f>$H$110*$AC$110</f>
        <v>59</v>
      </c>
      <c r="AX110">
        <f>$H$110*$AD$110</f>
        <v>59</v>
      </c>
      <c r="AY110">
        <f>$H$110*$AE$110</f>
        <v>59</v>
      </c>
      <c r="AZ110">
        <f>$H$110*$AF$110</f>
        <v>59</v>
      </c>
    </row>
    <row r="111" spans="1:52" x14ac:dyDescent="0.25">
      <c r="A111">
        <v>154</v>
      </c>
      <c r="B111" t="s">
        <v>264</v>
      </c>
      <c r="C111" t="s">
        <v>329</v>
      </c>
      <c r="D111">
        <v>2</v>
      </c>
      <c r="E111">
        <v>126.46</v>
      </c>
      <c r="F111" t="s">
        <v>294</v>
      </c>
      <c r="G111">
        <v>63.23</v>
      </c>
      <c r="H111">
        <v>151.76</v>
      </c>
      <c r="I111" t="s">
        <v>289</v>
      </c>
      <c r="J111" t="s">
        <v>325</v>
      </c>
      <c r="K111" t="s">
        <v>509</v>
      </c>
      <c r="L111" t="s">
        <v>203</v>
      </c>
      <c r="M111" t="s">
        <v>264</v>
      </c>
      <c r="N111" t="s">
        <v>12</v>
      </c>
      <c r="O111" t="s">
        <v>147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264</v>
      </c>
      <c r="AH111" t="s">
        <v>12</v>
      </c>
      <c r="AI111" t="s">
        <v>147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151.76</v>
      </c>
      <c r="AN111">
        <f>$H$111*$T$111</f>
        <v>151.76</v>
      </c>
      <c r="AO111">
        <f>$H$111*$U$111</f>
        <v>151.76</v>
      </c>
      <c r="AP111">
        <f>$H$111*$V$111</f>
        <v>151.76</v>
      </c>
      <c r="AQ111">
        <f>$H$111*$W$111</f>
        <v>151.76</v>
      </c>
      <c r="AR111">
        <f>$H$111*$X$111</f>
        <v>151.76</v>
      </c>
      <c r="AS111">
        <f>$H$111*$Y$111</f>
        <v>151.76</v>
      </c>
      <c r="AT111">
        <f>$H$111*$Z$111</f>
        <v>151.76</v>
      </c>
      <c r="AU111">
        <f>$H$111*$AA$111</f>
        <v>151.76</v>
      </c>
      <c r="AV111">
        <f>$H$111*$AB$111</f>
        <v>151.76</v>
      </c>
      <c r="AW111">
        <f>$H$111*$AC$111</f>
        <v>151.76</v>
      </c>
      <c r="AX111">
        <f>$H$111*$AD$111</f>
        <v>151.76</v>
      </c>
      <c r="AY111">
        <f>$H$111*$AE$111</f>
        <v>151.76</v>
      </c>
      <c r="AZ111">
        <f>$H$111*$AF$111</f>
        <v>151.76</v>
      </c>
    </row>
    <row r="112" spans="1:52" x14ac:dyDescent="0.25">
      <c r="A112">
        <v>155</v>
      </c>
      <c r="B112" t="s">
        <v>264</v>
      </c>
      <c r="C112" t="s">
        <v>327</v>
      </c>
      <c r="D112">
        <v>2</v>
      </c>
      <c r="E112">
        <v>106.5</v>
      </c>
      <c r="F112" t="s">
        <v>294</v>
      </c>
      <c r="G112">
        <v>53.25</v>
      </c>
      <c r="H112">
        <v>127.8</v>
      </c>
      <c r="I112" t="s">
        <v>289</v>
      </c>
      <c r="J112" t="s">
        <v>328</v>
      </c>
      <c r="K112" t="s">
        <v>508</v>
      </c>
      <c r="L112" t="s">
        <v>203</v>
      </c>
      <c r="M112" t="s">
        <v>264</v>
      </c>
      <c r="N112" t="s">
        <v>12</v>
      </c>
      <c r="O112" t="s">
        <v>147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264</v>
      </c>
      <c r="AH112" t="s">
        <v>12</v>
      </c>
      <c r="AI112" t="s">
        <v>147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127.8</v>
      </c>
      <c r="AN112">
        <f>$H$112*$T$112</f>
        <v>127.8</v>
      </c>
      <c r="AO112">
        <f>$H$112*$U$112</f>
        <v>127.8</v>
      </c>
      <c r="AP112">
        <f>$H$112*$V$112</f>
        <v>127.8</v>
      </c>
      <c r="AQ112">
        <f>$H$112*$W$112</f>
        <v>127.8</v>
      </c>
      <c r="AR112">
        <f>$H$112*$X$112</f>
        <v>127.8</v>
      </c>
      <c r="AS112">
        <f>$H$112*$Y$112</f>
        <v>127.8</v>
      </c>
      <c r="AT112">
        <f>$H$112*$Z$112</f>
        <v>127.8</v>
      </c>
      <c r="AU112">
        <f>$H$112*$AA$112</f>
        <v>127.8</v>
      </c>
      <c r="AV112">
        <f>$H$112*$AB$112</f>
        <v>127.8</v>
      </c>
      <c r="AW112">
        <f>$H$112*$AC$112</f>
        <v>127.8</v>
      </c>
      <c r="AX112">
        <f>$H$112*$AD$112</f>
        <v>127.8</v>
      </c>
      <c r="AY112">
        <f>$H$112*$AE$112</f>
        <v>127.8</v>
      </c>
      <c r="AZ112">
        <f>$H$112*$AF$112</f>
        <v>127.8</v>
      </c>
    </row>
    <row r="113" spans="1:52" x14ac:dyDescent="0.25">
      <c r="A113">
        <v>156</v>
      </c>
      <c r="B113" t="s">
        <v>264</v>
      </c>
      <c r="C113" t="s">
        <v>373</v>
      </c>
      <c r="D113">
        <v>1</v>
      </c>
      <c r="E113">
        <v>411.33</v>
      </c>
      <c r="F113" t="s">
        <v>294</v>
      </c>
      <c r="G113">
        <v>411.33</v>
      </c>
      <c r="H113">
        <v>493.59</v>
      </c>
      <c r="I113" t="s">
        <v>325</v>
      </c>
      <c r="J113" t="s">
        <v>356</v>
      </c>
      <c r="K113" t="s">
        <v>531</v>
      </c>
      <c r="L113" t="s">
        <v>203</v>
      </c>
      <c r="M113" t="s">
        <v>264</v>
      </c>
      <c r="N113" t="s">
        <v>12</v>
      </c>
      <c r="O113" t="s">
        <v>147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264</v>
      </c>
      <c r="AH113" t="s">
        <v>12</v>
      </c>
      <c r="AI113" t="s">
        <v>147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493.59</v>
      </c>
      <c r="AO113">
        <f>$H$113*$U$113</f>
        <v>493.59</v>
      </c>
      <c r="AP113">
        <f>$H$113*$V$113</f>
        <v>493.59</v>
      </c>
      <c r="AQ113">
        <f>$H$113*$W$113</f>
        <v>493.59</v>
      </c>
      <c r="AR113">
        <f>$H$113*$X$113</f>
        <v>493.59</v>
      </c>
      <c r="AS113">
        <f>$H$113*$Y$113</f>
        <v>493.59</v>
      </c>
      <c r="AT113">
        <f>$H$113*$Z$113</f>
        <v>493.59</v>
      </c>
      <c r="AU113">
        <f>$H$113*$AA$113</f>
        <v>493.59</v>
      </c>
      <c r="AV113">
        <f>$H$113*$AB$113</f>
        <v>493.59</v>
      </c>
      <c r="AW113">
        <f>$H$113*$AC$113</f>
        <v>493.59</v>
      </c>
      <c r="AX113">
        <f>$H$113*$AD$113</f>
        <v>493.59</v>
      </c>
      <c r="AY113">
        <f>$H$113*$AE$113</f>
        <v>493.59</v>
      </c>
      <c r="AZ113">
        <f>$H$113*$AF$113</f>
        <v>493.59</v>
      </c>
    </row>
    <row r="114" spans="1:52" x14ac:dyDescent="0.25">
      <c r="A114">
        <v>157</v>
      </c>
      <c r="B114" t="s">
        <v>264</v>
      </c>
      <c r="C114" t="s">
        <v>410</v>
      </c>
      <c r="D114">
        <v>2.5</v>
      </c>
      <c r="E114">
        <v>603.65</v>
      </c>
      <c r="F114" t="s">
        <v>288</v>
      </c>
      <c r="G114">
        <v>241.46</v>
      </c>
      <c r="H114">
        <v>724.39</v>
      </c>
      <c r="I114" t="s">
        <v>411</v>
      </c>
      <c r="J114" t="s">
        <v>412</v>
      </c>
      <c r="K114" t="s">
        <v>549</v>
      </c>
      <c r="L114" t="s">
        <v>203</v>
      </c>
      <c r="M114" t="s">
        <v>264</v>
      </c>
      <c r="N114" t="s">
        <v>12</v>
      </c>
      <c r="O114" t="s">
        <v>147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264</v>
      </c>
      <c r="AH114" t="s">
        <v>12</v>
      </c>
      <c r="AI114" t="s">
        <v>147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724.39</v>
      </c>
      <c r="AO114">
        <f>$H$114*$U$114</f>
        <v>724.39</v>
      </c>
      <c r="AP114">
        <f>$H$114*$V$114</f>
        <v>724.39</v>
      </c>
      <c r="AQ114">
        <f>$H$114*$W$114</f>
        <v>724.39</v>
      </c>
      <c r="AR114">
        <f>$H$114*$X$114</f>
        <v>724.39</v>
      </c>
      <c r="AS114">
        <f>$H$114*$Y$114</f>
        <v>724.39</v>
      </c>
      <c r="AT114">
        <f>$H$114*$Z$114</f>
        <v>724.39</v>
      </c>
      <c r="AU114">
        <f>$H$114*$AA$114</f>
        <v>724.39</v>
      </c>
      <c r="AV114">
        <f>$H$114*$AB$114</f>
        <v>724.39</v>
      </c>
      <c r="AW114">
        <f>$H$114*$AC$114</f>
        <v>724.39</v>
      </c>
      <c r="AX114">
        <f>$H$114*$AD$114</f>
        <v>724.39</v>
      </c>
      <c r="AY114">
        <f>$H$114*$AE$114</f>
        <v>724.39</v>
      </c>
      <c r="AZ114">
        <f>$H$114*$AF$114</f>
        <v>724.39</v>
      </c>
    </row>
    <row r="115" spans="1:52" x14ac:dyDescent="0.25">
      <c r="A115">
        <v>158</v>
      </c>
      <c r="B115" t="s">
        <v>264</v>
      </c>
      <c r="C115" t="s">
        <v>413</v>
      </c>
      <c r="D115">
        <v>5</v>
      </c>
      <c r="E115">
        <v>509.25</v>
      </c>
      <c r="F115" t="s">
        <v>308</v>
      </c>
      <c r="G115">
        <v>101.85</v>
      </c>
      <c r="H115">
        <v>611.11</v>
      </c>
      <c r="I115" t="s">
        <v>411</v>
      </c>
      <c r="J115" t="s">
        <v>414</v>
      </c>
      <c r="K115" t="s">
        <v>550</v>
      </c>
      <c r="L115" t="s">
        <v>203</v>
      </c>
      <c r="M115" t="s">
        <v>264</v>
      </c>
      <c r="N115" t="s">
        <v>12</v>
      </c>
      <c r="O115" t="s">
        <v>147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264</v>
      </c>
      <c r="AH115" t="s">
        <v>12</v>
      </c>
      <c r="AI115" t="s">
        <v>147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611.11</v>
      </c>
      <c r="AU115">
        <f>$H$115*$AA$115</f>
        <v>611.11</v>
      </c>
      <c r="AV115">
        <f>$H$115*$AB$115</f>
        <v>611.11</v>
      </c>
      <c r="AW115">
        <f>$H$115*$AC$115</f>
        <v>611.11</v>
      </c>
      <c r="AX115">
        <f>$H$115*$AD$115</f>
        <v>611.11</v>
      </c>
      <c r="AY115">
        <f>$H$115*$AE$115</f>
        <v>611.11</v>
      </c>
      <c r="AZ115">
        <f>$H$115*$AF$115</f>
        <v>611.11</v>
      </c>
    </row>
    <row r="116" spans="1:52" x14ac:dyDescent="0.25">
      <c r="A116">
        <v>159</v>
      </c>
      <c r="B116" t="s">
        <v>264</v>
      </c>
      <c r="C116" t="s">
        <v>415</v>
      </c>
      <c r="D116">
        <v>1</v>
      </c>
      <c r="E116">
        <v>236.97</v>
      </c>
      <c r="F116" t="s">
        <v>294</v>
      </c>
      <c r="G116">
        <v>236.97</v>
      </c>
      <c r="H116">
        <v>284.37</v>
      </c>
      <c r="I116" t="s">
        <v>309</v>
      </c>
      <c r="J116" t="s">
        <v>416</v>
      </c>
      <c r="K116" t="s">
        <v>551</v>
      </c>
      <c r="L116" t="s">
        <v>203</v>
      </c>
      <c r="M116" t="s">
        <v>264</v>
      </c>
      <c r="N116" t="s">
        <v>12</v>
      </c>
      <c r="O116" t="s">
        <v>147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264</v>
      </c>
      <c r="AH116" t="s">
        <v>12</v>
      </c>
      <c r="AI116" t="s">
        <v>147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284.37</v>
      </c>
      <c r="AV116">
        <f>$H$116*$AB$116</f>
        <v>284.37</v>
      </c>
      <c r="AW116">
        <f>$H$116*$AC$116</f>
        <v>284.37</v>
      </c>
      <c r="AX116">
        <f>$H$116*$AD$116</f>
        <v>284.37</v>
      </c>
      <c r="AY116">
        <f>$H$116*$AE$116</f>
        <v>284.37</v>
      </c>
      <c r="AZ116">
        <f>$H$116*$AF$116</f>
        <v>284.37</v>
      </c>
    </row>
    <row r="117" spans="1:52" x14ac:dyDescent="0.25">
      <c r="A117">
        <v>160</v>
      </c>
      <c r="B117" t="s">
        <v>264</v>
      </c>
      <c r="C117" t="s">
        <v>390</v>
      </c>
      <c r="D117">
        <v>0.75</v>
      </c>
      <c r="E117">
        <v>494.51</v>
      </c>
      <c r="F117" t="s">
        <v>294</v>
      </c>
      <c r="G117">
        <v>659.35</v>
      </c>
      <c r="H117">
        <v>593.41</v>
      </c>
      <c r="I117" t="s">
        <v>309</v>
      </c>
      <c r="J117" t="s">
        <v>391</v>
      </c>
      <c r="K117" t="s">
        <v>539</v>
      </c>
      <c r="L117" t="s">
        <v>203</v>
      </c>
      <c r="M117" t="s">
        <v>264</v>
      </c>
      <c r="N117" t="s">
        <v>12</v>
      </c>
      <c r="O117" t="s">
        <v>147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264</v>
      </c>
      <c r="AH117" t="s">
        <v>12</v>
      </c>
      <c r="AI117" t="s">
        <v>147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593.41</v>
      </c>
      <c r="AV117">
        <f>$H$117*$AB$117</f>
        <v>593.41</v>
      </c>
      <c r="AW117">
        <f>$H$117*$AC$117</f>
        <v>593.41</v>
      </c>
      <c r="AX117">
        <f>$H$117*$AD$117</f>
        <v>593.41</v>
      </c>
      <c r="AY117">
        <f>$H$117*$AE$117</f>
        <v>593.41</v>
      </c>
      <c r="AZ117">
        <f>$H$117*$AF$117</f>
        <v>593.41</v>
      </c>
    </row>
    <row r="118" spans="1:52" x14ac:dyDescent="0.25">
      <c r="A118">
        <v>161</v>
      </c>
      <c r="B118" t="s">
        <v>264</v>
      </c>
      <c r="C118" t="s">
        <v>390</v>
      </c>
      <c r="D118">
        <v>0.25</v>
      </c>
      <c r="E118">
        <v>164.84</v>
      </c>
      <c r="F118" t="s">
        <v>294</v>
      </c>
      <c r="G118">
        <v>659.35</v>
      </c>
      <c r="H118">
        <v>197.8</v>
      </c>
      <c r="I118" t="s">
        <v>309</v>
      </c>
      <c r="J118" t="s">
        <v>391</v>
      </c>
      <c r="K118" t="s">
        <v>539</v>
      </c>
      <c r="L118" t="s">
        <v>203</v>
      </c>
      <c r="M118" t="s">
        <v>264</v>
      </c>
      <c r="N118" t="s">
        <v>12</v>
      </c>
      <c r="O118" t="s">
        <v>147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264</v>
      </c>
      <c r="AH118" t="s">
        <v>12</v>
      </c>
      <c r="AI118" t="s">
        <v>147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197.8</v>
      </c>
      <c r="AV118">
        <f>$H$118*$AB$118</f>
        <v>197.8</v>
      </c>
      <c r="AW118">
        <f>$H$118*$AC$118</f>
        <v>197.8</v>
      </c>
      <c r="AX118">
        <f>$H$118*$AD$118</f>
        <v>197.8</v>
      </c>
      <c r="AY118">
        <f>$H$118*$AE$118</f>
        <v>197.8</v>
      </c>
      <c r="AZ118">
        <f>$H$118*$AF$118</f>
        <v>197.8</v>
      </c>
    </row>
    <row r="119" spans="1:52" x14ac:dyDescent="0.25">
      <c r="A119">
        <v>162</v>
      </c>
      <c r="B119" t="s">
        <v>264</v>
      </c>
      <c r="C119" t="s">
        <v>417</v>
      </c>
      <c r="D119">
        <v>1</v>
      </c>
      <c r="E119">
        <v>312.01</v>
      </c>
      <c r="F119" t="s">
        <v>294</v>
      </c>
      <c r="G119">
        <v>312.01</v>
      </c>
      <c r="H119">
        <v>374.41</v>
      </c>
      <c r="I119" t="s">
        <v>309</v>
      </c>
      <c r="J119" t="s">
        <v>418</v>
      </c>
      <c r="K119" t="s">
        <v>552</v>
      </c>
      <c r="L119" t="s">
        <v>203</v>
      </c>
      <c r="M119" t="s">
        <v>264</v>
      </c>
      <c r="N119" t="s">
        <v>12</v>
      </c>
      <c r="O119" t="s">
        <v>147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264</v>
      </c>
      <c r="AH119" t="s">
        <v>12</v>
      </c>
      <c r="AI119" t="s">
        <v>147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374.41</v>
      </c>
      <c r="AV119">
        <f>$H$119*$AB$119</f>
        <v>374.41</v>
      </c>
      <c r="AW119">
        <f>$H$119*$AC$119</f>
        <v>374.41</v>
      </c>
      <c r="AX119">
        <f>$H$119*$AD$119</f>
        <v>374.41</v>
      </c>
      <c r="AY119">
        <f>$H$119*$AE$119</f>
        <v>374.41</v>
      </c>
      <c r="AZ119">
        <f>$H$119*$AF$119</f>
        <v>374.41</v>
      </c>
    </row>
    <row r="120" spans="1:52" x14ac:dyDescent="0.25">
      <c r="A120">
        <v>163</v>
      </c>
      <c r="B120" t="s">
        <v>264</v>
      </c>
      <c r="C120" t="s">
        <v>419</v>
      </c>
      <c r="D120">
        <v>4.5</v>
      </c>
      <c r="E120">
        <v>17.28</v>
      </c>
      <c r="F120" t="s">
        <v>288</v>
      </c>
      <c r="G120">
        <v>3.84</v>
      </c>
      <c r="H120">
        <v>20.74</v>
      </c>
      <c r="I120" t="s">
        <v>420</v>
      </c>
      <c r="J120" t="s">
        <v>421</v>
      </c>
      <c r="K120" t="s">
        <v>553</v>
      </c>
      <c r="L120" t="s">
        <v>203</v>
      </c>
      <c r="M120" t="s">
        <v>264</v>
      </c>
      <c r="N120" t="s">
        <v>12</v>
      </c>
      <c r="O120" t="s">
        <v>147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264</v>
      </c>
      <c r="AH120" t="s">
        <v>12</v>
      </c>
      <c r="AI120" t="s">
        <v>147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20.74</v>
      </c>
      <c r="AV120">
        <f>$H$120*$AB$120</f>
        <v>20.74</v>
      </c>
      <c r="AW120">
        <f>$H$120*$AC$120</f>
        <v>20.74</v>
      </c>
      <c r="AX120">
        <f>$H$120*$AD$120</f>
        <v>20.74</v>
      </c>
      <c r="AY120">
        <f>$H$120*$AE$120</f>
        <v>20.74</v>
      </c>
      <c r="AZ120">
        <f>$H$120*$AF$120</f>
        <v>20.74</v>
      </c>
    </row>
    <row r="121" spans="1:52" x14ac:dyDescent="0.25">
      <c r="A121">
        <v>164</v>
      </c>
      <c r="B121" t="s">
        <v>264</v>
      </c>
      <c r="C121" t="s">
        <v>422</v>
      </c>
      <c r="D121">
        <v>36</v>
      </c>
      <c r="E121">
        <v>119.16</v>
      </c>
      <c r="F121" t="s">
        <v>308</v>
      </c>
      <c r="G121">
        <v>3.31</v>
      </c>
      <c r="H121">
        <v>143</v>
      </c>
      <c r="I121" t="s">
        <v>420</v>
      </c>
      <c r="J121" t="s">
        <v>423</v>
      </c>
      <c r="K121" t="s">
        <v>554</v>
      </c>
      <c r="L121" t="s">
        <v>203</v>
      </c>
      <c r="M121" t="s">
        <v>264</v>
      </c>
      <c r="N121" t="s">
        <v>12</v>
      </c>
      <c r="O121" t="s">
        <v>147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264</v>
      </c>
      <c r="AH121" t="s">
        <v>12</v>
      </c>
      <c r="AI121" t="s">
        <v>147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143</v>
      </c>
      <c r="AN121">
        <f>$H$121*$T$121</f>
        <v>143</v>
      </c>
      <c r="AO121">
        <f>$H$121*$U$121</f>
        <v>143</v>
      </c>
      <c r="AP121">
        <f>$H$121*$V$121</f>
        <v>143</v>
      </c>
      <c r="AQ121">
        <f>$H$121*$W$121</f>
        <v>143</v>
      </c>
      <c r="AR121">
        <f>$H$121*$X$121</f>
        <v>143</v>
      </c>
      <c r="AS121">
        <f>$H$121*$Y$121</f>
        <v>143</v>
      </c>
      <c r="AT121">
        <f>$H$121*$Z$121</f>
        <v>143</v>
      </c>
      <c r="AU121">
        <f>$H$121*$AA$121</f>
        <v>143</v>
      </c>
      <c r="AV121">
        <f>$H$121*$AB$121</f>
        <v>143</v>
      </c>
      <c r="AW121">
        <f>$H$121*$AC$121</f>
        <v>143</v>
      </c>
      <c r="AX121">
        <f>$H$121*$AD$121</f>
        <v>143</v>
      </c>
      <c r="AY121">
        <f>$H$121*$AE$121</f>
        <v>143</v>
      </c>
      <c r="AZ121">
        <f>$H$121*$AF$121</f>
        <v>143</v>
      </c>
    </row>
    <row r="122" spans="1:52" x14ac:dyDescent="0.25">
      <c r="A122">
        <v>165</v>
      </c>
      <c r="B122" t="s">
        <v>264</v>
      </c>
      <c r="C122" t="s">
        <v>424</v>
      </c>
      <c r="D122">
        <v>36</v>
      </c>
      <c r="E122">
        <v>38.520000000000003</v>
      </c>
      <c r="F122" t="s">
        <v>308</v>
      </c>
      <c r="G122">
        <v>1.07</v>
      </c>
      <c r="H122">
        <v>46.22</v>
      </c>
      <c r="I122" t="s">
        <v>289</v>
      </c>
      <c r="J122" t="s">
        <v>425</v>
      </c>
      <c r="K122" t="s">
        <v>555</v>
      </c>
      <c r="L122" t="s">
        <v>203</v>
      </c>
      <c r="M122" t="s">
        <v>264</v>
      </c>
      <c r="N122" t="s">
        <v>12</v>
      </c>
      <c r="O122" t="s">
        <v>147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264</v>
      </c>
      <c r="AH122" t="s">
        <v>12</v>
      </c>
      <c r="AI122" t="s">
        <v>147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46.22</v>
      </c>
      <c r="AY122">
        <f>$H$122*$AE$122</f>
        <v>46.22</v>
      </c>
      <c r="AZ122">
        <f>$H$122*$AF$122</f>
        <v>46.22</v>
      </c>
    </row>
    <row r="123" spans="1:52" x14ac:dyDescent="0.25">
      <c r="A123">
        <v>166</v>
      </c>
      <c r="B123" t="s">
        <v>264</v>
      </c>
      <c r="C123" t="s">
        <v>316</v>
      </c>
      <c r="D123">
        <v>108</v>
      </c>
      <c r="E123">
        <v>174.96</v>
      </c>
      <c r="F123" t="s">
        <v>308</v>
      </c>
      <c r="G123">
        <v>1.62</v>
      </c>
      <c r="H123">
        <v>209.96</v>
      </c>
      <c r="I123" t="s">
        <v>289</v>
      </c>
      <c r="J123" t="s">
        <v>317</v>
      </c>
      <c r="K123" t="s">
        <v>504</v>
      </c>
      <c r="L123" t="s">
        <v>203</v>
      </c>
      <c r="M123" t="s">
        <v>264</v>
      </c>
      <c r="N123" t="s">
        <v>12</v>
      </c>
      <c r="O123" t="s">
        <v>147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264</v>
      </c>
      <c r="AH123" t="s">
        <v>12</v>
      </c>
      <c r="AI123" t="s">
        <v>147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209.96</v>
      </c>
      <c r="AO123">
        <f>$H$123*$U$123</f>
        <v>209.96</v>
      </c>
      <c r="AP123">
        <f>$H$123*$V$123</f>
        <v>209.96</v>
      </c>
      <c r="AQ123">
        <f>$H$123*$W$123</f>
        <v>209.96</v>
      </c>
      <c r="AR123">
        <f>$H$123*$X$123</f>
        <v>209.96</v>
      </c>
      <c r="AS123">
        <f>$H$123*$Y$123</f>
        <v>209.96</v>
      </c>
      <c r="AT123">
        <f>$H$123*$Z$123</f>
        <v>209.96</v>
      </c>
      <c r="AU123">
        <f>$H$123*$AA$123</f>
        <v>209.96</v>
      </c>
      <c r="AV123">
        <f>$H$123*$AB$123</f>
        <v>209.96</v>
      </c>
      <c r="AW123">
        <f>$H$123*$AC$123</f>
        <v>209.96</v>
      </c>
      <c r="AX123">
        <f>$H$123*$AD$123</f>
        <v>209.96</v>
      </c>
      <c r="AY123">
        <f>$H$123*$AE$123</f>
        <v>209.96</v>
      </c>
      <c r="AZ123">
        <f>$H$123*$AF$123</f>
        <v>209.96</v>
      </c>
    </row>
    <row r="124" spans="1:52" x14ac:dyDescent="0.25">
      <c r="A124">
        <v>167</v>
      </c>
      <c r="B124" t="s">
        <v>264</v>
      </c>
      <c r="C124" t="s">
        <v>318</v>
      </c>
      <c r="D124">
        <v>144</v>
      </c>
      <c r="E124">
        <v>594.72</v>
      </c>
      <c r="F124" t="s">
        <v>308</v>
      </c>
      <c r="G124">
        <v>4.13</v>
      </c>
      <c r="H124">
        <v>713.66</v>
      </c>
      <c r="I124" t="s">
        <v>319</v>
      </c>
      <c r="J124" t="s">
        <v>320</v>
      </c>
      <c r="K124" t="s">
        <v>505</v>
      </c>
      <c r="L124" t="s">
        <v>203</v>
      </c>
      <c r="M124" t="s">
        <v>264</v>
      </c>
      <c r="N124" t="s">
        <v>12</v>
      </c>
      <c r="O124" t="s">
        <v>147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264</v>
      </c>
      <c r="AH124" t="s">
        <v>12</v>
      </c>
      <c r="AI124" t="s">
        <v>147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178.41499999999999</v>
      </c>
      <c r="AN124">
        <f>$H$124*$T$124</f>
        <v>178.41499999999999</v>
      </c>
      <c r="AO124">
        <f>$H$124*$U$124</f>
        <v>178.41499999999999</v>
      </c>
      <c r="AP124">
        <f>$H$124*$V$124</f>
        <v>178.41499999999999</v>
      </c>
      <c r="AQ124">
        <f>$H$124*$W$124</f>
        <v>356.83</v>
      </c>
      <c r="AR124">
        <f>$H$124*$X$124</f>
        <v>356.83</v>
      </c>
      <c r="AS124">
        <f>$H$124*$Y$124</f>
        <v>356.83</v>
      </c>
      <c r="AT124">
        <f>$H$124*$Z$124</f>
        <v>356.83</v>
      </c>
      <c r="AU124">
        <f>$H$124*$AA$124</f>
        <v>713.66</v>
      </c>
      <c r="AV124">
        <f>$H$124*$AB$124</f>
        <v>713.66</v>
      </c>
      <c r="AW124">
        <f>$H$124*$AC$124</f>
        <v>713.66</v>
      </c>
      <c r="AX124">
        <f>$H$124*$AD$124</f>
        <v>713.66</v>
      </c>
      <c r="AY124">
        <f>$H$124*$AE$124</f>
        <v>713.66</v>
      </c>
      <c r="AZ124">
        <f>$H$124*$AF$124</f>
        <v>713.66</v>
      </c>
    </row>
    <row r="125" spans="1:52" x14ac:dyDescent="0.25">
      <c r="A125">
        <v>168</v>
      </c>
      <c r="B125" t="s">
        <v>264</v>
      </c>
      <c r="C125" t="s">
        <v>426</v>
      </c>
      <c r="D125">
        <v>18</v>
      </c>
      <c r="E125">
        <v>47.34</v>
      </c>
      <c r="F125" t="s">
        <v>288</v>
      </c>
      <c r="G125">
        <v>2.63</v>
      </c>
      <c r="H125">
        <v>56.8</v>
      </c>
      <c r="I125" t="s">
        <v>289</v>
      </c>
      <c r="J125" t="s">
        <v>427</v>
      </c>
      <c r="K125" t="s">
        <v>556</v>
      </c>
      <c r="L125" t="s">
        <v>203</v>
      </c>
      <c r="M125" t="s">
        <v>264</v>
      </c>
      <c r="N125" t="s">
        <v>12</v>
      </c>
      <c r="O125" t="s">
        <v>147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264</v>
      </c>
      <c r="AH125" t="s">
        <v>12</v>
      </c>
      <c r="AI125" t="s">
        <v>147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56.8</v>
      </c>
      <c r="AN125">
        <f>$H$125*$T$125</f>
        <v>56.8</v>
      </c>
      <c r="AO125">
        <f>$H$125*$U$125</f>
        <v>56.8</v>
      </c>
      <c r="AP125">
        <f>$H$125*$V$125</f>
        <v>56.8</v>
      </c>
      <c r="AQ125">
        <f>$H$125*$W$125</f>
        <v>56.8</v>
      </c>
      <c r="AR125">
        <f>$H$125*$X$125</f>
        <v>56.8</v>
      </c>
      <c r="AS125">
        <f>$H$125*$Y$125</f>
        <v>56.8</v>
      </c>
      <c r="AT125">
        <f>$H$125*$Z$125</f>
        <v>56.8</v>
      </c>
      <c r="AU125">
        <f>$H$125*$AA$125</f>
        <v>56.8</v>
      </c>
      <c r="AV125">
        <f>$H$125*$AB$125</f>
        <v>56.8</v>
      </c>
      <c r="AW125">
        <f>$H$125*$AC$125</f>
        <v>56.8</v>
      </c>
      <c r="AX125">
        <f>$H$125*$AD$125</f>
        <v>56.8</v>
      </c>
      <c r="AY125">
        <f>$H$125*$AE$125</f>
        <v>56.8</v>
      </c>
      <c r="AZ125">
        <f>$H$125*$AF$125</f>
        <v>56.8</v>
      </c>
    </row>
    <row r="126" spans="1:52" x14ac:dyDescent="0.25">
      <c r="A126">
        <v>169</v>
      </c>
      <c r="B126" t="s">
        <v>264</v>
      </c>
      <c r="C126" t="s">
        <v>428</v>
      </c>
      <c r="D126">
        <v>18</v>
      </c>
      <c r="E126">
        <v>111.42</v>
      </c>
      <c r="F126" t="s">
        <v>288</v>
      </c>
      <c r="G126">
        <v>6.19</v>
      </c>
      <c r="H126">
        <v>133.69999999999999</v>
      </c>
      <c r="I126" t="s">
        <v>292</v>
      </c>
      <c r="J126" t="s">
        <v>429</v>
      </c>
      <c r="K126" t="s">
        <v>557</v>
      </c>
      <c r="L126" t="s">
        <v>203</v>
      </c>
      <c r="M126" t="s">
        <v>264</v>
      </c>
      <c r="N126" t="s">
        <v>12</v>
      </c>
      <c r="O126" t="s">
        <v>147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264</v>
      </c>
      <c r="AH126" t="s">
        <v>12</v>
      </c>
      <c r="AI126" t="s">
        <v>147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133.69999999999999</v>
      </c>
      <c r="AN126">
        <f>$H$126*$T$126</f>
        <v>133.69999999999999</v>
      </c>
      <c r="AO126">
        <f>$H$126*$U$126</f>
        <v>133.69999999999999</v>
      </c>
      <c r="AP126">
        <f>$H$126*$V$126</f>
        <v>133.69999999999999</v>
      </c>
      <c r="AQ126">
        <f>$H$126*$W$126</f>
        <v>133.69999999999999</v>
      </c>
      <c r="AR126">
        <f>$H$126*$X$126</f>
        <v>133.69999999999999</v>
      </c>
      <c r="AS126">
        <f>$H$126*$Y$126</f>
        <v>133.69999999999999</v>
      </c>
      <c r="AT126">
        <f>$H$126*$Z$126</f>
        <v>133.69999999999999</v>
      </c>
      <c r="AU126">
        <f>$H$126*$AA$126</f>
        <v>133.69999999999999</v>
      </c>
      <c r="AV126">
        <f>$H$126*$AB$126</f>
        <v>133.69999999999999</v>
      </c>
      <c r="AW126">
        <f>$H$126*$AC$126</f>
        <v>133.69999999999999</v>
      </c>
      <c r="AX126">
        <f>$H$126*$AD$126</f>
        <v>133.69999999999999</v>
      </c>
      <c r="AY126">
        <f>$H$126*$AE$126</f>
        <v>133.69999999999999</v>
      </c>
      <c r="AZ126">
        <f>$H$126*$AF$126</f>
        <v>133.69999999999999</v>
      </c>
    </row>
    <row r="127" spans="1:52" x14ac:dyDescent="0.25">
      <c r="A127">
        <v>170</v>
      </c>
      <c r="B127" t="s">
        <v>264</v>
      </c>
      <c r="C127" t="s">
        <v>318</v>
      </c>
      <c r="D127">
        <v>20.25</v>
      </c>
      <c r="E127">
        <v>83.63</v>
      </c>
      <c r="F127" t="s">
        <v>308</v>
      </c>
      <c r="G127">
        <v>4.13</v>
      </c>
      <c r="H127">
        <v>100.35</v>
      </c>
      <c r="I127" t="s">
        <v>319</v>
      </c>
      <c r="J127" t="s">
        <v>320</v>
      </c>
      <c r="K127" t="s">
        <v>505</v>
      </c>
      <c r="L127" t="s">
        <v>203</v>
      </c>
      <c r="M127" t="s">
        <v>264</v>
      </c>
      <c r="N127" t="s">
        <v>12</v>
      </c>
      <c r="O127" t="s">
        <v>147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264</v>
      </c>
      <c r="AH127" t="s">
        <v>12</v>
      </c>
      <c r="AI127" t="s">
        <v>147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25.087499999999999</v>
      </c>
      <c r="AN127">
        <f>$H$127*$T$127</f>
        <v>25.087499999999999</v>
      </c>
      <c r="AO127">
        <f>$H$127*$U$127</f>
        <v>25.087499999999999</v>
      </c>
      <c r="AP127">
        <f>$H$127*$V$127</f>
        <v>25.087499999999999</v>
      </c>
      <c r="AQ127">
        <f>$H$127*$W$127</f>
        <v>50.174999999999997</v>
      </c>
      <c r="AR127">
        <f>$H$127*$X$127</f>
        <v>50.174999999999997</v>
      </c>
      <c r="AS127">
        <f>$H$127*$Y$127</f>
        <v>50.174999999999997</v>
      </c>
      <c r="AT127">
        <f>$H$127*$Z$127</f>
        <v>50.174999999999997</v>
      </c>
      <c r="AU127">
        <f>$H$127*$AA$127</f>
        <v>100.35</v>
      </c>
      <c r="AV127">
        <f>$H$127*$AB$127</f>
        <v>100.35</v>
      </c>
      <c r="AW127">
        <f>$H$127*$AC$127</f>
        <v>100.35</v>
      </c>
      <c r="AX127">
        <f>$H$127*$AD$127</f>
        <v>100.35</v>
      </c>
      <c r="AY127">
        <f>$H$127*$AE$127</f>
        <v>100.35</v>
      </c>
      <c r="AZ127">
        <f>$H$127*$AF$127</f>
        <v>100.35</v>
      </c>
    </row>
    <row r="128" spans="1:52" x14ac:dyDescent="0.25">
      <c r="A128">
        <v>171</v>
      </c>
      <c r="B128" t="s">
        <v>264</v>
      </c>
      <c r="C128" t="s">
        <v>424</v>
      </c>
      <c r="D128">
        <v>20.25</v>
      </c>
      <c r="E128">
        <v>21.67</v>
      </c>
      <c r="F128" t="s">
        <v>308</v>
      </c>
      <c r="G128">
        <v>1.07</v>
      </c>
      <c r="H128">
        <v>26.01</v>
      </c>
      <c r="I128" t="s">
        <v>289</v>
      </c>
      <c r="J128" t="s">
        <v>425</v>
      </c>
      <c r="K128" t="s">
        <v>555</v>
      </c>
      <c r="L128" t="s">
        <v>203</v>
      </c>
      <c r="M128" t="s">
        <v>264</v>
      </c>
      <c r="N128" t="s">
        <v>12</v>
      </c>
      <c r="O128" t="s">
        <v>147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264</v>
      </c>
      <c r="AH128" t="s">
        <v>12</v>
      </c>
      <c r="AI128" t="s">
        <v>147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26.01</v>
      </c>
      <c r="AY128">
        <f>$H$128*$AE$128</f>
        <v>26.01</v>
      </c>
      <c r="AZ128">
        <f>$H$128*$AF$128</f>
        <v>26.01</v>
      </c>
    </row>
    <row r="129" spans="1:52" x14ac:dyDescent="0.25">
      <c r="A129">
        <v>172</v>
      </c>
      <c r="B129" t="s">
        <v>264</v>
      </c>
      <c r="C129" t="s">
        <v>430</v>
      </c>
      <c r="D129">
        <v>20.25</v>
      </c>
      <c r="E129">
        <v>22.88</v>
      </c>
      <c r="F129" t="s">
        <v>308</v>
      </c>
      <c r="G129">
        <v>1.1299999999999999</v>
      </c>
      <c r="H129">
        <v>27.46</v>
      </c>
      <c r="I129" t="s">
        <v>289</v>
      </c>
      <c r="J129" t="s">
        <v>431</v>
      </c>
      <c r="K129" t="s">
        <v>558</v>
      </c>
      <c r="L129" t="s">
        <v>203</v>
      </c>
      <c r="M129" t="s">
        <v>264</v>
      </c>
      <c r="N129" t="s">
        <v>12</v>
      </c>
      <c r="O129" t="s">
        <v>147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264</v>
      </c>
      <c r="AH129" t="s">
        <v>12</v>
      </c>
      <c r="AI129" t="s">
        <v>147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27.46</v>
      </c>
      <c r="AN129">
        <f>$H$129*$T$129</f>
        <v>27.46</v>
      </c>
      <c r="AO129">
        <f>$H$129*$U$129</f>
        <v>27.46</v>
      </c>
      <c r="AP129">
        <f>$H$129*$V$129</f>
        <v>27.46</v>
      </c>
      <c r="AQ129">
        <f>$H$129*$W$129</f>
        <v>27.46</v>
      </c>
      <c r="AR129">
        <f>$H$129*$X$129</f>
        <v>27.46</v>
      </c>
      <c r="AS129">
        <f>$H$129*$Y$129</f>
        <v>27.46</v>
      </c>
      <c r="AT129">
        <f>$H$129*$Z$129</f>
        <v>27.46</v>
      </c>
      <c r="AU129">
        <f>$H$129*$AA$129</f>
        <v>27.46</v>
      </c>
      <c r="AV129">
        <f>$H$129*$AB$129</f>
        <v>27.46</v>
      </c>
      <c r="AW129">
        <f>$H$129*$AC$129</f>
        <v>27.46</v>
      </c>
      <c r="AX129">
        <f>$H$129*$AD$129</f>
        <v>27.46</v>
      </c>
      <c r="AY129">
        <f>$H$129*$AE$129</f>
        <v>27.46</v>
      </c>
      <c r="AZ129">
        <f>$H$129*$AF$129</f>
        <v>27.46</v>
      </c>
    </row>
    <row r="130" spans="1:52" x14ac:dyDescent="0.25">
      <c r="A130">
        <v>173</v>
      </c>
      <c r="B130" t="s">
        <v>264</v>
      </c>
      <c r="C130" t="s">
        <v>432</v>
      </c>
      <c r="D130">
        <v>7.06</v>
      </c>
      <c r="E130">
        <v>115.78</v>
      </c>
      <c r="F130" t="s">
        <v>308</v>
      </c>
      <c r="G130">
        <v>16.399999999999999</v>
      </c>
      <c r="H130">
        <v>138.94</v>
      </c>
      <c r="I130" t="s">
        <v>433</v>
      </c>
      <c r="J130" t="s">
        <v>326</v>
      </c>
      <c r="K130" t="s">
        <v>559</v>
      </c>
      <c r="L130" t="s">
        <v>203</v>
      </c>
      <c r="M130" t="s">
        <v>264</v>
      </c>
      <c r="N130" t="s">
        <v>12</v>
      </c>
      <c r="O130" t="s">
        <v>147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264</v>
      </c>
      <c r="AH130" t="s">
        <v>12</v>
      </c>
      <c r="AI130" t="s">
        <v>147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138.94</v>
      </c>
      <c r="AQ130">
        <f>$H$130*$W$130</f>
        <v>138.94</v>
      </c>
      <c r="AR130">
        <f>$H$130*$X$130</f>
        <v>138.94</v>
      </c>
      <c r="AS130">
        <f>$H$130*$Y$130</f>
        <v>138.94</v>
      </c>
      <c r="AT130">
        <f>$H$130*$Z$130</f>
        <v>138.94</v>
      </c>
      <c r="AU130">
        <f>$H$130*$AA$130</f>
        <v>138.94</v>
      </c>
      <c r="AV130">
        <f>$H$130*$AB$130</f>
        <v>138.94</v>
      </c>
      <c r="AW130">
        <f>$H$130*$AC$130</f>
        <v>138.94</v>
      </c>
      <c r="AX130">
        <f>$H$130*$AD$130</f>
        <v>138.94</v>
      </c>
      <c r="AY130">
        <f>$H$130*$AE$130</f>
        <v>138.94</v>
      </c>
      <c r="AZ130">
        <f>$H$130*$AF$130</f>
        <v>138.94</v>
      </c>
    </row>
    <row r="131" spans="1:52" x14ac:dyDescent="0.25">
      <c r="A131">
        <v>174</v>
      </c>
      <c r="B131" t="s">
        <v>264</v>
      </c>
      <c r="C131" t="s">
        <v>434</v>
      </c>
      <c r="D131">
        <v>14.13</v>
      </c>
      <c r="E131">
        <v>60.34</v>
      </c>
      <c r="F131" t="s">
        <v>308</v>
      </c>
      <c r="G131">
        <v>4.2699999999999996</v>
      </c>
      <c r="H131">
        <v>72.400000000000006</v>
      </c>
      <c r="I131" t="s">
        <v>435</v>
      </c>
      <c r="J131" t="s">
        <v>436</v>
      </c>
      <c r="K131" t="s">
        <v>560</v>
      </c>
      <c r="L131" t="s">
        <v>203</v>
      </c>
      <c r="M131" t="s">
        <v>264</v>
      </c>
      <c r="N131" t="s">
        <v>12</v>
      </c>
      <c r="O131" t="s">
        <v>147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264</v>
      </c>
      <c r="AH131" t="s">
        <v>12</v>
      </c>
      <c r="AI131" t="s">
        <v>147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72.400000000000006</v>
      </c>
      <c r="AN131">
        <f>$H$131*$T$131</f>
        <v>72.400000000000006</v>
      </c>
      <c r="AO131">
        <f>$H$131*$U$131</f>
        <v>72.400000000000006</v>
      </c>
      <c r="AP131">
        <f>$H$131*$V$131</f>
        <v>72.400000000000006</v>
      </c>
      <c r="AQ131">
        <f>$H$131*$W$131</f>
        <v>72.400000000000006</v>
      </c>
      <c r="AR131">
        <f>$H$131*$X$131</f>
        <v>72.400000000000006</v>
      </c>
      <c r="AS131">
        <f>$H$131*$Y$131</f>
        <v>72.400000000000006</v>
      </c>
      <c r="AT131">
        <f>$H$131*$Z$131</f>
        <v>72.400000000000006</v>
      </c>
      <c r="AU131">
        <f>$H$131*$AA$131</f>
        <v>72.400000000000006</v>
      </c>
      <c r="AV131">
        <f>$H$131*$AB$131</f>
        <v>72.400000000000006</v>
      </c>
      <c r="AW131">
        <f>$H$131*$AC$131</f>
        <v>72.400000000000006</v>
      </c>
      <c r="AX131">
        <f>$H$131*$AD$131</f>
        <v>72.400000000000006</v>
      </c>
      <c r="AY131">
        <f>$H$131*$AE$131</f>
        <v>72.400000000000006</v>
      </c>
      <c r="AZ131">
        <f>$H$131*$AF$131</f>
        <v>72.400000000000006</v>
      </c>
    </row>
    <row r="132" spans="1:52" x14ac:dyDescent="0.25">
      <c r="A132">
        <v>175</v>
      </c>
      <c r="B132" t="s">
        <v>264</v>
      </c>
      <c r="C132" t="s">
        <v>437</v>
      </c>
      <c r="D132">
        <v>14.13</v>
      </c>
      <c r="E132">
        <v>151.9</v>
      </c>
      <c r="F132" t="s">
        <v>308</v>
      </c>
      <c r="G132">
        <v>10.75</v>
      </c>
      <c r="H132">
        <v>182.28</v>
      </c>
      <c r="I132" t="s">
        <v>435</v>
      </c>
      <c r="J132" t="s">
        <v>326</v>
      </c>
      <c r="K132" t="s">
        <v>561</v>
      </c>
      <c r="L132" t="s">
        <v>203</v>
      </c>
      <c r="M132" t="s">
        <v>264</v>
      </c>
      <c r="N132" t="s">
        <v>12</v>
      </c>
      <c r="O132" t="s">
        <v>147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264</v>
      </c>
      <c r="AH132" t="s">
        <v>12</v>
      </c>
      <c r="AI132" t="s">
        <v>147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182.28</v>
      </c>
      <c r="AN132">
        <f>$H$132*$T$132</f>
        <v>182.28</v>
      </c>
      <c r="AO132">
        <f>$H$132*$U$132</f>
        <v>182.28</v>
      </c>
      <c r="AP132">
        <f>$H$132*$V$132</f>
        <v>182.28</v>
      </c>
      <c r="AQ132">
        <f>$H$132*$W$132</f>
        <v>182.28</v>
      </c>
      <c r="AR132">
        <f>$H$132*$X$132</f>
        <v>182.28</v>
      </c>
      <c r="AS132">
        <f>$H$132*$Y$132</f>
        <v>182.28</v>
      </c>
      <c r="AT132">
        <f>$H$132*$Z$132</f>
        <v>182.28</v>
      </c>
      <c r="AU132">
        <f>$H$132*$AA$132</f>
        <v>182.28</v>
      </c>
      <c r="AV132">
        <f>$H$132*$AB$132</f>
        <v>182.28</v>
      </c>
      <c r="AW132">
        <f>$H$132*$AC$132</f>
        <v>182.28</v>
      </c>
      <c r="AX132">
        <f>$H$132*$AD$132</f>
        <v>182.28</v>
      </c>
      <c r="AY132">
        <f>$H$132*$AE$132</f>
        <v>182.28</v>
      </c>
      <c r="AZ132">
        <f>$H$132*$AF$132</f>
        <v>182.28</v>
      </c>
    </row>
    <row r="133" spans="1:52" x14ac:dyDescent="0.25">
      <c r="A133">
        <v>176</v>
      </c>
      <c r="B133" t="s">
        <v>264</v>
      </c>
      <c r="C133" t="s">
        <v>438</v>
      </c>
      <c r="D133">
        <v>5.82</v>
      </c>
      <c r="E133">
        <v>5.0599999999999996</v>
      </c>
      <c r="F133" t="s">
        <v>308</v>
      </c>
      <c r="G133">
        <v>0.87</v>
      </c>
      <c r="H133">
        <v>6.08</v>
      </c>
      <c r="I133" t="s">
        <v>331</v>
      </c>
      <c r="J133" t="s">
        <v>439</v>
      </c>
      <c r="K133" t="s">
        <v>562</v>
      </c>
      <c r="L133" t="s">
        <v>203</v>
      </c>
      <c r="M133" t="s">
        <v>264</v>
      </c>
      <c r="N133" t="s">
        <v>12</v>
      </c>
      <c r="O133" t="s">
        <v>147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264</v>
      </c>
      <c r="AH133" t="s">
        <v>12</v>
      </c>
      <c r="AI133" t="s">
        <v>147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6.08</v>
      </c>
      <c r="AN133">
        <f>$H$133*$T$133</f>
        <v>6.08</v>
      </c>
      <c r="AO133">
        <f>$H$133*$U$133</f>
        <v>6.08</v>
      </c>
      <c r="AP133">
        <f>$H$133*$V$133</f>
        <v>6.08</v>
      </c>
      <c r="AQ133">
        <f>$H$133*$W$133</f>
        <v>6.08</v>
      </c>
      <c r="AR133">
        <f>$H$133*$X$133</f>
        <v>6.08</v>
      </c>
      <c r="AS133">
        <f>$H$133*$Y$133</f>
        <v>6.08</v>
      </c>
      <c r="AT133">
        <f>$H$133*$Z$133</f>
        <v>6.08</v>
      </c>
      <c r="AU133">
        <f>$H$133*$AA$133</f>
        <v>6.08</v>
      </c>
      <c r="AV133">
        <f>$H$133*$AB$133</f>
        <v>6.08</v>
      </c>
      <c r="AW133">
        <f>$H$133*$AC$133</f>
        <v>6.08</v>
      </c>
      <c r="AX133">
        <f>$H$133*$AD$133</f>
        <v>6.08</v>
      </c>
      <c r="AY133">
        <f>$H$133*$AE$133</f>
        <v>6.08</v>
      </c>
      <c r="AZ133">
        <f>$H$133*$AF$133</f>
        <v>6.08</v>
      </c>
    </row>
    <row r="134" spans="1:52" x14ac:dyDescent="0.25">
      <c r="A134">
        <v>177</v>
      </c>
      <c r="B134" t="s">
        <v>264</v>
      </c>
      <c r="C134" t="s">
        <v>440</v>
      </c>
      <c r="D134">
        <v>5.82</v>
      </c>
      <c r="E134">
        <v>41.15</v>
      </c>
      <c r="F134" t="s">
        <v>308</v>
      </c>
      <c r="G134">
        <v>7.07</v>
      </c>
      <c r="H134">
        <v>49.39</v>
      </c>
      <c r="I134" t="s">
        <v>331</v>
      </c>
      <c r="J134" t="s">
        <v>326</v>
      </c>
      <c r="K134" t="s">
        <v>563</v>
      </c>
      <c r="L134" t="s">
        <v>203</v>
      </c>
      <c r="M134" t="s">
        <v>264</v>
      </c>
      <c r="N134" t="s">
        <v>12</v>
      </c>
      <c r="O134" t="s">
        <v>147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264</v>
      </c>
      <c r="AH134" t="s">
        <v>12</v>
      </c>
      <c r="AI134" t="s">
        <v>147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49.39</v>
      </c>
      <c r="AN134">
        <f>$H$134*$T$134</f>
        <v>49.39</v>
      </c>
      <c r="AO134">
        <f>$H$134*$U$134</f>
        <v>49.39</v>
      </c>
      <c r="AP134">
        <f>$H$134*$V$134</f>
        <v>49.39</v>
      </c>
      <c r="AQ134">
        <f>$H$134*$W$134</f>
        <v>49.39</v>
      </c>
      <c r="AR134">
        <f>$H$134*$X$134</f>
        <v>49.39</v>
      </c>
      <c r="AS134">
        <f>$H$134*$Y$134</f>
        <v>49.39</v>
      </c>
      <c r="AT134">
        <f>$H$134*$Z$134</f>
        <v>49.39</v>
      </c>
      <c r="AU134">
        <f>$H$134*$AA$134</f>
        <v>49.39</v>
      </c>
      <c r="AV134">
        <f>$H$134*$AB$134</f>
        <v>49.39</v>
      </c>
      <c r="AW134">
        <f>$H$134*$AC$134</f>
        <v>49.39</v>
      </c>
      <c r="AX134">
        <f>$H$134*$AD$134</f>
        <v>49.39</v>
      </c>
      <c r="AY134">
        <f>$H$134*$AE$134</f>
        <v>49.39</v>
      </c>
      <c r="AZ134">
        <f>$H$134*$AF$134</f>
        <v>49.39</v>
      </c>
    </row>
    <row r="135" spans="1:52" x14ac:dyDescent="0.25">
      <c r="A135">
        <v>178</v>
      </c>
      <c r="B135" t="s">
        <v>270</v>
      </c>
      <c r="C135" t="s">
        <v>386</v>
      </c>
      <c r="D135">
        <v>6</v>
      </c>
      <c r="E135">
        <v>96.84</v>
      </c>
      <c r="F135" t="s">
        <v>294</v>
      </c>
      <c r="G135">
        <v>16.14</v>
      </c>
      <c r="H135">
        <v>116.2</v>
      </c>
      <c r="I135" t="s">
        <v>296</v>
      </c>
      <c r="J135" t="s">
        <v>387</v>
      </c>
      <c r="K135" t="s">
        <v>537</v>
      </c>
      <c r="L135" t="s">
        <v>203</v>
      </c>
      <c r="M135" t="s">
        <v>270</v>
      </c>
      <c r="N135" t="s">
        <v>51</v>
      </c>
      <c r="O135" t="s">
        <v>15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270</v>
      </c>
      <c r="AH135" t="s">
        <v>51</v>
      </c>
      <c r="AI135" t="s">
        <v>15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116.2</v>
      </c>
      <c r="AS135">
        <f>$H$135*$Y$135</f>
        <v>116.2</v>
      </c>
      <c r="AT135">
        <f>$H$135*$Z$135</f>
        <v>116.2</v>
      </c>
      <c r="AU135">
        <f>$H$135*$AA$135</f>
        <v>116.2</v>
      </c>
      <c r="AV135">
        <f>$H$135*$AB$135</f>
        <v>116.2</v>
      </c>
      <c r="AW135">
        <f>$H$135*$AC$135</f>
        <v>116.2</v>
      </c>
      <c r="AX135">
        <f>$H$135*$AD$135</f>
        <v>116.2</v>
      </c>
      <c r="AY135">
        <f>$H$135*$AE$135</f>
        <v>116.2</v>
      </c>
      <c r="AZ135">
        <f>$H$135*$AF$135</f>
        <v>116.2</v>
      </c>
    </row>
    <row r="136" spans="1:52" x14ac:dyDescent="0.25">
      <c r="A136">
        <v>179</v>
      </c>
      <c r="B136" t="s">
        <v>270</v>
      </c>
      <c r="C136" t="s">
        <v>312</v>
      </c>
      <c r="D136">
        <v>11</v>
      </c>
      <c r="E136">
        <v>85.25</v>
      </c>
      <c r="F136" t="s">
        <v>288</v>
      </c>
      <c r="G136">
        <v>7.75</v>
      </c>
      <c r="H136">
        <v>102.31</v>
      </c>
      <c r="I136" t="s">
        <v>289</v>
      </c>
      <c r="J136" t="s">
        <v>313</v>
      </c>
      <c r="K136" t="s">
        <v>502</v>
      </c>
      <c r="L136" t="s">
        <v>203</v>
      </c>
      <c r="M136" t="s">
        <v>270</v>
      </c>
      <c r="N136" t="s">
        <v>51</v>
      </c>
      <c r="O136" t="s">
        <v>15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270</v>
      </c>
      <c r="AH136" t="s">
        <v>51</v>
      </c>
      <c r="AI136" t="s">
        <v>15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102.31</v>
      </c>
      <c r="AV136">
        <f>$H$136*$AB$136</f>
        <v>102.31</v>
      </c>
      <c r="AW136">
        <f>$H$136*$AC$136</f>
        <v>102.31</v>
      </c>
      <c r="AX136">
        <f>$H$136*$AD$136</f>
        <v>102.31</v>
      </c>
      <c r="AY136">
        <f>$H$136*$AE$136</f>
        <v>102.31</v>
      </c>
      <c r="AZ136">
        <f>$H$136*$AF$136</f>
        <v>102.31</v>
      </c>
    </row>
    <row r="137" spans="1:52" x14ac:dyDescent="0.25">
      <c r="A137">
        <v>180</v>
      </c>
      <c r="B137" t="s">
        <v>270</v>
      </c>
      <c r="C137" t="s">
        <v>314</v>
      </c>
      <c r="D137">
        <v>11</v>
      </c>
      <c r="E137">
        <v>144.54</v>
      </c>
      <c r="F137" t="s">
        <v>288</v>
      </c>
      <c r="G137">
        <v>13.14</v>
      </c>
      <c r="H137">
        <v>173.44</v>
      </c>
      <c r="I137" t="s">
        <v>292</v>
      </c>
      <c r="J137" t="s">
        <v>315</v>
      </c>
      <c r="K137" t="s">
        <v>503</v>
      </c>
      <c r="L137" t="s">
        <v>203</v>
      </c>
      <c r="M137" t="s">
        <v>270</v>
      </c>
      <c r="N137" t="s">
        <v>51</v>
      </c>
      <c r="O137" t="s">
        <v>15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270</v>
      </c>
      <c r="AH137" t="s">
        <v>51</v>
      </c>
      <c r="AI137" t="s">
        <v>15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173.44</v>
      </c>
      <c r="AV137">
        <f>$H$137*$AB$137</f>
        <v>173.44</v>
      </c>
      <c r="AW137">
        <f>$H$137*$AC$137</f>
        <v>173.44</v>
      </c>
      <c r="AX137">
        <f>$H$137*$AD$137</f>
        <v>173.44</v>
      </c>
      <c r="AY137">
        <f>$H$137*$AE$137</f>
        <v>173.44</v>
      </c>
      <c r="AZ137">
        <f>$H$137*$AF$137</f>
        <v>173.44</v>
      </c>
    </row>
    <row r="138" spans="1:52" x14ac:dyDescent="0.25">
      <c r="A138">
        <v>181</v>
      </c>
      <c r="B138" t="s">
        <v>270</v>
      </c>
      <c r="C138" t="s">
        <v>443</v>
      </c>
      <c r="D138">
        <v>1</v>
      </c>
      <c r="E138">
        <v>55.89</v>
      </c>
      <c r="F138" t="s">
        <v>294</v>
      </c>
      <c r="G138">
        <v>55.89</v>
      </c>
      <c r="H138">
        <v>67.069999999999993</v>
      </c>
      <c r="I138" t="s">
        <v>299</v>
      </c>
      <c r="J138" t="s">
        <v>423</v>
      </c>
      <c r="K138" t="s">
        <v>565</v>
      </c>
      <c r="L138" t="s">
        <v>203</v>
      </c>
      <c r="M138" t="s">
        <v>270</v>
      </c>
      <c r="N138" t="s">
        <v>51</v>
      </c>
      <c r="O138" t="s">
        <v>15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270</v>
      </c>
      <c r="AH138" t="s">
        <v>51</v>
      </c>
      <c r="AI138" t="s">
        <v>15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67.069999999999993</v>
      </c>
      <c r="AY138">
        <f>$H$138*$AE$138</f>
        <v>67.069999999999993</v>
      </c>
      <c r="AZ138">
        <f>$H$138*$AF$138</f>
        <v>67.069999999999993</v>
      </c>
    </row>
    <row r="139" spans="1:52" x14ac:dyDescent="0.25">
      <c r="A139">
        <v>182</v>
      </c>
      <c r="B139" t="s">
        <v>270</v>
      </c>
      <c r="C139" t="s">
        <v>371</v>
      </c>
      <c r="D139">
        <v>1</v>
      </c>
      <c r="E139">
        <v>49.16</v>
      </c>
      <c r="F139" t="s">
        <v>294</v>
      </c>
      <c r="G139">
        <v>49.16</v>
      </c>
      <c r="H139">
        <v>59</v>
      </c>
      <c r="I139" t="s">
        <v>322</v>
      </c>
      <c r="J139" t="s">
        <v>372</v>
      </c>
      <c r="K139" t="s">
        <v>530</v>
      </c>
      <c r="L139" t="s">
        <v>203</v>
      </c>
      <c r="M139" t="s">
        <v>270</v>
      </c>
      <c r="N139" t="s">
        <v>51</v>
      </c>
      <c r="O139" t="s">
        <v>15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270</v>
      </c>
      <c r="AH139" t="s">
        <v>51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59</v>
      </c>
      <c r="AV139">
        <f>$H$139*$AB$139</f>
        <v>59</v>
      </c>
      <c r="AW139">
        <f>$H$139*$AC$139</f>
        <v>59</v>
      </c>
      <c r="AX139">
        <f>$H$139*$AD$139</f>
        <v>59</v>
      </c>
      <c r="AY139">
        <f>$H$139*$AE$139</f>
        <v>59</v>
      </c>
      <c r="AZ139">
        <f>$H$139*$AF$139</f>
        <v>59</v>
      </c>
    </row>
    <row r="140" spans="1:52" x14ac:dyDescent="0.25">
      <c r="A140">
        <v>183</v>
      </c>
      <c r="B140" t="s">
        <v>270</v>
      </c>
      <c r="C140" t="s">
        <v>329</v>
      </c>
      <c r="D140">
        <v>2</v>
      </c>
      <c r="E140">
        <v>126.46</v>
      </c>
      <c r="F140" t="s">
        <v>294</v>
      </c>
      <c r="G140">
        <v>63.23</v>
      </c>
      <c r="H140">
        <v>151.76</v>
      </c>
      <c r="I140" t="s">
        <v>289</v>
      </c>
      <c r="J140" t="s">
        <v>325</v>
      </c>
      <c r="K140" t="s">
        <v>509</v>
      </c>
      <c r="L140" t="s">
        <v>203</v>
      </c>
      <c r="M140" t="s">
        <v>270</v>
      </c>
      <c r="N140" t="s">
        <v>51</v>
      </c>
      <c r="O140" t="s">
        <v>15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270</v>
      </c>
      <c r="AH140" t="s">
        <v>51</v>
      </c>
      <c r="AI140" t="s">
        <v>15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151.76</v>
      </c>
      <c r="AN140">
        <f>$H$140*$T$140</f>
        <v>151.76</v>
      </c>
      <c r="AO140">
        <f>$H$140*$U$140</f>
        <v>151.76</v>
      </c>
      <c r="AP140">
        <f>$H$140*$V$140</f>
        <v>151.76</v>
      </c>
      <c r="AQ140">
        <f>$H$140*$W$140</f>
        <v>151.76</v>
      </c>
      <c r="AR140">
        <f>$H$140*$X$140</f>
        <v>151.76</v>
      </c>
      <c r="AS140">
        <f>$H$140*$Y$140</f>
        <v>151.76</v>
      </c>
      <c r="AT140">
        <f>$H$140*$Z$140</f>
        <v>151.76</v>
      </c>
      <c r="AU140">
        <f>$H$140*$AA$140</f>
        <v>151.76</v>
      </c>
      <c r="AV140">
        <f>$H$140*$AB$140</f>
        <v>151.76</v>
      </c>
      <c r="AW140">
        <f>$H$140*$AC$140</f>
        <v>151.76</v>
      </c>
      <c r="AX140">
        <f>$H$140*$AD$140</f>
        <v>151.76</v>
      </c>
      <c r="AY140">
        <f>$H$140*$AE$140</f>
        <v>151.76</v>
      </c>
      <c r="AZ140">
        <f>$H$140*$AF$140</f>
        <v>151.76</v>
      </c>
    </row>
    <row r="141" spans="1:52" x14ac:dyDescent="0.25">
      <c r="A141">
        <v>184</v>
      </c>
      <c r="B141" t="s">
        <v>270</v>
      </c>
      <c r="C141" t="s">
        <v>327</v>
      </c>
      <c r="D141">
        <v>2</v>
      </c>
      <c r="E141">
        <v>106.5</v>
      </c>
      <c r="F141" t="s">
        <v>294</v>
      </c>
      <c r="G141">
        <v>53.25</v>
      </c>
      <c r="H141">
        <v>127.8</v>
      </c>
      <c r="I141" t="s">
        <v>289</v>
      </c>
      <c r="J141" t="s">
        <v>328</v>
      </c>
      <c r="K141" t="s">
        <v>508</v>
      </c>
      <c r="L141" t="s">
        <v>203</v>
      </c>
      <c r="M141" t="s">
        <v>270</v>
      </c>
      <c r="N141" t="s">
        <v>51</v>
      </c>
      <c r="O141" t="s">
        <v>15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270</v>
      </c>
      <c r="AH141" t="s">
        <v>51</v>
      </c>
      <c r="AI141" t="s">
        <v>15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127.8</v>
      </c>
      <c r="AN141">
        <f>$H$141*$T$141</f>
        <v>127.8</v>
      </c>
      <c r="AO141">
        <f>$H$141*$U$141</f>
        <v>127.8</v>
      </c>
      <c r="AP141">
        <f>$H$141*$V$141</f>
        <v>127.8</v>
      </c>
      <c r="AQ141">
        <f>$H$141*$W$141</f>
        <v>127.8</v>
      </c>
      <c r="AR141">
        <f>$H$141*$X$141</f>
        <v>127.8</v>
      </c>
      <c r="AS141">
        <f>$H$141*$Y$141</f>
        <v>127.8</v>
      </c>
      <c r="AT141">
        <f>$H$141*$Z$141</f>
        <v>127.8</v>
      </c>
      <c r="AU141">
        <f>$H$141*$AA$141</f>
        <v>127.8</v>
      </c>
      <c r="AV141">
        <f>$H$141*$AB$141</f>
        <v>127.8</v>
      </c>
      <c r="AW141">
        <f>$H$141*$AC$141</f>
        <v>127.8</v>
      </c>
      <c r="AX141">
        <f>$H$141*$AD$141</f>
        <v>127.8</v>
      </c>
      <c r="AY141">
        <f>$H$141*$AE$141</f>
        <v>127.8</v>
      </c>
      <c r="AZ141">
        <f>$H$141*$AF$141</f>
        <v>127.8</v>
      </c>
    </row>
    <row r="142" spans="1:52" x14ac:dyDescent="0.25">
      <c r="A142">
        <v>185</v>
      </c>
      <c r="B142" t="s">
        <v>270</v>
      </c>
      <c r="C142" t="s">
        <v>373</v>
      </c>
      <c r="D142">
        <v>1</v>
      </c>
      <c r="E142">
        <v>411.33</v>
      </c>
      <c r="F142" t="s">
        <v>294</v>
      </c>
      <c r="G142">
        <v>411.33</v>
      </c>
      <c r="H142">
        <v>493.59</v>
      </c>
      <c r="I142" t="s">
        <v>325</v>
      </c>
      <c r="J142" t="s">
        <v>356</v>
      </c>
      <c r="K142" t="s">
        <v>531</v>
      </c>
      <c r="L142" t="s">
        <v>203</v>
      </c>
      <c r="M142" t="s">
        <v>270</v>
      </c>
      <c r="N142" t="s">
        <v>51</v>
      </c>
      <c r="O142" t="s">
        <v>15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270</v>
      </c>
      <c r="AH142" t="s">
        <v>51</v>
      </c>
      <c r="AI142" t="s">
        <v>15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493.59</v>
      </c>
      <c r="AO142">
        <f>$H$142*$U$142</f>
        <v>493.59</v>
      </c>
      <c r="AP142">
        <f>$H$142*$V$142</f>
        <v>493.59</v>
      </c>
      <c r="AQ142">
        <f>$H$142*$W$142</f>
        <v>493.59</v>
      </c>
      <c r="AR142">
        <f>$H$142*$X$142</f>
        <v>493.59</v>
      </c>
      <c r="AS142">
        <f>$H$142*$Y$142</f>
        <v>493.59</v>
      </c>
      <c r="AT142">
        <f>$H$142*$Z$142</f>
        <v>493.59</v>
      </c>
      <c r="AU142">
        <f>$H$142*$AA$142</f>
        <v>493.59</v>
      </c>
      <c r="AV142">
        <f>$H$142*$AB$142</f>
        <v>493.59</v>
      </c>
      <c r="AW142">
        <f>$H$142*$AC$142</f>
        <v>493.59</v>
      </c>
      <c r="AX142">
        <f>$H$142*$AD$142</f>
        <v>493.59</v>
      </c>
      <c r="AY142">
        <f>$H$142*$AE$142</f>
        <v>493.59</v>
      </c>
      <c r="AZ142">
        <f>$H$142*$AF$142</f>
        <v>493.59</v>
      </c>
    </row>
    <row r="143" spans="1:52" x14ac:dyDescent="0.25">
      <c r="A143">
        <v>186</v>
      </c>
      <c r="B143" t="s">
        <v>270</v>
      </c>
      <c r="C143" t="s">
        <v>419</v>
      </c>
      <c r="D143">
        <v>5.38</v>
      </c>
      <c r="E143">
        <v>20.66</v>
      </c>
      <c r="F143" t="s">
        <v>288</v>
      </c>
      <c r="G143">
        <v>3.84</v>
      </c>
      <c r="H143">
        <v>24.8</v>
      </c>
      <c r="I143" t="s">
        <v>420</v>
      </c>
      <c r="J143" t="s">
        <v>421</v>
      </c>
      <c r="K143" t="s">
        <v>553</v>
      </c>
      <c r="L143" t="s">
        <v>203</v>
      </c>
      <c r="M143" t="s">
        <v>270</v>
      </c>
      <c r="N143" t="s">
        <v>51</v>
      </c>
      <c r="O143" t="s">
        <v>15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270</v>
      </c>
      <c r="AH143" t="s">
        <v>51</v>
      </c>
      <c r="AI143" t="s">
        <v>15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24.8</v>
      </c>
      <c r="AV143">
        <f>$H$143*$AB$143</f>
        <v>24.8</v>
      </c>
      <c r="AW143">
        <f>$H$143*$AC$143</f>
        <v>24.8</v>
      </c>
      <c r="AX143">
        <f>$H$143*$AD$143</f>
        <v>24.8</v>
      </c>
      <c r="AY143">
        <f>$H$143*$AE$143</f>
        <v>24.8</v>
      </c>
      <c r="AZ143">
        <f>$H$143*$AF$143</f>
        <v>24.8</v>
      </c>
    </row>
    <row r="144" spans="1:52" x14ac:dyDescent="0.25">
      <c r="A144">
        <v>187</v>
      </c>
      <c r="B144" t="s">
        <v>270</v>
      </c>
      <c r="C144" t="s">
        <v>422</v>
      </c>
      <c r="D144">
        <v>43</v>
      </c>
      <c r="E144">
        <v>142.33000000000001</v>
      </c>
      <c r="F144" t="s">
        <v>308</v>
      </c>
      <c r="G144">
        <v>3.31</v>
      </c>
      <c r="H144">
        <v>170.79</v>
      </c>
      <c r="I144" t="s">
        <v>420</v>
      </c>
      <c r="J144" t="s">
        <v>423</v>
      </c>
      <c r="K144" t="s">
        <v>554</v>
      </c>
      <c r="L144" t="s">
        <v>203</v>
      </c>
      <c r="M144" t="s">
        <v>270</v>
      </c>
      <c r="N144" t="s">
        <v>51</v>
      </c>
      <c r="O144" t="s">
        <v>15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270</v>
      </c>
      <c r="AH144" t="s">
        <v>51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170.79</v>
      </c>
      <c r="AN144">
        <f>$H$144*$T$144</f>
        <v>170.79</v>
      </c>
      <c r="AO144">
        <f>$H$144*$U$144</f>
        <v>170.79</v>
      </c>
      <c r="AP144">
        <f>$H$144*$V$144</f>
        <v>170.79</v>
      </c>
      <c r="AQ144">
        <f>$H$144*$W$144</f>
        <v>170.79</v>
      </c>
      <c r="AR144">
        <f>$H$144*$X$144</f>
        <v>170.79</v>
      </c>
      <c r="AS144">
        <f>$H$144*$Y$144</f>
        <v>170.79</v>
      </c>
      <c r="AT144">
        <f>$H$144*$Z$144</f>
        <v>170.79</v>
      </c>
      <c r="AU144">
        <f>$H$144*$AA$144</f>
        <v>170.79</v>
      </c>
      <c r="AV144">
        <f>$H$144*$AB$144</f>
        <v>170.79</v>
      </c>
      <c r="AW144">
        <f>$H$144*$AC$144</f>
        <v>170.79</v>
      </c>
      <c r="AX144">
        <f>$H$144*$AD$144</f>
        <v>170.79</v>
      </c>
      <c r="AY144">
        <f>$H$144*$AE$144</f>
        <v>170.79</v>
      </c>
      <c r="AZ144">
        <f>$H$144*$AF$144</f>
        <v>170.79</v>
      </c>
    </row>
    <row r="145" spans="1:52" x14ac:dyDescent="0.25">
      <c r="A145">
        <v>188</v>
      </c>
      <c r="B145" t="s">
        <v>270</v>
      </c>
      <c r="C145" t="s">
        <v>424</v>
      </c>
      <c r="D145">
        <v>43</v>
      </c>
      <c r="E145">
        <v>46.01</v>
      </c>
      <c r="F145" t="s">
        <v>308</v>
      </c>
      <c r="G145">
        <v>1.07</v>
      </c>
      <c r="H145">
        <v>55.21</v>
      </c>
      <c r="I145" t="s">
        <v>289</v>
      </c>
      <c r="J145" t="s">
        <v>425</v>
      </c>
      <c r="K145" t="s">
        <v>555</v>
      </c>
      <c r="L145" t="s">
        <v>203</v>
      </c>
      <c r="M145" t="s">
        <v>270</v>
      </c>
      <c r="N145" t="s">
        <v>51</v>
      </c>
      <c r="O145" t="s">
        <v>15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1</v>
      </c>
      <c r="AF145">
        <v>1</v>
      </c>
      <c r="AG145" t="s">
        <v>270</v>
      </c>
      <c r="AH145" t="s">
        <v>51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0</v>
      </c>
      <c r="AV145">
        <f>$H$145*$AB$145</f>
        <v>0</v>
      </c>
      <c r="AW145">
        <f>$H$145*$AC$145</f>
        <v>0</v>
      </c>
      <c r="AX145">
        <f>$H$145*$AD$145</f>
        <v>55.21</v>
      </c>
      <c r="AY145">
        <f>$H$145*$AE$145</f>
        <v>55.21</v>
      </c>
      <c r="AZ145">
        <f>$H$145*$AF$145</f>
        <v>55.21</v>
      </c>
    </row>
    <row r="146" spans="1:52" x14ac:dyDescent="0.25">
      <c r="A146">
        <v>189</v>
      </c>
      <c r="B146" t="s">
        <v>270</v>
      </c>
      <c r="C146" t="s">
        <v>316</v>
      </c>
      <c r="D146">
        <v>129</v>
      </c>
      <c r="E146">
        <v>208.98</v>
      </c>
      <c r="F146" t="s">
        <v>308</v>
      </c>
      <c r="G146">
        <v>1.62</v>
      </c>
      <c r="H146">
        <v>250.78</v>
      </c>
      <c r="I146" t="s">
        <v>289</v>
      </c>
      <c r="J146" t="s">
        <v>317</v>
      </c>
      <c r="K146" t="s">
        <v>504</v>
      </c>
      <c r="L146" t="s">
        <v>203</v>
      </c>
      <c r="M146" t="s">
        <v>270</v>
      </c>
      <c r="N146" t="s">
        <v>51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270</v>
      </c>
      <c r="AH146" t="s">
        <v>51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250.78</v>
      </c>
      <c r="AO146">
        <f>$H$146*$U$146</f>
        <v>250.78</v>
      </c>
      <c r="AP146">
        <f>$H$146*$V$146</f>
        <v>250.78</v>
      </c>
      <c r="AQ146">
        <f>$H$146*$W$146</f>
        <v>250.78</v>
      </c>
      <c r="AR146">
        <f>$H$146*$X$146</f>
        <v>250.78</v>
      </c>
      <c r="AS146">
        <f>$H$146*$Y$146</f>
        <v>250.78</v>
      </c>
      <c r="AT146">
        <f>$H$146*$Z$146</f>
        <v>250.78</v>
      </c>
      <c r="AU146">
        <f>$H$146*$AA$146</f>
        <v>250.78</v>
      </c>
      <c r="AV146">
        <f>$H$146*$AB$146</f>
        <v>250.78</v>
      </c>
      <c r="AW146">
        <f>$H$146*$AC$146</f>
        <v>250.78</v>
      </c>
      <c r="AX146">
        <f>$H$146*$AD$146</f>
        <v>250.78</v>
      </c>
      <c r="AY146">
        <f>$H$146*$AE$146</f>
        <v>250.78</v>
      </c>
      <c r="AZ146">
        <f>$H$146*$AF$146</f>
        <v>250.78</v>
      </c>
    </row>
    <row r="147" spans="1:52" x14ac:dyDescent="0.25">
      <c r="A147">
        <v>190</v>
      </c>
      <c r="B147" t="s">
        <v>270</v>
      </c>
      <c r="C147" t="s">
        <v>318</v>
      </c>
      <c r="D147">
        <v>172</v>
      </c>
      <c r="E147">
        <v>710.36</v>
      </c>
      <c r="F147" t="s">
        <v>308</v>
      </c>
      <c r="G147">
        <v>4.13</v>
      </c>
      <c r="H147">
        <v>852.44</v>
      </c>
      <c r="I147" t="s">
        <v>319</v>
      </c>
      <c r="J147" t="s">
        <v>320</v>
      </c>
      <c r="K147" t="s">
        <v>505</v>
      </c>
      <c r="L147" t="s">
        <v>203</v>
      </c>
      <c r="M147" t="s">
        <v>270</v>
      </c>
      <c r="N147" t="s">
        <v>51</v>
      </c>
      <c r="O147" t="s">
        <v>15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270</v>
      </c>
      <c r="AH147" t="s">
        <v>51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213.11</v>
      </c>
      <c r="AN147">
        <f>$H$147*$T$147</f>
        <v>213.11</v>
      </c>
      <c r="AO147">
        <f>$H$147*$U$147</f>
        <v>213.11</v>
      </c>
      <c r="AP147">
        <f>$H$147*$V$147</f>
        <v>213.11</v>
      </c>
      <c r="AQ147">
        <f>$H$147*$W$147</f>
        <v>426.22</v>
      </c>
      <c r="AR147">
        <f>$H$147*$X$147</f>
        <v>426.22</v>
      </c>
      <c r="AS147">
        <f>$H$147*$Y$147</f>
        <v>426.22</v>
      </c>
      <c r="AT147">
        <f>$H$147*$Z$147</f>
        <v>426.22</v>
      </c>
      <c r="AU147">
        <f>$H$147*$AA$147</f>
        <v>852.44</v>
      </c>
      <c r="AV147">
        <f>$H$147*$AB$147</f>
        <v>852.44</v>
      </c>
      <c r="AW147">
        <f>$H$147*$AC$147</f>
        <v>852.44</v>
      </c>
      <c r="AX147">
        <f>$H$147*$AD$147</f>
        <v>852.44</v>
      </c>
      <c r="AY147">
        <f>$H$147*$AE$147</f>
        <v>852.44</v>
      </c>
      <c r="AZ147">
        <f>$H$147*$AF$147</f>
        <v>852.44</v>
      </c>
    </row>
    <row r="148" spans="1:52" x14ac:dyDescent="0.25">
      <c r="A148">
        <v>191</v>
      </c>
      <c r="B148" t="s">
        <v>270</v>
      </c>
      <c r="C148" t="s">
        <v>426</v>
      </c>
      <c r="D148">
        <v>21.5</v>
      </c>
      <c r="E148">
        <v>56.55</v>
      </c>
      <c r="F148" t="s">
        <v>288</v>
      </c>
      <c r="G148">
        <v>2.63</v>
      </c>
      <c r="H148">
        <v>67.87</v>
      </c>
      <c r="I148" t="s">
        <v>289</v>
      </c>
      <c r="J148" t="s">
        <v>427</v>
      </c>
      <c r="K148" t="s">
        <v>556</v>
      </c>
      <c r="L148" t="s">
        <v>203</v>
      </c>
      <c r="M148" t="s">
        <v>270</v>
      </c>
      <c r="N148" t="s">
        <v>51</v>
      </c>
      <c r="O148" t="s">
        <v>15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270</v>
      </c>
      <c r="AH148" t="s">
        <v>51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67.87</v>
      </c>
      <c r="AN148">
        <f>$H$148*$T$148</f>
        <v>67.87</v>
      </c>
      <c r="AO148">
        <f>$H$148*$U$148</f>
        <v>67.87</v>
      </c>
      <c r="AP148">
        <f>$H$148*$V$148</f>
        <v>67.87</v>
      </c>
      <c r="AQ148">
        <f>$H$148*$W$148</f>
        <v>67.87</v>
      </c>
      <c r="AR148">
        <f>$H$148*$X$148</f>
        <v>67.87</v>
      </c>
      <c r="AS148">
        <f>$H$148*$Y$148</f>
        <v>67.87</v>
      </c>
      <c r="AT148">
        <f>$H$148*$Z$148</f>
        <v>67.87</v>
      </c>
      <c r="AU148">
        <f>$H$148*$AA$148</f>
        <v>67.87</v>
      </c>
      <c r="AV148">
        <f>$H$148*$AB$148</f>
        <v>67.87</v>
      </c>
      <c r="AW148">
        <f>$H$148*$AC$148</f>
        <v>67.87</v>
      </c>
      <c r="AX148">
        <f>$H$148*$AD$148</f>
        <v>67.87</v>
      </c>
      <c r="AY148">
        <f>$H$148*$AE$148</f>
        <v>67.87</v>
      </c>
      <c r="AZ148">
        <f>$H$148*$AF$148</f>
        <v>67.87</v>
      </c>
    </row>
    <row r="149" spans="1:52" x14ac:dyDescent="0.25">
      <c r="A149">
        <v>192</v>
      </c>
      <c r="B149" t="s">
        <v>270</v>
      </c>
      <c r="C149" t="s">
        <v>428</v>
      </c>
      <c r="D149">
        <v>21.5</v>
      </c>
      <c r="E149">
        <v>133.09</v>
      </c>
      <c r="F149" t="s">
        <v>288</v>
      </c>
      <c r="G149">
        <v>6.19</v>
      </c>
      <c r="H149">
        <v>159.71</v>
      </c>
      <c r="I149" t="s">
        <v>292</v>
      </c>
      <c r="J149" t="s">
        <v>429</v>
      </c>
      <c r="K149" t="s">
        <v>557</v>
      </c>
      <c r="L149" t="s">
        <v>203</v>
      </c>
      <c r="M149" t="s">
        <v>270</v>
      </c>
      <c r="N149" t="s">
        <v>51</v>
      </c>
      <c r="O149" t="s">
        <v>15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270</v>
      </c>
      <c r="AH149" t="s">
        <v>51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159.71</v>
      </c>
      <c r="AN149">
        <f>$H$149*$T$149</f>
        <v>159.71</v>
      </c>
      <c r="AO149">
        <f>$H$149*$U$149</f>
        <v>159.71</v>
      </c>
      <c r="AP149">
        <f>$H$149*$V$149</f>
        <v>159.71</v>
      </c>
      <c r="AQ149">
        <f>$H$149*$W$149</f>
        <v>159.71</v>
      </c>
      <c r="AR149">
        <f>$H$149*$X$149</f>
        <v>159.71</v>
      </c>
      <c r="AS149">
        <f>$H$149*$Y$149</f>
        <v>159.71</v>
      </c>
      <c r="AT149">
        <f>$H$149*$Z$149</f>
        <v>159.71</v>
      </c>
      <c r="AU149">
        <f>$H$149*$AA$149</f>
        <v>159.71</v>
      </c>
      <c r="AV149">
        <f>$H$149*$AB$149</f>
        <v>159.71</v>
      </c>
      <c r="AW149">
        <f>$H$149*$AC$149</f>
        <v>159.71</v>
      </c>
      <c r="AX149">
        <f>$H$149*$AD$149</f>
        <v>159.71</v>
      </c>
      <c r="AY149">
        <f>$H$149*$AE$149</f>
        <v>159.71</v>
      </c>
      <c r="AZ149">
        <f>$H$149*$AF$149</f>
        <v>159.71</v>
      </c>
    </row>
    <row r="150" spans="1:52" x14ac:dyDescent="0.25">
      <c r="A150">
        <v>193</v>
      </c>
      <c r="B150" t="s">
        <v>270</v>
      </c>
      <c r="C150" t="s">
        <v>318</v>
      </c>
      <c r="D150">
        <v>28.13</v>
      </c>
      <c r="E150">
        <v>116.18</v>
      </c>
      <c r="F150" t="s">
        <v>308</v>
      </c>
      <c r="G150">
        <v>4.13</v>
      </c>
      <c r="H150">
        <v>139.41999999999999</v>
      </c>
      <c r="I150" t="s">
        <v>319</v>
      </c>
      <c r="J150" t="s">
        <v>320</v>
      </c>
      <c r="K150" t="s">
        <v>505</v>
      </c>
      <c r="L150" t="s">
        <v>203</v>
      </c>
      <c r="M150" t="s">
        <v>270</v>
      </c>
      <c r="N150" t="s">
        <v>51</v>
      </c>
      <c r="O150" t="s">
        <v>15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270</v>
      </c>
      <c r="AH150" t="s">
        <v>51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34.854999999999997</v>
      </c>
      <c r="AN150">
        <f>$H$150*$T$150</f>
        <v>34.854999999999997</v>
      </c>
      <c r="AO150">
        <f>$H$150*$U$150</f>
        <v>34.854999999999997</v>
      </c>
      <c r="AP150">
        <f>$H$150*$V$150</f>
        <v>34.854999999999997</v>
      </c>
      <c r="AQ150">
        <f>$H$150*$W$150</f>
        <v>69.709999999999994</v>
      </c>
      <c r="AR150">
        <f>$H$150*$X$150</f>
        <v>69.709999999999994</v>
      </c>
      <c r="AS150">
        <f>$H$150*$Y$150</f>
        <v>69.709999999999994</v>
      </c>
      <c r="AT150">
        <f>$H$150*$Z$150</f>
        <v>69.709999999999994</v>
      </c>
      <c r="AU150">
        <f>$H$150*$AA$150</f>
        <v>139.41999999999999</v>
      </c>
      <c r="AV150">
        <f>$H$150*$AB$150</f>
        <v>139.41999999999999</v>
      </c>
      <c r="AW150">
        <f>$H$150*$AC$150</f>
        <v>139.41999999999999</v>
      </c>
      <c r="AX150">
        <f>$H$150*$AD$150</f>
        <v>139.41999999999999</v>
      </c>
      <c r="AY150">
        <f>$H$150*$AE$150</f>
        <v>139.41999999999999</v>
      </c>
      <c r="AZ150">
        <f>$H$150*$AF$150</f>
        <v>139.41999999999999</v>
      </c>
    </row>
    <row r="151" spans="1:52" x14ac:dyDescent="0.25">
      <c r="A151">
        <v>194</v>
      </c>
      <c r="B151" t="s">
        <v>270</v>
      </c>
      <c r="C151" t="s">
        <v>424</v>
      </c>
      <c r="D151">
        <v>28.13</v>
      </c>
      <c r="E151">
        <v>30.1</v>
      </c>
      <c r="F151" t="s">
        <v>308</v>
      </c>
      <c r="G151">
        <v>1.07</v>
      </c>
      <c r="H151">
        <v>36.119999999999997</v>
      </c>
      <c r="I151" t="s">
        <v>289</v>
      </c>
      <c r="J151" t="s">
        <v>425</v>
      </c>
      <c r="K151" t="s">
        <v>555</v>
      </c>
      <c r="L151" t="s">
        <v>203</v>
      </c>
      <c r="M151" t="s">
        <v>270</v>
      </c>
      <c r="N151" t="s">
        <v>51</v>
      </c>
      <c r="O151" t="s">
        <v>15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270</v>
      </c>
      <c r="AH151" t="s">
        <v>51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36.119999999999997</v>
      </c>
      <c r="AY151">
        <f>$H$151*$AE$151</f>
        <v>36.119999999999997</v>
      </c>
      <c r="AZ151">
        <f>$H$151*$AF$151</f>
        <v>36.119999999999997</v>
      </c>
    </row>
    <row r="152" spans="1:52" x14ac:dyDescent="0.25">
      <c r="A152">
        <v>195</v>
      </c>
      <c r="B152" t="s">
        <v>270</v>
      </c>
      <c r="C152" t="s">
        <v>430</v>
      </c>
      <c r="D152">
        <v>28.13</v>
      </c>
      <c r="E152">
        <v>31.79</v>
      </c>
      <c r="F152" t="s">
        <v>308</v>
      </c>
      <c r="G152">
        <v>1.1299999999999999</v>
      </c>
      <c r="H152">
        <v>38.15</v>
      </c>
      <c r="I152" t="s">
        <v>289</v>
      </c>
      <c r="J152" t="s">
        <v>431</v>
      </c>
      <c r="K152" t="s">
        <v>558</v>
      </c>
      <c r="L152" t="s">
        <v>203</v>
      </c>
      <c r="M152" t="s">
        <v>270</v>
      </c>
      <c r="N152" t="s">
        <v>51</v>
      </c>
      <c r="O152" t="s">
        <v>15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270</v>
      </c>
      <c r="AH152" t="s">
        <v>51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38.15</v>
      </c>
      <c r="AN152">
        <f>$H$152*$T$152</f>
        <v>38.15</v>
      </c>
      <c r="AO152">
        <f>$H$152*$U$152</f>
        <v>38.15</v>
      </c>
      <c r="AP152">
        <f>$H$152*$V$152</f>
        <v>38.15</v>
      </c>
      <c r="AQ152">
        <f>$H$152*$W$152</f>
        <v>38.15</v>
      </c>
      <c r="AR152">
        <f>$H$152*$X$152</f>
        <v>38.15</v>
      </c>
      <c r="AS152">
        <f>$H$152*$Y$152</f>
        <v>38.15</v>
      </c>
      <c r="AT152">
        <f>$H$152*$Z$152</f>
        <v>38.15</v>
      </c>
      <c r="AU152">
        <f>$H$152*$AA$152</f>
        <v>38.15</v>
      </c>
      <c r="AV152">
        <f>$H$152*$AB$152</f>
        <v>38.15</v>
      </c>
      <c r="AW152">
        <f>$H$152*$AC$152</f>
        <v>38.15</v>
      </c>
      <c r="AX152">
        <f>$H$152*$AD$152</f>
        <v>38.15</v>
      </c>
      <c r="AY152">
        <f>$H$152*$AE$152</f>
        <v>38.15</v>
      </c>
      <c r="AZ152">
        <f>$H$152*$AF$152</f>
        <v>38.15</v>
      </c>
    </row>
    <row r="153" spans="1:52" x14ac:dyDescent="0.25">
      <c r="A153">
        <v>196</v>
      </c>
      <c r="B153" t="s">
        <v>270</v>
      </c>
      <c r="C153" t="s">
        <v>432</v>
      </c>
      <c r="D153">
        <v>9.0299999999999994</v>
      </c>
      <c r="E153">
        <v>148.09</v>
      </c>
      <c r="F153" t="s">
        <v>308</v>
      </c>
      <c r="G153">
        <v>16.399999999999999</v>
      </c>
      <c r="H153">
        <v>177.71</v>
      </c>
      <c r="I153" t="s">
        <v>433</v>
      </c>
      <c r="J153" t="s">
        <v>326</v>
      </c>
      <c r="K153" t="s">
        <v>559</v>
      </c>
      <c r="L153" t="s">
        <v>203</v>
      </c>
      <c r="M153" t="s">
        <v>270</v>
      </c>
      <c r="N153" t="s">
        <v>51</v>
      </c>
      <c r="O153" t="s">
        <v>15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270</v>
      </c>
      <c r="AH153" t="s">
        <v>51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177.71</v>
      </c>
      <c r="AQ153">
        <f>$H$153*$W$153</f>
        <v>177.71</v>
      </c>
      <c r="AR153">
        <f>$H$153*$X$153</f>
        <v>177.71</v>
      </c>
      <c r="AS153">
        <f>$H$153*$Y$153</f>
        <v>177.71</v>
      </c>
      <c r="AT153">
        <f>$H$153*$Z$153</f>
        <v>177.71</v>
      </c>
      <c r="AU153">
        <f>$H$153*$AA$153</f>
        <v>177.71</v>
      </c>
      <c r="AV153">
        <f>$H$153*$AB$153</f>
        <v>177.71</v>
      </c>
      <c r="AW153">
        <f>$H$153*$AC$153</f>
        <v>177.71</v>
      </c>
      <c r="AX153">
        <f>$H$153*$AD$153</f>
        <v>177.71</v>
      </c>
      <c r="AY153">
        <f>$H$153*$AE$153</f>
        <v>177.71</v>
      </c>
      <c r="AZ153">
        <f>$H$153*$AF$153</f>
        <v>177.71</v>
      </c>
    </row>
    <row r="154" spans="1:52" x14ac:dyDescent="0.25">
      <c r="A154">
        <v>197</v>
      </c>
      <c r="B154" t="s">
        <v>270</v>
      </c>
      <c r="C154" t="s">
        <v>434</v>
      </c>
      <c r="D154">
        <v>18.059999999999999</v>
      </c>
      <c r="E154">
        <v>77.12</v>
      </c>
      <c r="F154" t="s">
        <v>308</v>
      </c>
      <c r="G154">
        <v>4.2699999999999996</v>
      </c>
      <c r="H154">
        <v>92.54</v>
      </c>
      <c r="I154" t="s">
        <v>435</v>
      </c>
      <c r="J154" t="s">
        <v>436</v>
      </c>
      <c r="K154" t="s">
        <v>560</v>
      </c>
      <c r="L154" t="s">
        <v>203</v>
      </c>
      <c r="M154" t="s">
        <v>270</v>
      </c>
      <c r="N154" t="s">
        <v>51</v>
      </c>
      <c r="O154" t="s">
        <v>15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270</v>
      </c>
      <c r="AH154" t="s">
        <v>51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92.54</v>
      </c>
      <c r="AN154">
        <f>$H$154*$T$154</f>
        <v>92.54</v>
      </c>
      <c r="AO154">
        <f>$H$154*$U$154</f>
        <v>92.54</v>
      </c>
      <c r="AP154">
        <f>$H$154*$V$154</f>
        <v>92.54</v>
      </c>
      <c r="AQ154">
        <f>$H$154*$W$154</f>
        <v>92.54</v>
      </c>
      <c r="AR154">
        <f>$H$154*$X$154</f>
        <v>92.54</v>
      </c>
      <c r="AS154">
        <f>$H$154*$Y$154</f>
        <v>92.54</v>
      </c>
      <c r="AT154">
        <f>$H$154*$Z$154</f>
        <v>92.54</v>
      </c>
      <c r="AU154">
        <f>$H$154*$AA$154</f>
        <v>92.54</v>
      </c>
      <c r="AV154">
        <f>$H$154*$AB$154</f>
        <v>92.54</v>
      </c>
      <c r="AW154">
        <f>$H$154*$AC$154</f>
        <v>92.54</v>
      </c>
      <c r="AX154">
        <f>$H$154*$AD$154</f>
        <v>92.54</v>
      </c>
      <c r="AY154">
        <f>$H$154*$AE$154</f>
        <v>92.54</v>
      </c>
      <c r="AZ154">
        <f>$H$154*$AF$154</f>
        <v>92.54</v>
      </c>
    </row>
    <row r="155" spans="1:52" x14ac:dyDescent="0.25">
      <c r="A155">
        <v>198</v>
      </c>
      <c r="B155" t="s">
        <v>270</v>
      </c>
      <c r="C155" t="s">
        <v>437</v>
      </c>
      <c r="D155">
        <v>18.059999999999999</v>
      </c>
      <c r="E155">
        <v>194.15</v>
      </c>
      <c r="F155" t="s">
        <v>308</v>
      </c>
      <c r="G155">
        <v>10.75</v>
      </c>
      <c r="H155">
        <v>232.99</v>
      </c>
      <c r="I155" t="s">
        <v>435</v>
      </c>
      <c r="J155" t="s">
        <v>326</v>
      </c>
      <c r="K155" t="s">
        <v>561</v>
      </c>
      <c r="L155" t="s">
        <v>203</v>
      </c>
      <c r="M155" t="s">
        <v>270</v>
      </c>
      <c r="N155" t="s">
        <v>51</v>
      </c>
      <c r="O155" t="s">
        <v>15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270</v>
      </c>
      <c r="AH155" t="s">
        <v>51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232.99</v>
      </c>
      <c r="AN155">
        <f>$H$155*$T$155</f>
        <v>232.99</v>
      </c>
      <c r="AO155">
        <f>$H$155*$U$155</f>
        <v>232.99</v>
      </c>
      <c r="AP155">
        <f>$H$155*$V$155</f>
        <v>232.99</v>
      </c>
      <c r="AQ155">
        <f>$H$155*$W$155</f>
        <v>232.99</v>
      </c>
      <c r="AR155">
        <f>$H$155*$X$155</f>
        <v>232.99</v>
      </c>
      <c r="AS155">
        <f>$H$155*$Y$155</f>
        <v>232.99</v>
      </c>
      <c r="AT155">
        <f>$H$155*$Z$155</f>
        <v>232.99</v>
      </c>
      <c r="AU155">
        <f>$H$155*$AA$155</f>
        <v>232.99</v>
      </c>
      <c r="AV155">
        <f>$H$155*$AB$155</f>
        <v>232.99</v>
      </c>
      <c r="AW155">
        <f>$H$155*$AC$155</f>
        <v>232.99</v>
      </c>
      <c r="AX155">
        <f>$H$155*$AD$155</f>
        <v>232.99</v>
      </c>
      <c r="AY155">
        <f>$H$155*$AE$155</f>
        <v>232.99</v>
      </c>
      <c r="AZ155">
        <f>$H$155*$AF$155</f>
        <v>232.99</v>
      </c>
    </row>
    <row r="156" spans="1:52" x14ac:dyDescent="0.25">
      <c r="A156">
        <v>199</v>
      </c>
      <c r="B156" t="s">
        <v>270</v>
      </c>
      <c r="C156" t="s">
        <v>438</v>
      </c>
      <c r="D156">
        <v>8.09</v>
      </c>
      <c r="E156">
        <v>7.04</v>
      </c>
      <c r="F156" t="s">
        <v>308</v>
      </c>
      <c r="G156">
        <v>0.87</v>
      </c>
      <c r="H156">
        <v>8.44</v>
      </c>
      <c r="I156" t="s">
        <v>331</v>
      </c>
      <c r="J156" t="s">
        <v>439</v>
      </c>
      <c r="K156" t="s">
        <v>562</v>
      </c>
      <c r="L156" t="s">
        <v>203</v>
      </c>
      <c r="M156" t="s">
        <v>270</v>
      </c>
      <c r="N156" t="s">
        <v>51</v>
      </c>
      <c r="O156" t="s">
        <v>15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270</v>
      </c>
      <c r="AH156" t="s">
        <v>51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8.44</v>
      </c>
      <c r="AN156">
        <f>$H$156*$T$156</f>
        <v>8.44</v>
      </c>
      <c r="AO156">
        <f>$H$156*$U$156</f>
        <v>8.44</v>
      </c>
      <c r="AP156">
        <f>$H$156*$V$156</f>
        <v>8.44</v>
      </c>
      <c r="AQ156">
        <f>$H$156*$W$156</f>
        <v>8.44</v>
      </c>
      <c r="AR156">
        <f>$H$156*$X$156</f>
        <v>8.44</v>
      </c>
      <c r="AS156">
        <f>$H$156*$Y$156</f>
        <v>8.44</v>
      </c>
      <c r="AT156">
        <f>$H$156*$Z$156</f>
        <v>8.44</v>
      </c>
      <c r="AU156">
        <f>$H$156*$AA$156</f>
        <v>8.44</v>
      </c>
      <c r="AV156">
        <f>$H$156*$AB$156</f>
        <v>8.44</v>
      </c>
      <c r="AW156">
        <f>$H$156*$AC$156</f>
        <v>8.44</v>
      </c>
      <c r="AX156">
        <f>$H$156*$AD$156</f>
        <v>8.44</v>
      </c>
      <c r="AY156">
        <f>$H$156*$AE$156</f>
        <v>8.44</v>
      </c>
      <c r="AZ156">
        <f>$H$156*$AF$156</f>
        <v>8.44</v>
      </c>
    </row>
    <row r="157" spans="1:52" x14ac:dyDescent="0.25">
      <c r="A157">
        <v>200</v>
      </c>
      <c r="B157" t="s">
        <v>270</v>
      </c>
      <c r="C157" t="s">
        <v>440</v>
      </c>
      <c r="D157">
        <v>8.09</v>
      </c>
      <c r="E157">
        <v>57.2</v>
      </c>
      <c r="F157" t="s">
        <v>308</v>
      </c>
      <c r="G157">
        <v>7.07</v>
      </c>
      <c r="H157">
        <v>68.64</v>
      </c>
      <c r="I157" t="s">
        <v>331</v>
      </c>
      <c r="J157" t="s">
        <v>326</v>
      </c>
      <c r="K157" t="s">
        <v>563</v>
      </c>
      <c r="L157" t="s">
        <v>203</v>
      </c>
      <c r="M157" t="s">
        <v>270</v>
      </c>
      <c r="N157" t="s">
        <v>51</v>
      </c>
      <c r="O157" t="s">
        <v>15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270</v>
      </c>
      <c r="AH157" t="s">
        <v>51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68.64</v>
      </c>
      <c r="AN157">
        <f>$H$157*$T$157</f>
        <v>68.64</v>
      </c>
      <c r="AO157">
        <f>$H$157*$U$157</f>
        <v>68.64</v>
      </c>
      <c r="AP157">
        <f>$H$157*$V$157</f>
        <v>68.64</v>
      </c>
      <c r="AQ157">
        <f>$H$157*$W$157</f>
        <v>68.64</v>
      </c>
      <c r="AR157">
        <f>$H$157*$X$157</f>
        <v>68.64</v>
      </c>
      <c r="AS157">
        <f>$H$157*$Y$157</f>
        <v>68.64</v>
      </c>
      <c r="AT157">
        <f>$H$157*$Z$157</f>
        <v>68.64</v>
      </c>
      <c r="AU157">
        <f>$H$157*$AA$157</f>
        <v>68.64</v>
      </c>
      <c r="AV157">
        <f>$H$157*$AB$157</f>
        <v>68.64</v>
      </c>
      <c r="AW157">
        <f>$H$157*$AC$157</f>
        <v>68.64</v>
      </c>
      <c r="AX157">
        <f>$H$157*$AD$157</f>
        <v>68.64</v>
      </c>
      <c r="AY157">
        <f>$H$157*$AE$157</f>
        <v>68.64</v>
      </c>
      <c r="AZ157">
        <f>$H$157*$AF$157</f>
        <v>68.64</v>
      </c>
    </row>
    <row r="158" spans="1:52" x14ac:dyDescent="0.25">
      <c r="A158">
        <v>201</v>
      </c>
      <c r="B158" t="s">
        <v>265</v>
      </c>
      <c r="C158" t="s">
        <v>444</v>
      </c>
      <c r="D158">
        <v>1</v>
      </c>
      <c r="E158">
        <v>67.459999999999994</v>
      </c>
      <c r="F158" t="s">
        <v>294</v>
      </c>
      <c r="G158">
        <v>67.459999999999994</v>
      </c>
      <c r="H158">
        <v>80.959999999999994</v>
      </c>
      <c r="I158" t="s">
        <v>296</v>
      </c>
      <c r="J158" t="s">
        <v>445</v>
      </c>
      <c r="K158" t="s">
        <v>566</v>
      </c>
      <c r="L158" t="s">
        <v>203</v>
      </c>
      <c r="M158" t="s">
        <v>265</v>
      </c>
      <c r="N158" t="s">
        <v>51</v>
      </c>
      <c r="O158" t="s">
        <v>4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1</v>
      </c>
      <c r="AF158">
        <v>1</v>
      </c>
      <c r="AG158" t="s">
        <v>265</v>
      </c>
      <c r="AH158" t="s">
        <v>51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0</v>
      </c>
      <c r="AV158">
        <f>$H$158*$AB$158</f>
        <v>0</v>
      </c>
      <c r="AW158">
        <f>$H$158*$AC$158</f>
        <v>0</v>
      </c>
      <c r="AX158">
        <f>$H$158*$AD$158</f>
        <v>80.959999999999994</v>
      </c>
      <c r="AY158">
        <f>$H$158*$AE$158</f>
        <v>80.959999999999994</v>
      </c>
      <c r="AZ158">
        <f>$H$158*$AF$158</f>
        <v>80.959999999999994</v>
      </c>
    </row>
    <row r="159" spans="1:52" x14ac:dyDescent="0.25">
      <c r="A159">
        <v>202</v>
      </c>
      <c r="B159" t="s">
        <v>265</v>
      </c>
      <c r="C159" t="s">
        <v>312</v>
      </c>
      <c r="D159">
        <v>5</v>
      </c>
      <c r="E159">
        <v>38.75</v>
      </c>
      <c r="F159" t="s">
        <v>288</v>
      </c>
      <c r="G159">
        <v>7.75</v>
      </c>
      <c r="H159">
        <v>46.51</v>
      </c>
      <c r="I159" t="s">
        <v>289</v>
      </c>
      <c r="J159" t="s">
        <v>313</v>
      </c>
      <c r="K159" t="s">
        <v>502</v>
      </c>
      <c r="L159" t="s">
        <v>203</v>
      </c>
      <c r="M159" t="s">
        <v>265</v>
      </c>
      <c r="N159" t="s">
        <v>51</v>
      </c>
      <c r="O159" t="s">
        <v>4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265</v>
      </c>
      <c r="AH159" t="s">
        <v>51</v>
      </c>
      <c r="AI159" t="s">
        <v>4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46.51</v>
      </c>
      <c r="AV159">
        <f>$H$159*$AB$159</f>
        <v>46.51</v>
      </c>
      <c r="AW159">
        <f>$H$159*$AC$159</f>
        <v>46.51</v>
      </c>
      <c r="AX159">
        <f>$H$159*$AD$159</f>
        <v>46.51</v>
      </c>
      <c r="AY159">
        <f>$H$159*$AE$159</f>
        <v>46.51</v>
      </c>
      <c r="AZ159">
        <f>$H$159*$AF$159</f>
        <v>46.51</v>
      </c>
    </row>
    <row r="160" spans="1:52" x14ac:dyDescent="0.25">
      <c r="A160">
        <v>203</v>
      </c>
      <c r="B160" t="s">
        <v>265</v>
      </c>
      <c r="C160" t="s">
        <v>314</v>
      </c>
      <c r="D160">
        <v>5</v>
      </c>
      <c r="E160">
        <v>65.7</v>
      </c>
      <c r="F160" t="s">
        <v>288</v>
      </c>
      <c r="G160">
        <v>13.14</v>
      </c>
      <c r="H160">
        <v>78.84</v>
      </c>
      <c r="I160" t="s">
        <v>292</v>
      </c>
      <c r="J160" t="s">
        <v>315</v>
      </c>
      <c r="K160" t="s">
        <v>503</v>
      </c>
      <c r="L160" t="s">
        <v>203</v>
      </c>
      <c r="M160" t="s">
        <v>265</v>
      </c>
      <c r="N160" t="s">
        <v>51</v>
      </c>
      <c r="O160" t="s">
        <v>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265</v>
      </c>
      <c r="AH160" t="s">
        <v>51</v>
      </c>
      <c r="AI160" t="s">
        <v>4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78.84</v>
      </c>
      <c r="AV160">
        <f>$H$160*$AB$160</f>
        <v>78.84</v>
      </c>
      <c r="AW160">
        <f>$H$160*$AC$160</f>
        <v>78.84</v>
      </c>
      <c r="AX160">
        <f>$H$160*$AD$160</f>
        <v>78.84</v>
      </c>
      <c r="AY160">
        <f>$H$160*$AE$160</f>
        <v>78.84</v>
      </c>
      <c r="AZ160">
        <f>$H$160*$AF$160</f>
        <v>78.84</v>
      </c>
    </row>
    <row r="161" spans="1:52" x14ac:dyDescent="0.25">
      <c r="A161">
        <v>204</v>
      </c>
      <c r="B161" t="s">
        <v>265</v>
      </c>
      <c r="C161" t="s">
        <v>367</v>
      </c>
      <c r="D161">
        <v>5</v>
      </c>
      <c r="E161">
        <v>27.6</v>
      </c>
      <c r="F161" t="s">
        <v>288</v>
      </c>
      <c r="G161">
        <v>5.52</v>
      </c>
      <c r="H161">
        <v>33.119999999999997</v>
      </c>
      <c r="I161" t="s">
        <v>292</v>
      </c>
      <c r="J161" t="s">
        <v>368</v>
      </c>
      <c r="K161" t="s">
        <v>528</v>
      </c>
      <c r="L161" t="s">
        <v>203</v>
      </c>
      <c r="M161" t="s">
        <v>265</v>
      </c>
      <c r="N161" t="s">
        <v>51</v>
      </c>
      <c r="O161" t="s">
        <v>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</v>
      </c>
      <c r="AF161">
        <v>1</v>
      </c>
      <c r="AG161" t="s">
        <v>265</v>
      </c>
      <c r="AH161" t="s">
        <v>51</v>
      </c>
      <c r="AI161" t="s">
        <v>4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33.119999999999997</v>
      </c>
      <c r="AX161">
        <f>$H$161*$AD$161</f>
        <v>33.119999999999997</v>
      </c>
      <c r="AY161">
        <f>$H$161*$AE$161</f>
        <v>33.119999999999997</v>
      </c>
      <c r="AZ161">
        <f>$H$161*$AF$161</f>
        <v>33.119999999999997</v>
      </c>
    </row>
    <row r="162" spans="1:52" x14ac:dyDescent="0.25">
      <c r="A162">
        <v>205</v>
      </c>
      <c r="B162" t="s">
        <v>265</v>
      </c>
      <c r="C162" t="s">
        <v>386</v>
      </c>
      <c r="D162">
        <v>6</v>
      </c>
      <c r="E162">
        <v>96.84</v>
      </c>
      <c r="F162" t="s">
        <v>294</v>
      </c>
      <c r="G162">
        <v>16.14</v>
      </c>
      <c r="H162">
        <v>116.2</v>
      </c>
      <c r="I162" t="s">
        <v>296</v>
      </c>
      <c r="J162" t="s">
        <v>387</v>
      </c>
      <c r="K162" t="s">
        <v>537</v>
      </c>
      <c r="L162" t="s">
        <v>203</v>
      </c>
      <c r="M162" t="s">
        <v>265</v>
      </c>
      <c r="N162" t="s">
        <v>51</v>
      </c>
      <c r="O162" t="s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265</v>
      </c>
      <c r="AH162" t="s">
        <v>51</v>
      </c>
      <c r="AI162" t="s">
        <v>4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116.2</v>
      </c>
      <c r="AS162">
        <f>$H$162*$Y$162</f>
        <v>116.2</v>
      </c>
      <c r="AT162">
        <f>$H$162*$Z$162</f>
        <v>116.2</v>
      </c>
      <c r="AU162">
        <f>$H$162*$AA$162</f>
        <v>116.2</v>
      </c>
      <c r="AV162">
        <f>$H$162*$AB$162</f>
        <v>116.2</v>
      </c>
      <c r="AW162">
        <f>$H$162*$AC$162</f>
        <v>116.2</v>
      </c>
      <c r="AX162">
        <f>$H$162*$AD$162</f>
        <v>116.2</v>
      </c>
      <c r="AY162">
        <f>$H$162*$AE$162</f>
        <v>116.2</v>
      </c>
      <c r="AZ162">
        <f>$H$162*$AF$162</f>
        <v>116.2</v>
      </c>
    </row>
    <row r="163" spans="1:52" x14ac:dyDescent="0.25">
      <c r="A163">
        <v>206</v>
      </c>
      <c r="B163" t="s">
        <v>265</v>
      </c>
      <c r="C163" t="s">
        <v>446</v>
      </c>
      <c r="D163">
        <v>1</v>
      </c>
      <c r="E163">
        <v>71.34</v>
      </c>
      <c r="F163" t="s">
        <v>294</v>
      </c>
      <c r="G163">
        <v>71.34</v>
      </c>
      <c r="H163">
        <v>85.6</v>
      </c>
      <c r="I163" t="s">
        <v>299</v>
      </c>
      <c r="J163" t="s">
        <v>356</v>
      </c>
      <c r="K163" t="s">
        <v>567</v>
      </c>
      <c r="L163" t="s">
        <v>203</v>
      </c>
      <c r="M163" t="s">
        <v>265</v>
      </c>
      <c r="N163" t="s">
        <v>51</v>
      </c>
      <c r="O163" t="s">
        <v>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265</v>
      </c>
      <c r="AH163" t="s">
        <v>51</v>
      </c>
      <c r="AI163" t="s">
        <v>4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85.6</v>
      </c>
      <c r="AY163">
        <f>$H$163*$AE$163</f>
        <v>85.6</v>
      </c>
      <c r="AZ163">
        <f>$H$163*$AF$163</f>
        <v>85.6</v>
      </c>
    </row>
    <row r="164" spans="1:52" x14ac:dyDescent="0.25">
      <c r="A164">
        <v>207</v>
      </c>
      <c r="B164" t="s">
        <v>265</v>
      </c>
      <c r="C164" t="s">
        <v>371</v>
      </c>
      <c r="D164">
        <v>1</v>
      </c>
      <c r="E164">
        <v>49.16</v>
      </c>
      <c r="F164" t="s">
        <v>294</v>
      </c>
      <c r="G164">
        <v>49.16</v>
      </c>
      <c r="H164">
        <v>59</v>
      </c>
      <c r="I164" t="s">
        <v>322</v>
      </c>
      <c r="J164" t="s">
        <v>372</v>
      </c>
      <c r="K164" t="s">
        <v>530</v>
      </c>
      <c r="L164" t="s">
        <v>203</v>
      </c>
      <c r="M164" t="s">
        <v>265</v>
      </c>
      <c r="N164" t="s">
        <v>51</v>
      </c>
      <c r="O164" t="s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265</v>
      </c>
      <c r="AH164" t="s">
        <v>51</v>
      </c>
      <c r="AI164" t="s">
        <v>4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59</v>
      </c>
      <c r="AV164">
        <f>$H$164*$AB$164</f>
        <v>59</v>
      </c>
      <c r="AW164">
        <f>$H$164*$AC$164</f>
        <v>59</v>
      </c>
      <c r="AX164">
        <f>$H$164*$AD$164</f>
        <v>59</v>
      </c>
      <c r="AY164">
        <f>$H$164*$AE$164</f>
        <v>59</v>
      </c>
      <c r="AZ164">
        <f>$H$164*$AF$164</f>
        <v>59</v>
      </c>
    </row>
    <row r="165" spans="1:52" x14ac:dyDescent="0.25">
      <c r="A165">
        <v>208</v>
      </c>
      <c r="B165" t="s">
        <v>265</v>
      </c>
      <c r="C165" t="s">
        <v>447</v>
      </c>
      <c r="D165">
        <v>2</v>
      </c>
      <c r="E165">
        <v>166.94</v>
      </c>
      <c r="F165" t="s">
        <v>294</v>
      </c>
      <c r="G165">
        <v>83.47</v>
      </c>
      <c r="H165">
        <v>200.32</v>
      </c>
      <c r="I165" t="s">
        <v>289</v>
      </c>
      <c r="J165" t="s">
        <v>448</v>
      </c>
      <c r="K165" t="s">
        <v>568</v>
      </c>
      <c r="L165" t="s">
        <v>203</v>
      </c>
      <c r="M165" t="s">
        <v>265</v>
      </c>
      <c r="N165" t="s">
        <v>51</v>
      </c>
      <c r="O165" t="s">
        <v>4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265</v>
      </c>
      <c r="AH165" t="s">
        <v>51</v>
      </c>
      <c r="AI165" t="s">
        <v>4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200.32</v>
      </c>
      <c r="AN165">
        <f>$H$165*$T$165</f>
        <v>200.32</v>
      </c>
      <c r="AO165">
        <f>$H$165*$U$165</f>
        <v>200.32</v>
      </c>
      <c r="AP165">
        <f>$H$165*$V$165</f>
        <v>200.32</v>
      </c>
      <c r="AQ165">
        <f>$H$165*$W$165</f>
        <v>200.32</v>
      </c>
      <c r="AR165">
        <f>$H$165*$X$165</f>
        <v>200.32</v>
      </c>
      <c r="AS165">
        <f>$H$165*$Y$165</f>
        <v>200.32</v>
      </c>
      <c r="AT165">
        <f>$H$165*$Z$165</f>
        <v>200.32</v>
      </c>
      <c r="AU165">
        <f>$H$165*$AA$165</f>
        <v>200.32</v>
      </c>
      <c r="AV165">
        <f>$H$165*$AB$165</f>
        <v>200.32</v>
      </c>
      <c r="AW165">
        <f>$H$165*$AC$165</f>
        <v>200.32</v>
      </c>
      <c r="AX165">
        <f>$H$165*$AD$165</f>
        <v>200.32</v>
      </c>
      <c r="AY165">
        <f>$H$165*$AE$165</f>
        <v>200.32</v>
      </c>
      <c r="AZ165">
        <f>$H$165*$AF$165</f>
        <v>200.32</v>
      </c>
    </row>
    <row r="166" spans="1:52" x14ac:dyDescent="0.25">
      <c r="A166">
        <v>209</v>
      </c>
      <c r="B166" t="s">
        <v>265</v>
      </c>
      <c r="C166" t="s">
        <v>449</v>
      </c>
      <c r="D166">
        <v>1</v>
      </c>
      <c r="E166">
        <v>443.83</v>
      </c>
      <c r="F166" t="s">
        <v>294</v>
      </c>
      <c r="G166">
        <v>443.83</v>
      </c>
      <c r="H166">
        <v>532.59</v>
      </c>
      <c r="I166" t="s">
        <v>325</v>
      </c>
      <c r="J166" t="s">
        <v>448</v>
      </c>
      <c r="K166" t="s">
        <v>569</v>
      </c>
      <c r="L166" t="s">
        <v>203</v>
      </c>
      <c r="M166" t="s">
        <v>265</v>
      </c>
      <c r="N166" t="s">
        <v>51</v>
      </c>
      <c r="O166" t="s">
        <v>4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265</v>
      </c>
      <c r="AH166" t="s">
        <v>51</v>
      </c>
      <c r="AI166" t="s">
        <v>4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532.59</v>
      </c>
      <c r="AO166">
        <f>$H$166*$U$166</f>
        <v>532.59</v>
      </c>
      <c r="AP166">
        <f>$H$166*$V$166</f>
        <v>532.59</v>
      </c>
      <c r="AQ166">
        <f>$H$166*$W$166</f>
        <v>532.59</v>
      </c>
      <c r="AR166">
        <f>$H$166*$X$166</f>
        <v>532.59</v>
      </c>
      <c r="AS166">
        <f>$H$166*$Y$166</f>
        <v>532.59</v>
      </c>
      <c r="AT166">
        <f>$H$166*$Z$166</f>
        <v>532.59</v>
      </c>
      <c r="AU166">
        <f>$H$166*$AA$166</f>
        <v>532.59</v>
      </c>
      <c r="AV166">
        <f>$H$166*$AB$166</f>
        <v>532.59</v>
      </c>
      <c r="AW166">
        <f>$H$166*$AC$166</f>
        <v>532.59</v>
      </c>
      <c r="AX166">
        <f>$H$166*$AD$166</f>
        <v>532.59</v>
      </c>
      <c r="AY166">
        <f>$H$166*$AE$166</f>
        <v>532.59</v>
      </c>
      <c r="AZ166">
        <f>$H$166*$AF$166</f>
        <v>532.59</v>
      </c>
    </row>
    <row r="167" spans="1:52" x14ac:dyDescent="0.25">
      <c r="A167">
        <v>210</v>
      </c>
      <c r="B167" t="s">
        <v>265</v>
      </c>
      <c r="C167" t="s">
        <v>329</v>
      </c>
      <c r="D167">
        <v>2</v>
      </c>
      <c r="E167">
        <v>126.46</v>
      </c>
      <c r="F167" t="s">
        <v>294</v>
      </c>
      <c r="G167">
        <v>63.23</v>
      </c>
      <c r="H167">
        <v>151.76</v>
      </c>
      <c r="I167" t="s">
        <v>289</v>
      </c>
      <c r="J167" t="s">
        <v>325</v>
      </c>
      <c r="K167" t="s">
        <v>509</v>
      </c>
      <c r="L167" t="s">
        <v>203</v>
      </c>
      <c r="M167" t="s">
        <v>265</v>
      </c>
      <c r="N167" t="s">
        <v>51</v>
      </c>
      <c r="O167" t="s">
        <v>4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265</v>
      </c>
      <c r="AH167" t="s">
        <v>51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151.76</v>
      </c>
      <c r="AN167">
        <f>$H$167*$T$167</f>
        <v>151.76</v>
      </c>
      <c r="AO167">
        <f>$H$167*$U$167</f>
        <v>151.76</v>
      </c>
      <c r="AP167">
        <f>$H$167*$V$167</f>
        <v>151.76</v>
      </c>
      <c r="AQ167">
        <f>$H$167*$W$167</f>
        <v>151.76</v>
      </c>
      <c r="AR167">
        <f>$H$167*$X$167</f>
        <v>151.76</v>
      </c>
      <c r="AS167">
        <f>$H$167*$Y$167</f>
        <v>151.76</v>
      </c>
      <c r="AT167">
        <f>$H$167*$Z$167</f>
        <v>151.76</v>
      </c>
      <c r="AU167">
        <f>$H$167*$AA$167</f>
        <v>151.76</v>
      </c>
      <c r="AV167">
        <f>$H$167*$AB$167</f>
        <v>151.76</v>
      </c>
      <c r="AW167">
        <f>$H$167*$AC$167</f>
        <v>151.76</v>
      </c>
      <c r="AX167">
        <f>$H$167*$AD$167</f>
        <v>151.76</v>
      </c>
      <c r="AY167">
        <f>$H$167*$AE$167</f>
        <v>151.76</v>
      </c>
      <c r="AZ167">
        <f>$H$167*$AF$167</f>
        <v>151.76</v>
      </c>
    </row>
    <row r="168" spans="1:52" x14ac:dyDescent="0.25">
      <c r="A168">
        <v>211</v>
      </c>
      <c r="B168" t="s">
        <v>265</v>
      </c>
      <c r="C168" t="s">
        <v>327</v>
      </c>
      <c r="D168">
        <v>2</v>
      </c>
      <c r="E168">
        <v>106.5</v>
      </c>
      <c r="F168" t="s">
        <v>294</v>
      </c>
      <c r="G168">
        <v>53.25</v>
      </c>
      <c r="H168">
        <v>127.8</v>
      </c>
      <c r="I168" t="s">
        <v>289</v>
      </c>
      <c r="J168" t="s">
        <v>328</v>
      </c>
      <c r="K168" t="s">
        <v>508</v>
      </c>
      <c r="L168" t="s">
        <v>203</v>
      </c>
      <c r="M168" t="s">
        <v>265</v>
      </c>
      <c r="N168" t="s">
        <v>51</v>
      </c>
      <c r="O168" t="s">
        <v>4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265</v>
      </c>
      <c r="AH168" t="s">
        <v>51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127.8</v>
      </c>
      <c r="AN168">
        <f>$H$168*$T$168</f>
        <v>127.8</v>
      </c>
      <c r="AO168">
        <f>$H$168*$U$168</f>
        <v>127.8</v>
      </c>
      <c r="AP168">
        <f>$H$168*$V$168</f>
        <v>127.8</v>
      </c>
      <c r="AQ168">
        <f>$H$168*$W$168</f>
        <v>127.8</v>
      </c>
      <c r="AR168">
        <f>$H$168*$X$168</f>
        <v>127.8</v>
      </c>
      <c r="AS168">
        <f>$H$168*$Y$168</f>
        <v>127.8</v>
      </c>
      <c r="AT168">
        <f>$H$168*$Z$168</f>
        <v>127.8</v>
      </c>
      <c r="AU168">
        <f>$H$168*$AA$168</f>
        <v>127.8</v>
      </c>
      <c r="AV168">
        <f>$H$168*$AB$168</f>
        <v>127.8</v>
      </c>
      <c r="AW168">
        <f>$H$168*$AC$168</f>
        <v>127.8</v>
      </c>
      <c r="AX168">
        <f>$H$168*$AD$168</f>
        <v>127.8</v>
      </c>
      <c r="AY168">
        <f>$H$168*$AE$168</f>
        <v>127.8</v>
      </c>
      <c r="AZ168">
        <f>$H$168*$AF$168</f>
        <v>127.8</v>
      </c>
    </row>
    <row r="169" spans="1:52" x14ac:dyDescent="0.25">
      <c r="A169">
        <v>212</v>
      </c>
      <c r="B169" t="s">
        <v>265</v>
      </c>
      <c r="C169" t="s">
        <v>373</v>
      </c>
      <c r="D169">
        <v>1</v>
      </c>
      <c r="E169">
        <v>411.33</v>
      </c>
      <c r="F169" t="s">
        <v>294</v>
      </c>
      <c r="G169">
        <v>411.33</v>
      </c>
      <c r="H169">
        <v>493.59</v>
      </c>
      <c r="I169" t="s">
        <v>325</v>
      </c>
      <c r="J169" t="s">
        <v>356</v>
      </c>
      <c r="K169" t="s">
        <v>531</v>
      </c>
      <c r="L169" t="s">
        <v>203</v>
      </c>
      <c r="M169" t="s">
        <v>265</v>
      </c>
      <c r="N169" t="s">
        <v>51</v>
      </c>
      <c r="O169" t="s">
        <v>4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265</v>
      </c>
      <c r="AH169" t="s">
        <v>51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493.59</v>
      </c>
      <c r="AO169">
        <f>$H$169*$U$169</f>
        <v>493.59</v>
      </c>
      <c r="AP169">
        <f>$H$169*$V$169</f>
        <v>493.59</v>
      </c>
      <c r="AQ169">
        <f>$H$169*$W$169</f>
        <v>493.59</v>
      </c>
      <c r="AR169">
        <f>$H$169*$X$169</f>
        <v>493.59</v>
      </c>
      <c r="AS169">
        <f>$H$169*$Y$169</f>
        <v>493.59</v>
      </c>
      <c r="AT169">
        <f>$H$169*$Z$169</f>
        <v>493.59</v>
      </c>
      <c r="AU169">
        <f>$H$169*$AA$169</f>
        <v>493.59</v>
      </c>
      <c r="AV169">
        <f>$H$169*$AB$169</f>
        <v>493.59</v>
      </c>
      <c r="AW169">
        <f>$H$169*$AC$169</f>
        <v>493.59</v>
      </c>
      <c r="AX169">
        <f>$H$169*$AD$169</f>
        <v>493.59</v>
      </c>
      <c r="AY169">
        <f>$H$169*$AE$169</f>
        <v>493.59</v>
      </c>
      <c r="AZ169">
        <f>$H$169*$AF$169</f>
        <v>493.59</v>
      </c>
    </row>
    <row r="170" spans="1:52" x14ac:dyDescent="0.25">
      <c r="A170">
        <v>213</v>
      </c>
      <c r="B170" t="s">
        <v>265</v>
      </c>
      <c r="C170" t="s">
        <v>419</v>
      </c>
      <c r="D170">
        <v>9</v>
      </c>
      <c r="E170">
        <v>34.56</v>
      </c>
      <c r="F170" t="s">
        <v>288</v>
      </c>
      <c r="G170">
        <v>3.84</v>
      </c>
      <c r="H170">
        <v>41.48</v>
      </c>
      <c r="I170" t="s">
        <v>420</v>
      </c>
      <c r="J170" t="s">
        <v>421</v>
      </c>
      <c r="K170" t="s">
        <v>553</v>
      </c>
      <c r="L170" t="s">
        <v>203</v>
      </c>
      <c r="M170" t="s">
        <v>265</v>
      </c>
      <c r="N170" t="s">
        <v>51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265</v>
      </c>
      <c r="AH170" t="s">
        <v>51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41.48</v>
      </c>
      <c r="AV170">
        <f>$H$170*$AB$170</f>
        <v>41.48</v>
      </c>
      <c r="AW170">
        <f>$H$170*$AC$170</f>
        <v>41.48</v>
      </c>
      <c r="AX170">
        <f>$H$170*$AD$170</f>
        <v>41.48</v>
      </c>
      <c r="AY170">
        <f>$H$170*$AE$170</f>
        <v>41.48</v>
      </c>
      <c r="AZ170">
        <f>$H$170*$AF$170</f>
        <v>41.48</v>
      </c>
    </row>
    <row r="171" spans="1:52" x14ac:dyDescent="0.25">
      <c r="A171">
        <v>214</v>
      </c>
      <c r="B171" t="s">
        <v>265</v>
      </c>
      <c r="C171" t="s">
        <v>422</v>
      </c>
      <c r="D171">
        <v>72</v>
      </c>
      <c r="E171">
        <v>238.32</v>
      </c>
      <c r="F171" t="s">
        <v>308</v>
      </c>
      <c r="G171">
        <v>3.31</v>
      </c>
      <c r="H171">
        <v>285.98</v>
      </c>
      <c r="I171" t="s">
        <v>420</v>
      </c>
      <c r="J171" t="s">
        <v>423</v>
      </c>
      <c r="K171" t="s">
        <v>554</v>
      </c>
      <c r="L171" t="s">
        <v>203</v>
      </c>
      <c r="M171" t="s">
        <v>265</v>
      </c>
      <c r="N171" t="s">
        <v>51</v>
      </c>
      <c r="O171" t="s">
        <v>4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265</v>
      </c>
      <c r="AH171" t="s">
        <v>51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285.98</v>
      </c>
      <c r="AN171">
        <f>$H$171*$T$171</f>
        <v>285.98</v>
      </c>
      <c r="AO171">
        <f>$H$171*$U$171</f>
        <v>285.98</v>
      </c>
      <c r="AP171">
        <f>$H$171*$V$171</f>
        <v>285.98</v>
      </c>
      <c r="AQ171">
        <f>$H$171*$W$171</f>
        <v>285.98</v>
      </c>
      <c r="AR171">
        <f>$H$171*$X$171</f>
        <v>285.98</v>
      </c>
      <c r="AS171">
        <f>$H$171*$Y$171</f>
        <v>285.98</v>
      </c>
      <c r="AT171">
        <f>$H$171*$Z$171</f>
        <v>285.98</v>
      </c>
      <c r="AU171">
        <f>$H$171*$AA$171</f>
        <v>285.98</v>
      </c>
      <c r="AV171">
        <f>$H$171*$AB$171</f>
        <v>285.98</v>
      </c>
      <c r="AW171">
        <f>$H$171*$AC$171</f>
        <v>285.98</v>
      </c>
      <c r="AX171">
        <f>$H$171*$AD$171</f>
        <v>285.98</v>
      </c>
      <c r="AY171">
        <f>$H$171*$AE$171</f>
        <v>285.98</v>
      </c>
      <c r="AZ171">
        <f>$H$171*$AF$171</f>
        <v>285.98</v>
      </c>
    </row>
    <row r="172" spans="1:52" x14ac:dyDescent="0.25">
      <c r="A172">
        <v>215</v>
      </c>
      <c r="B172" t="s">
        <v>265</v>
      </c>
      <c r="C172" t="s">
        <v>424</v>
      </c>
      <c r="D172">
        <v>72</v>
      </c>
      <c r="E172">
        <v>77.040000000000006</v>
      </c>
      <c r="F172" t="s">
        <v>308</v>
      </c>
      <c r="G172">
        <v>1.07</v>
      </c>
      <c r="H172">
        <v>92.44</v>
      </c>
      <c r="I172" t="s">
        <v>289</v>
      </c>
      <c r="J172" t="s">
        <v>425</v>
      </c>
      <c r="K172" t="s">
        <v>555</v>
      </c>
      <c r="L172" t="s">
        <v>203</v>
      </c>
      <c r="M172" t="s">
        <v>265</v>
      </c>
      <c r="N172" t="s">
        <v>51</v>
      </c>
      <c r="O172" t="s">
        <v>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1</v>
      </c>
      <c r="AF172">
        <v>1</v>
      </c>
      <c r="AG172" t="s">
        <v>265</v>
      </c>
      <c r="AH172" t="s">
        <v>51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0</v>
      </c>
      <c r="AV172">
        <f>$H$172*$AB$172</f>
        <v>0</v>
      </c>
      <c r="AW172">
        <f>$H$172*$AC$172</f>
        <v>0</v>
      </c>
      <c r="AX172">
        <f>$H$172*$AD$172</f>
        <v>92.44</v>
      </c>
      <c r="AY172">
        <f>$H$172*$AE$172</f>
        <v>92.44</v>
      </c>
      <c r="AZ172">
        <f>$H$172*$AF$172</f>
        <v>92.44</v>
      </c>
    </row>
    <row r="173" spans="1:52" x14ac:dyDescent="0.25">
      <c r="A173">
        <v>216</v>
      </c>
      <c r="B173" t="s">
        <v>265</v>
      </c>
      <c r="C173" t="s">
        <v>316</v>
      </c>
      <c r="D173">
        <v>216</v>
      </c>
      <c r="E173">
        <v>349.92</v>
      </c>
      <c r="F173" t="s">
        <v>308</v>
      </c>
      <c r="G173">
        <v>1.62</v>
      </c>
      <c r="H173">
        <v>419.9</v>
      </c>
      <c r="I173" t="s">
        <v>289</v>
      </c>
      <c r="J173" t="s">
        <v>317</v>
      </c>
      <c r="K173" t="s">
        <v>504</v>
      </c>
      <c r="L173" t="s">
        <v>203</v>
      </c>
      <c r="M173" t="s">
        <v>265</v>
      </c>
      <c r="N173" t="s">
        <v>51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265</v>
      </c>
      <c r="AH173" t="s">
        <v>51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419.9</v>
      </c>
      <c r="AO173">
        <f>$H$173*$U$173</f>
        <v>419.9</v>
      </c>
      <c r="AP173">
        <f>$H$173*$V$173</f>
        <v>419.9</v>
      </c>
      <c r="AQ173">
        <f>$H$173*$W$173</f>
        <v>419.9</v>
      </c>
      <c r="AR173">
        <f>$H$173*$X$173</f>
        <v>419.9</v>
      </c>
      <c r="AS173">
        <f>$H$173*$Y$173</f>
        <v>419.9</v>
      </c>
      <c r="AT173">
        <f>$H$173*$Z$173</f>
        <v>419.9</v>
      </c>
      <c r="AU173">
        <f>$H$173*$AA$173</f>
        <v>419.9</v>
      </c>
      <c r="AV173">
        <f>$H$173*$AB$173</f>
        <v>419.9</v>
      </c>
      <c r="AW173">
        <f>$H$173*$AC$173</f>
        <v>419.9</v>
      </c>
      <c r="AX173">
        <f>$H$173*$AD$173</f>
        <v>419.9</v>
      </c>
      <c r="AY173">
        <f>$H$173*$AE$173</f>
        <v>419.9</v>
      </c>
      <c r="AZ173">
        <f>$H$173*$AF$173</f>
        <v>419.9</v>
      </c>
    </row>
    <row r="174" spans="1:52" x14ac:dyDescent="0.25">
      <c r="A174">
        <v>217</v>
      </c>
      <c r="B174" t="s">
        <v>265</v>
      </c>
      <c r="C174" t="s">
        <v>318</v>
      </c>
      <c r="D174">
        <v>288</v>
      </c>
      <c r="E174">
        <v>1189.44</v>
      </c>
      <c r="F174" t="s">
        <v>308</v>
      </c>
      <c r="G174">
        <v>4.13</v>
      </c>
      <c r="H174">
        <v>1427.32</v>
      </c>
      <c r="I174" t="s">
        <v>319</v>
      </c>
      <c r="J174" t="s">
        <v>320</v>
      </c>
      <c r="K174" t="s">
        <v>505</v>
      </c>
      <c r="L174" t="s">
        <v>203</v>
      </c>
      <c r="M174" t="s">
        <v>265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0.25</v>
      </c>
      <c r="T174">
        <v>0.25</v>
      </c>
      <c r="U174">
        <v>0.25</v>
      </c>
      <c r="V174">
        <v>0.25</v>
      </c>
      <c r="W174">
        <v>0.5</v>
      </c>
      <c r="X174">
        <v>0.5</v>
      </c>
      <c r="Y174">
        <v>0.5</v>
      </c>
      <c r="Z174">
        <v>0.5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265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356.83</v>
      </c>
      <c r="AN174">
        <f>$H$174*$T$174</f>
        <v>356.83</v>
      </c>
      <c r="AO174">
        <f>$H$174*$U$174</f>
        <v>356.83</v>
      </c>
      <c r="AP174">
        <f>$H$174*$V$174</f>
        <v>356.83</v>
      </c>
      <c r="AQ174">
        <f>$H$174*$W$174</f>
        <v>713.66</v>
      </c>
      <c r="AR174">
        <f>$H$174*$X$174</f>
        <v>713.66</v>
      </c>
      <c r="AS174">
        <f>$H$174*$Y$174</f>
        <v>713.66</v>
      </c>
      <c r="AT174">
        <f>$H$174*$Z$174</f>
        <v>713.66</v>
      </c>
      <c r="AU174">
        <f>$H$174*$AA$174</f>
        <v>1427.32</v>
      </c>
      <c r="AV174">
        <f>$H$174*$AB$174</f>
        <v>1427.32</v>
      </c>
      <c r="AW174">
        <f>$H$174*$AC$174</f>
        <v>1427.32</v>
      </c>
      <c r="AX174">
        <f>$H$174*$AD$174</f>
        <v>1427.32</v>
      </c>
      <c r="AY174">
        <f>$H$174*$AE$174</f>
        <v>1427.32</v>
      </c>
      <c r="AZ174">
        <f>$H$174*$AF$174</f>
        <v>1427.32</v>
      </c>
    </row>
    <row r="175" spans="1:52" x14ac:dyDescent="0.25">
      <c r="A175">
        <v>218</v>
      </c>
      <c r="B175" t="s">
        <v>265</v>
      </c>
      <c r="C175" t="s">
        <v>426</v>
      </c>
      <c r="D175">
        <v>36</v>
      </c>
      <c r="E175">
        <v>94.68</v>
      </c>
      <c r="F175" t="s">
        <v>288</v>
      </c>
      <c r="G175">
        <v>2.63</v>
      </c>
      <c r="H175">
        <v>113.62</v>
      </c>
      <c r="I175" t="s">
        <v>289</v>
      </c>
      <c r="J175" t="s">
        <v>427</v>
      </c>
      <c r="K175" t="s">
        <v>556</v>
      </c>
      <c r="L175" t="s">
        <v>203</v>
      </c>
      <c r="M175" t="s">
        <v>265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265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113.62</v>
      </c>
      <c r="AN175">
        <f>$H$175*$T$175</f>
        <v>113.62</v>
      </c>
      <c r="AO175">
        <f>$H$175*$U$175</f>
        <v>113.62</v>
      </c>
      <c r="AP175">
        <f>$H$175*$V$175</f>
        <v>113.62</v>
      </c>
      <c r="AQ175">
        <f>$H$175*$W$175</f>
        <v>113.62</v>
      </c>
      <c r="AR175">
        <f>$H$175*$X$175</f>
        <v>113.62</v>
      </c>
      <c r="AS175">
        <f>$H$175*$Y$175</f>
        <v>113.62</v>
      </c>
      <c r="AT175">
        <f>$H$175*$Z$175</f>
        <v>113.62</v>
      </c>
      <c r="AU175">
        <f>$H$175*$AA$175</f>
        <v>113.62</v>
      </c>
      <c r="AV175">
        <f>$H$175*$AB$175</f>
        <v>113.62</v>
      </c>
      <c r="AW175">
        <f>$H$175*$AC$175</f>
        <v>113.62</v>
      </c>
      <c r="AX175">
        <f>$H$175*$AD$175</f>
        <v>113.62</v>
      </c>
      <c r="AY175">
        <f>$H$175*$AE$175</f>
        <v>113.62</v>
      </c>
      <c r="AZ175">
        <f>$H$175*$AF$175</f>
        <v>113.62</v>
      </c>
    </row>
    <row r="176" spans="1:52" x14ac:dyDescent="0.25">
      <c r="A176">
        <v>219</v>
      </c>
      <c r="B176" t="s">
        <v>265</v>
      </c>
      <c r="C176" t="s">
        <v>428</v>
      </c>
      <c r="D176">
        <v>36</v>
      </c>
      <c r="E176">
        <v>222.84</v>
      </c>
      <c r="F176" t="s">
        <v>288</v>
      </c>
      <c r="G176">
        <v>6.19</v>
      </c>
      <c r="H176">
        <v>267.39999999999998</v>
      </c>
      <c r="I176" t="s">
        <v>292</v>
      </c>
      <c r="J176" t="s">
        <v>429</v>
      </c>
      <c r="K176" t="s">
        <v>557</v>
      </c>
      <c r="L176" t="s">
        <v>203</v>
      </c>
      <c r="M176" t="s">
        <v>265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265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267.39999999999998</v>
      </c>
      <c r="AN176">
        <f>$H$176*$T$176</f>
        <v>267.39999999999998</v>
      </c>
      <c r="AO176">
        <f>$H$176*$U$176</f>
        <v>267.39999999999998</v>
      </c>
      <c r="AP176">
        <f>$H$176*$V$176</f>
        <v>267.39999999999998</v>
      </c>
      <c r="AQ176">
        <f>$H$176*$W$176</f>
        <v>267.39999999999998</v>
      </c>
      <c r="AR176">
        <f>$H$176*$X$176</f>
        <v>267.39999999999998</v>
      </c>
      <c r="AS176">
        <f>$H$176*$Y$176</f>
        <v>267.39999999999998</v>
      </c>
      <c r="AT176">
        <f>$H$176*$Z$176</f>
        <v>267.39999999999998</v>
      </c>
      <c r="AU176">
        <f>$H$176*$AA$176</f>
        <v>267.39999999999998</v>
      </c>
      <c r="AV176">
        <f>$H$176*$AB$176</f>
        <v>267.39999999999998</v>
      </c>
      <c r="AW176">
        <f>$H$176*$AC$176</f>
        <v>267.39999999999998</v>
      </c>
      <c r="AX176">
        <f>$H$176*$AD$176</f>
        <v>267.39999999999998</v>
      </c>
      <c r="AY176">
        <f>$H$176*$AE$176</f>
        <v>267.39999999999998</v>
      </c>
      <c r="AZ176">
        <f>$H$176*$AF$176</f>
        <v>267.39999999999998</v>
      </c>
    </row>
    <row r="177" spans="1:52" x14ac:dyDescent="0.25">
      <c r="A177">
        <v>220</v>
      </c>
      <c r="B177" t="s">
        <v>265</v>
      </c>
      <c r="C177" t="s">
        <v>318</v>
      </c>
      <c r="D177">
        <v>81</v>
      </c>
      <c r="E177">
        <v>334.53</v>
      </c>
      <c r="F177" t="s">
        <v>308</v>
      </c>
      <c r="G177">
        <v>4.13</v>
      </c>
      <c r="H177">
        <v>401.43</v>
      </c>
      <c r="I177" t="s">
        <v>319</v>
      </c>
      <c r="J177" t="s">
        <v>320</v>
      </c>
      <c r="K177" t="s">
        <v>505</v>
      </c>
      <c r="L177" t="s">
        <v>203</v>
      </c>
      <c r="M177" t="s">
        <v>265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0.25</v>
      </c>
      <c r="T177">
        <v>0.25</v>
      </c>
      <c r="U177">
        <v>0.25</v>
      </c>
      <c r="V177">
        <v>0.25</v>
      </c>
      <c r="W177">
        <v>0.5</v>
      </c>
      <c r="X177">
        <v>0.5</v>
      </c>
      <c r="Y177">
        <v>0.5</v>
      </c>
      <c r="Z177">
        <v>0.5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265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100.3575</v>
      </c>
      <c r="AN177">
        <f>$H$177*$T$177</f>
        <v>100.3575</v>
      </c>
      <c r="AO177">
        <f>$H$177*$U$177</f>
        <v>100.3575</v>
      </c>
      <c r="AP177">
        <f>$H$177*$V$177</f>
        <v>100.3575</v>
      </c>
      <c r="AQ177">
        <f>$H$177*$W$177</f>
        <v>200.715</v>
      </c>
      <c r="AR177">
        <f>$H$177*$X$177</f>
        <v>200.715</v>
      </c>
      <c r="AS177">
        <f>$H$177*$Y$177</f>
        <v>200.715</v>
      </c>
      <c r="AT177">
        <f>$H$177*$Z$177</f>
        <v>200.715</v>
      </c>
      <c r="AU177">
        <f>$H$177*$AA$177</f>
        <v>401.43</v>
      </c>
      <c r="AV177">
        <f>$H$177*$AB$177</f>
        <v>401.43</v>
      </c>
      <c r="AW177">
        <f>$H$177*$AC$177</f>
        <v>401.43</v>
      </c>
      <c r="AX177">
        <f>$H$177*$AD$177</f>
        <v>401.43</v>
      </c>
      <c r="AY177">
        <f>$H$177*$AE$177</f>
        <v>401.43</v>
      </c>
      <c r="AZ177">
        <f>$H$177*$AF$177</f>
        <v>401.43</v>
      </c>
    </row>
    <row r="178" spans="1:52" x14ac:dyDescent="0.25">
      <c r="A178">
        <v>221</v>
      </c>
      <c r="B178" t="s">
        <v>265</v>
      </c>
      <c r="C178" t="s">
        <v>424</v>
      </c>
      <c r="D178">
        <v>81</v>
      </c>
      <c r="E178">
        <v>86.67</v>
      </c>
      <c r="F178" t="s">
        <v>308</v>
      </c>
      <c r="G178">
        <v>1.07</v>
      </c>
      <c r="H178">
        <v>104.01</v>
      </c>
      <c r="I178" t="s">
        <v>289</v>
      </c>
      <c r="J178" t="s">
        <v>425</v>
      </c>
      <c r="K178" t="s">
        <v>555</v>
      </c>
      <c r="L178" t="s">
        <v>203</v>
      </c>
      <c r="M178" t="s">
        <v>265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265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104.01</v>
      </c>
      <c r="AY178">
        <f>$H$178*$AE$178</f>
        <v>104.01</v>
      </c>
      <c r="AZ178">
        <f>$H$178*$AF$178</f>
        <v>104.01</v>
      </c>
    </row>
    <row r="179" spans="1:52" x14ac:dyDescent="0.25">
      <c r="A179">
        <v>222</v>
      </c>
      <c r="B179" t="s">
        <v>265</v>
      </c>
      <c r="C179" t="s">
        <v>430</v>
      </c>
      <c r="D179">
        <v>81</v>
      </c>
      <c r="E179">
        <v>91.53</v>
      </c>
      <c r="F179" t="s">
        <v>308</v>
      </c>
      <c r="G179">
        <v>1.1299999999999999</v>
      </c>
      <c r="H179">
        <v>109.83</v>
      </c>
      <c r="I179" t="s">
        <v>289</v>
      </c>
      <c r="J179" t="s">
        <v>431</v>
      </c>
      <c r="K179" t="s">
        <v>558</v>
      </c>
      <c r="L179" t="s">
        <v>203</v>
      </c>
      <c r="M179" t="s">
        <v>265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265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109.83</v>
      </c>
      <c r="AN179">
        <f>$H$179*$T$179</f>
        <v>109.83</v>
      </c>
      <c r="AO179">
        <f>$H$179*$U$179</f>
        <v>109.83</v>
      </c>
      <c r="AP179">
        <f>$H$179*$V$179</f>
        <v>109.83</v>
      </c>
      <c r="AQ179">
        <f>$H$179*$W$179</f>
        <v>109.83</v>
      </c>
      <c r="AR179">
        <f>$H$179*$X$179</f>
        <v>109.83</v>
      </c>
      <c r="AS179">
        <f>$H$179*$Y$179</f>
        <v>109.83</v>
      </c>
      <c r="AT179">
        <f>$H$179*$Z$179</f>
        <v>109.83</v>
      </c>
      <c r="AU179">
        <f>$H$179*$AA$179</f>
        <v>109.83</v>
      </c>
      <c r="AV179">
        <f>$H$179*$AB$179</f>
        <v>109.83</v>
      </c>
      <c r="AW179">
        <f>$H$179*$AC$179</f>
        <v>109.83</v>
      </c>
      <c r="AX179">
        <f>$H$179*$AD$179</f>
        <v>109.83</v>
      </c>
      <c r="AY179">
        <f>$H$179*$AE$179</f>
        <v>109.83</v>
      </c>
      <c r="AZ179">
        <f>$H$179*$AF$179</f>
        <v>109.83</v>
      </c>
    </row>
    <row r="180" spans="1:52" x14ac:dyDescent="0.25">
      <c r="A180">
        <v>223</v>
      </c>
      <c r="B180" t="s">
        <v>265</v>
      </c>
      <c r="C180" t="s">
        <v>432</v>
      </c>
      <c r="D180">
        <v>22.25</v>
      </c>
      <c r="E180">
        <v>364.9</v>
      </c>
      <c r="F180" t="s">
        <v>308</v>
      </c>
      <c r="G180">
        <v>16.399999999999999</v>
      </c>
      <c r="H180">
        <v>437.88</v>
      </c>
      <c r="I180" t="s">
        <v>433</v>
      </c>
      <c r="J180" t="s">
        <v>326</v>
      </c>
      <c r="K180" t="s">
        <v>559</v>
      </c>
      <c r="L180" t="s">
        <v>203</v>
      </c>
      <c r="M180" t="s">
        <v>265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437.88</v>
      </c>
      <c r="AQ180">
        <f>$H$180*$W$180</f>
        <v>437.88</v>
      </c>
      <c r="AR180">
        <f>$H$180*$X$180</f>
        <v>437.88</v>
      </c>
      <c r="AS180">
        <f>$H$180*$Y$180</f>
        <v>437.88</v>
      </c>
      <c r="AT180">
        <f>$H$180*$Z$180</f>
        <v>437.88</v>
      </c>
      <c r="AU180">
        <f>$H$180*$AA$180</f>
        <v>437.88</v>
      </c>
      <c r="AV180">
        <f>$H$180*$AB$180</f>
        <v>437.88</v>
      </c>
      <c r="AW180">
        <f>$H$180*$AC$180</f>
        <v>437.88</v>
      </c>
      <c r="AX180">
        <f>$H$180*$AD$180</f>
        <v>437.88</v>
      </c>
      <c r="AY180">
        <f>$H$180*$AE$180</f>
        <v>437.88</v>
      </c>
      <c r="AZ180">
        <f>$H$180*$AF$180</f>
        <v>437.88</v>
      </c>
    </row>
    <row r="181" spans="1:52" x14ac:dyDescent="0.25">
      <c r="A181">
        <v>224</v>
      </c>
      <c r="B181" t="s">
        <v>265</v>
      </c>
      <c r="C181" t="s">
        <v>434</v>
      </c>
      <c r="D181">
        <v>44.5</v>
      </c>
      <c r="E181">
        <v>190.02</v>
      </c>
      <c r="F181" t="s">
        <v>308</v>
      </c>
      <c r="G181">
        <v>4.2699999999999996</v>
      </c>
      <c r="H181">
        <v>228.02</v>
      </c>
      <c r="I181" t="s">
        <v>435</v>
      </c>
      <c r="J181" t="s">
        <v>436</v>
      </c>
      <c r="K181" t="s">
        <v>560</v>
      </c>
      <c r="L181" t="s">
        <v>203</v>
      </c>
      <c r="M181" t="s">
        <v>265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228.02</v>
      </c>
      <c r="AN181">
        <f>$H$181*$T$181</f>
        <v>228.02</v>
      </c>
      <c r="AO181">
        <f>$H$181*$U$181</f>
        <v>228.02</v>
      </c>
      <c r="AP181">
        <f>$H$181*$V$181</f>
        <v>228.02</v>
      </c>
      <c r="AQ181">
        <f>$H$181*$W$181</f>
        <v>228.02</v>
      </c>
      <c r="AR181">
        <f>$H$181*$X$181</f>
        <v>228.02</v>
      </c>
      <c r="AS181">
        <f>$H$181*$Y$181</f>
        <v>228.02</v>
      </c>
      <c r="AT181">
        <f>$H$181*$Z$181</f>
        <v>228.02</v>
      </c>
      <c r="AU181">
        <f>$H$181*$AA$181</f>
        <v>228.02</v>
      </c>
      <c r="AV181">
        <f>$H$181*$AB$181</f>
        <v>228.02</v>
      </c>
      <c r="AW181">
        <f>$H$181*$AC$181</f>
        <v>228.02</v>
      </c>
      <c r="AX181">
        <f>$H$181*$AD$181</f>
        <v>228.02</v>
      </c>
      <c r="AY181">
        <f>$H$181*$AE$181</f>
        <v>228.02</v>
      </c>
      <c r="AZ181">
        <f>$H$181*$AF$181</f>
        <v>228.02</v>
      </c>
    </row>
    <row r="182" spans="1:52" x14ac:dyDescent="0.25">
      <c r="A182">
        <v>225</v>
      </c>
      <c r="B182" t="s">
        <v>265</v>
      </c>
      <c r="C182" t="s">
        <v>437</v>
      </c>
      <c r="D182">
        <v>44.5</v>
      </c>
      <c r="E182">
        <v>478.38</v>
      </c>
      <c r="F182" t="s">
        <v>308</v>
      </c>
      <c r="G182">
        <v>10.75</v>
      </c>
      <c r="H182">
        <v>574.05999999999995</v>
      </c>
      <c r="I182" t="s">
        <v>435</v>
      </c>
      <c r="J182" t="s">
        <v>326</v>
      </c>
      <c r="K182" t="s">
        <v>561</v>
      </c>
      <c r="L182" t="s">
        <v>203</v>
      </c>
      <c r="M182" t="s">
        <v>265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265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574.05999999999995</v>
      </c>
      <c r="AN182">
        <f>$H$182*$T$182</f>
        <v>574.05999999999995</v>
      </c>
      <c r="AO182">
        <f>$H$182*$U$182</f>
        <v>574.05999999999995</v>
      </c>
      <c r="AP182">
        <f>$H$182*$V$182</f>
        <v>574.05999999999995</v>
      </c>
      <c r="AQ182">
        <f>$H$182*$W$182</f>
        <v>574.05999999999995</v>
      </c>
      <c r="AR182">
        <f>$H$182*$X$182</f>
        <v>574.05999999999995</v>
      </c>
      <c r="AS182">
        <f>$H$182*$Y$182</f>
        <v>574.05999999999995</v>
      </c>
      <c r="AT182">
        <f>$H$182*$Z$182</f>
        <v>574.05999999999995</v>
      </c>
      <c r="AU182">
        <f>$H$182*$AA$182</f>
        <v>574.05999999999995</v>
      </c>
      <c r="AV182">
        <f>$H$182*$AB$182</f>
        <v>574.05999999999995</v>
      </c>
      <c r="AW182">
        <f>$H$182*$AC$182</f>
        <v>574.05999999999995</v>
      </c>
      <c r="AX182">
        <f>$H$182*$AD$182</f>
        <v>574.05999999999995</v>
      </c>
      <c r="AY182">
        <f>$H$182*$AE$182</f>
        <v>574.05999999999995</v>
      </c>
      <c r="AZ182">
        <f>$H$182*$AF$182</f>
        <v>574.05999999999995</v>
      </c>
    </row>
    <row r="183" spans="1:52" x14ac:dyDescent="0.25">
      <c r="A183">
        <v>226</v>
      </c>
      <c r="B183" t="s">
        <v>265</v>
      </c>
      <c r="C183" t="s">
        <v>438</v>
      </c>
      <c r="D183">
        <v>23.29</v>
      </c>
      <c r="E183">
        <v>20.260000000000002</v>
      </c>
      <c r="F183" t="s">
        <v>308</v>
      </c>
      <c r="G183">
        <v>0.87</v>
      </c>
      <c r="H183">
        <v>24.32</v>
      </c>
      <c r="I183" t="s">
        <v>331</v>
      </c>
      <c r="J183" t="s">
        <v>439</v>
      </c>
      <c r="K183" t="s">
        <v>562</v>
      </c>
      <c r="L183" t="s">
        <v>203</v>
      </c>
      <c r="M183" t="s">
        <v>265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265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24.32</v>
      </c>
      <c r="AN183">
        <f>$H$183*$T$183</f>
        <v>24.32</v>
      </c>
      <c r="AO183">
        <f>$H$183*$U$183</f>
        <v>24.32</v>
      </c>
      <c r="AP183">
        <f>$H$183*$V$183</f>
        <v>24.32</v>
      </c>
      <c r="AQ183">
        <f>$H$183*$W$183</f>
        <v>24.32</v>
      </c>
      <c r="AR183">
        <f>$H$183*$X$183</f>
        <v>24.32</v>
      </c>
      <c r="AS183">
        <f>$H$183*$Y$183</f>
        <v>24.32</v>
      </c>
      <c r="AT183">
        <f>$H$183*$Z$183</f>
        <v>24.32</v>
      </c>
      <c r="AU183">
        <f>$H$183*$AA$183</f>
        <v>24.32</v>
      </c>
      <c r="AV183">
        <f>$H$183*$AB$183</f>
        <v>24.32</v>
      </c>
      <c r="AW183">
        <f>$H$183*$AC$183</f>
        <v>24.32</v>
      </c>
      <c r="AX183">
        <f>$H$183*$AD$183</f>
        <v>24.32</v>
      </c>
      <c r="AY183">
        <f>$H$183*$AE$183</f>
        <v>24.32</v>
      </c>
      <c r="AZ183">
        <f>$H$183*$AF$183</f>
        <v>24.32</v>
      </c>
    </row>
    <row r="184" spans="1:52" x14ac:dyDescent="0.25">
      <c r="A184">
        <v>227</v>
      </c>
      <c r="B184" t="s">
        <v>265</v>
      </c>
      <c r="C184" t="s">
        <v>440</v>
      </c>
      <c r="D184">
        <v>23.29</v>
      </c>
      <c r="E184">
        <v>164.66</v>
      </c>
      <c r="F184" t="s">
        <v>308</v>
      </c>
      <c r="G184">
        <v>7.07</v>
      </c>
      <c r="H184">
        <v>197.6</v>
      </c>
      <c r="I184" t="s">
        <v>331</v>
      </c>
      <c r="J184" t="s">
        <v>326</v>
      </c>
      <c r="K184" t="s">
        <v>563</v>
      </c>
      <c r="L184" t="s">
        <v>203</v>
      </c>
      <c r="M184" t="s">
        <v>265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265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197.6</v>
      </c>
      <c r="AN184">
        <f>$H$184*$T$184</f>
        <v>197.6</v>
      </c>
      <c r="AO184">
        <f>$H$184*$U$184</f>
        <v>197.6</v>
      </c>
      <c r="AP184">
        <f>$H$184*$V$184</f>
        <v>197.6</v>
      </c>
      <c r="AQ184">
        <f>$H$184*$W$184</f>
        <v>197.6</v>
      </c>
      <c r="AR184">
        <f>$H$184*$X$184</f>
        <v>197.6</v>
      </c>
      <c r="AS184">
        <f>$H$184*$Y$184</f>
        <v>197.6</v>
      </c>
      <c r="AT184">
        <f>$H$184*$Z$184</f>
        <v>197.6</v>
      </c>
      <c r="AU184">
        <f>$H$184*$AA$184</f>
        <v>197.6</v>
      </c>
      <c r="AV184">
        <f>$H$184*$AB$184</f>
        <v>197.6</v>
      </c>
      <c r="AW184">
        <f>$H$184*$AC$184</f>
        <v>197.6</v>
      </c>
      <c r="AX184">
        <f>$H$184*$AD$184</f>
        <v>197.6</v>
      </c>
      <c r="AY184">
        <f>$H$184*$AE$184</f>
        <v>197.6</v>
      </c>
      <c r="AZ184">
        <f>$H$184*$AF$184</f>
        <v>197.6</v>
      </c>
    </row>
    <row r="185" spans="1:52" x14ac:dyDescent="0.25">
      <c r="A185">
        <v>228</v>
      </c>
      <c r="B185" t="s">
        <v>7</v>
      </c>
      <c r="C185" t="s">
        <v>450</v>
      </c>
      <c r="D185">
        <v>1</v>
      </c>
      <c r="E185">
        <v>37.880000000000003</v>
      </c>
      <c r="F185" t="s">
        <v>294</v>
      </c>
      <c r="G185">
        <v>37.880000000000003</v>
      </c>
      <c r="H185">
        <v>45.46</v>
      </c>
      <c r="I185" t="s">
        <v>296</v>
      </c>
      <c r="J185" t="s">
        <v>451</v>
      </c>
      <c r="K185" t="s">
        <v>570</v>
      </c>
      <c r="L185" t="s">
        <v>203</v>
      </c>
      <c r="M185" t="s">
        <v>7</v>
      </c>
      <c r="N185" t="s">
        <v>12</v>
      </c>
      <c r="O185" t="s">
        <v>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7</v>
      </c>
      <c r="AH185" t="s">
        <v>12</v>
      </c>
      <c r="AI185" t="s">
        <v>7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45.46</v>
      </c>
      <c r="AQ185">
        <f>$H$185*$W$185</f>
        <v>45.46</v>
      </c>
      <c r="AR185">
        <f>$H$185*$X$185</f>
        <v>45.46</v>
      </c>
      <c r="AS185">
        <f>$H$185*$Y$185</f>
        <v>45.46</v>
      </c>
      <c r="AT185">
        <f>$H$185*$Z$185</f>
        <v>45.46</v>
      </c>
      <c r="AU185">
        <f>$H$185*$AA$185</f>
        <v>45.46</v>
      </c>
      <c r="AV185">
        <f>$H$185*$AB$185</f>
        <v>45.46</v>
      </c>
      <c r="AW185">
        <f>$H$185*$AC$185</f>
        <v>45.46</v>
      </c>
      <c r="AX185">
        <f>$H$185*$AD$185</f>
        <v>45.46</v>
      </c>
      <c r="AY185">
        <f>$H$185*$AE$185</f>
        <v>45.46</v>
      </c>
      <c r="AZ185">
        <f>$H$185*$AF$185</f>
        <v>45.46</v>
      </c>
    </row>
    <row r="186" spans="1:52" x14ac:dyDescent="0.25">
      <c r="A186">
        <v>229</v>
      </c>
      <c r="B186" t="s">
        <v>7</v>
      </c>
      <c r="C186" t="s">
        <v>408</v>
      </c>
      <c r="D186">
        <v>2</v>
      </c>
      <c r="E186">
        <v>74.680000000000007</v>
      </c>
      <c r="F186" t="s">
        <v>294</v>
      </c>
      <c r="G186">
        <v>37.340000000000003</v>
      </c>
      <c r="H186">
        <v>89.62</v>
      </c>
      <c r="I186" t="s">
        <v>296</v>
      </c>
      <c r="J186" t="s">
        <v>409</v>
      </c>
      <c r="K186" t="s">
        <v>548</v>
      </c>
      <c r="L186" t="s">
        <v>203</v>
      </c>
      <c r="M186" t="s">
        <v>7</v>
      </c>
      <c r="N186" t="s">
        <v>12</v>
      </c>
      <c r="O186" t="s">
        <v>7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0.6</v>
      </c>
      <c r="Y186">
        <v>0.6</v>
      </c>
      <c r="Z186">
        <v>0.6</v>
      </c>
      <c r="AA186">
        <v>0.6</v>
      </c>
      <c r="AB186">
        <v>0.6</v>
      </c>
      <c r="AC186">
        <v>0.6</v>
      </c>
      <c r="AD186">
        <v>1</v>
      </c>
      <c r="AE186">
        <v>1</v>
      </c>
      <c r="AF186">
        <v>1</v>
      </c>
      <c r="AG186" t="s">
        <v>7</v>
      </c>
      <c r="AH186" t="s">
        <v>12</v>
      </c>
      <c r="AI186" t="s">
        <v>7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53.771999999999998</v>
      </c>
      <c r="AS186">
        <f>$H$186*$Y$186</f>
        <v>53.771999999999998</v>
      </c>
      <c r="AT186">
        <f>$H$186*$Z$186</f>
        <v>53.771999999999998</v>
      </c>
      <c r="AU186">
        <f>$H$186*$AA$186</f>
        <v>53.771999999999998</v>
      </c>
      <c r="AV186">
        <f>$H$186*$AB$186</f>
        <v>53.771999999999998</v>
      </c>
      <c r="AW186">
        <f>$H$186*$AC$186</f>
        <v>53.771999999999998</v>
      </c>
      <c r="AX186">
        <f>$H$186*$AD$186</f>
        <v>89.62</v>
      </c>
      <c r="AY186">
        <f>$H$186*$AE$186</f>
        <v>89.62</v>
      </c>
      <c r="AZ186">
        <f>$H$186*$AF$186</f>
        <v>89.62</v>
      </c>
    </row>
    <row r="187" spans="1:52" x14ac:dyDescent="0.25">
      <c r="A187">
        <v>230</v>
      </c>
      <c r="B187" t="s">
        <v>7</v>
      </c>
      <c r="C187" t="s">
        <v>386</v>
      </c>
      <c r="D187">
        <v>4</v>
      </c>
      <c r="E187">
        <v>64.56</v>
      </c>
      <c r="F187" t="s">
        <v>294</v>
      </c>
      <c r="G187">
        <v>16.14</v>
      </c>
      <c r="H187">
        <v>77.48</v>
      </c>
      <c r="I187" t="s">
        <v>296</v>
      </c>
      <c r="J187" t="s">
        <v>387</v>
      </c>
      <c r="K187" t="s">
        <v>537</v>
      </c>
      <c r="L187" t="s">
        <v>203</v>
      </c>
      <c r="M187" t="s">
        <v>7</v>
      </c>
      <c r="N187" t="s">
        <v>12</v>
      </c>
      <c r="O187" t="s">
        <v>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7</v>
      </c>
      <c r="AH187" t="s">
        <v>12</v>
      </c>
      <c r="AI187" t="s">
        <v>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77.48</v>
      </c>
      <c r="AS187">
        <f>$H$187*$Y$187</f>
        <v>77.48</v>
      </c>
      <c r="AT187">
        <f>$H$187*$Z$187</f>
        <v>77.48</v>
      </c>
      <c r="AU187">
        <f>$H$187*$AA$187</f>
        <v>77.48</v>
      </c>
      <c r="AV187">
        <f>$H$187*$AB$187</f>
        <v>77.48</v>
      </c>
      <c r="AW187">
        <f>$H$187*$AC$187</f>
        <v>77.48</v>
      </c>
      <c r="AX187">
        <f>$H$187*$AD$187</f>
        <v>77.48</v>
      </c>
      <c r="AY187">
        <f>$H$187*$AE$187</f>
        <v>77.48</v>
      </c>
      <c r="AZ187">
        <f>$H$187*$AF$187</f>
        <v>77.48</v>
      </c>
    </row>
    <row r="188" spans="1:52" x14ac:dyDescent="0.25">
      <c r="A188">
        <v>231</v>
      </c>
      <c r="B188" t="s">
        <v>7</v>
      </c>
      <c r="C188" t="s">
        <v>386</v>
      </c>
      <c r="D188">
        <v>2</v>
      </c>
      <c r="E188">
        <v>32.28</v>
      </c>
      <c r="F188" t="s">
        <v>294</v>
      </c>
      <c r="G188">
        <v>16.14</v>
      </c>
      <c r="H188">
        <v>38.74</v>
      </c>
      <c r="I188" t="s">
        <v>296</v>
      </c>
      <c r="J188" t="s">
        <v>387</v>
      </c>
      <c r="K188" t="s">
        <v>537</v>
      </c>
      <c r="L188" t="s">
        <v>203</v>
      </c>
      <c r="M188" t="s">
        <v>7</v>
      </c>
      <c r="N188" t="s">
        <v>12</v>
      </c>
      <c r="O188" t="s">
        <v>7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7</v>
      </c>
      <c r="AH188" t="s">
        <v>12</v>
      </c>
      <c r="AI188" t="s">
        <v>7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38.74</v>
      </c>
      <c r="AS188">
        <f>$H$188*$Y$188</f>
        <v>38.74</v>
      </c>
      <c r="AT188">
        <f>$H$188*$Z$188</f>
        <v>38.74</v>
      </c>
      <c r="AU188">
        <f>$H$188*$AA$188</f>
        <v>38.74</v>
      </c>
      <c r="AV188">
        <f>$H$188*$AB$188</f>
        <v>38.74</v>
      </c>
      <c r="AW188">
        <f>$H$188*$AC$188</f>
        <v>38.74</v>
      </c>
      <c r="AX188">
        <f>$H$188*$AD$188</f>
        <v>38.74</v>
      </c>
      <c r="AY188">
        <f>$H$188*$AE$188</f>
        <v>38.74</v>
      </c>
      <c r="AZ188">
        <f>$H$188*$AF$188</f>
        <v>38.74</v>
      </c>
    </row>
    <row r="189" spans="1:52" x14ac:dyDescent="0.25">
      <c r="A189">
        <v>232</v>
      </c>
      <c r="B189" t="s">
        <v>7</v>
      </c>
      <c r="C189" t="s">
        <v>390</v>
      </c>
      <c r="D189">
        <v>1</v>
      </c>
      <c r="E189">
        <v>659.35</v>
      </c>
      <c r="F189" t="s">
        <v>294</v>
      </c>
      <c r="G189">
        <v>659.35</v>
      </c>
      <c r="H189">
        <v>791.23</v>
      </c>
      <c r="I189" t="s">
        <v>309</v>
      </c>
      <c r="J189" t="s">
        <v>391</v>
      </c>
      <c r="K189" t="s">
        <v>539</v>
      </c>
      <c r="L189" t="s">
        <v>203</v>
      </c>
      <c r="M189" t="s">
        <v>7</v>
      </c>
      <c r="N189" t="s">
        <v>12</v>
      </c>
      <c r="O189" t="s">
        <v>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7</v>
      </c>
      <c r="AH189" t="s">
        <v>12</v>
      </c>
      <c r="AI189" t="s">
        <v>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791.23</v>
      </c>
      <c r="AV189">
        <f>$H$189*$AB$189</f>
        <v>791.23</v>
      </c>
      <c r="AW189">
        <f>$H$189*$AC$189</f>
        <v>791.23</v>
      </c>
      <c r="AX189">
        <f>$H$189*$AD$189</f>
        <v>791.23</v>
      </c>
      <c r="AY189">
        <f>$H$189*$AE$189</f>
        <v>791.23</v>
      </c>
      <c r="AZ189">
        <f>$H$189*$AF$189</f>
        <v>791.23</v>
      </c>
    </row>
    <row r="190" spans="1:52" x14ac:dyDescent="0.25">
      <c r="A190">
        <v>233</v>
      </c>
      <c r="B190" t="s">
        <v>7</v>
      </c>
      <c r="C190" t="s">
        <v>452</v>
      </c>
      <c r="D190">
        <v>1</v>
      </c>
      <c r="E190">
        <v>277.97000000000003</v>
      </c>
      <c r="F190" t="s">
        <v>294</v>
      </c>
      <c r="G190">
        <v>277.97000000000003</v>
      </c>
      <c r="H190">
        <v>333.57</v>
      </c>
      <c r="I190" t="s">
        <v>309</v>
      </c>
      <c r="J190" t="s">
        <v>453</v>
      </c>
      <c r="K190" t="s">
        <v>571</v>
      </c>
      <c r="L190" t="s">
        <v>203</v>
      </c>
      <c r="M190" t="s">
        <v>7</v>
      </c>
      <c r="N190" t="s">
        <v>12</v>
      </c>
      <c r="O190" t="s">
        <v>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7</v>
      </c>
      <c r="AH190" t="s">
        <v>12</v>
      </c>
      <c r="AI190" t="s">
        <v>7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333.57</v>
      </c>
      <c r="AV190">
        <f>$H$190*$AB$190</f>
        <v>333.57</v>
      </c>
      <c r="AW190">
        <f>$H$190*$AC$190</f>
        <v>333.57</v>
      </c>
      <c r="AX190">
        <f>$H$190*$AD$190</f>
        <v>333.57</v>
      </c>
      <c r="AY190">
        <f>$H$190*$AE$190</f>
        <v>333.57</v>
      </c>
      <c r="AZ190">
        <f>$H$190*$AF$190</f>
        <v>333.57</v>
      </c>
    </row>
    <row r="191" spans="1:52" x14ac:dyDescent="0.25">
      <c r="A191">
        <v>234</v>
      </c>
      <c r="B191" t="s">
        <v>7</v>
      </c>
      <c r="C191" t="s">
        <v>454</v>
      </c>
      <c r="D191">
        <v>1</v>
      </c>
      <c r="E191">
        <v>422.89</v>
      </c>
      <c r="F191" t="s">
        <v>294</v>
      </c>
      <c r="G191">
        <v>422.89</v>
      </c>
      <c r="H191">
        <v>507.47</v>
      </c>
      <c r="I191" t="s">
        <v>309</v>
      </c>
      <c r="J191" t="s">
        <v>455</v>
      </c>
      <c r="K191" t="s">
        <v>572</v>
      </c>
      <c r="L191" t="s">
        <v>203</v>
      </c>
      <c r="M191" t="s">
        <v>7</v>
      </c>
      <c r="N191" t="s">
        <v>12</v>
      </c>
      <c r="O191" t="s">
        <v>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7</v>
      </c>
      <c r="AH191" t="s">
        <v>12</v>
      </c>
      <c r="AI191" t="s">
        <v>7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507.47</v>
      </c>
      <c r="AV191">
        <f>$H$191*$AB$191</f>
        <v>507.47</v>
      </c>
      <c r="AW191">
        <f>$H$191*$AC$191</f>
        <v>507.47</v>
      </c>
      <c r="AX191">
        <f>$H$191*$AD$191</f>
        <v>507.47</v>
      </c>
      <c r="AY191">
        <f>$H$191*$AE$191</f>
        <v>507.47</v>
      </c>
      <c r="AZ191">
        <f>$H$191*$AF$191</f>
        <v>507.47</v>
      </c>
    </row>
    <row r="192" spans="1:52" x14ac:dyDescent="0.25">
      <c r="A192">
        <v>235</v>
      </c>
      <c r="B192" t="s">
        <v>7</v>
      </c>
      <c r="C192" t="s">
        <v>456</v>
      </c>
      <c r="D192">
        <v>1</v>
      </c>
      <c r="E192">
        <v>126.55</v>
      </c>
      <c r="F192" t="s">
        <v>294</v>
      </c>
      <c r="G192">
        <v>126.55</v>
      </c>
      <c r="H192">
        <v>151.87</v>
      </c>
      <c r="I192" t="s">
        <v>299</v>
      </c>
      <c r="J192" t="s">
        <v>457</v>
      </c>
      <c r="K192" t="s">
        <v>573</v>
      </c>
      <c r="L192" t="s">
        <v>203</v>
      </c>
      <c r="M192" t="s">
        <v>7</v>
      </c>
      <c r="N192" t="s">
        <v>12</v>
      </c>
      <c r="O192" t="s">
        <v>7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7</v>
      </c>
      <c r="AH192" t="s">
        <v>12</v>
      </c>
      <c r="AI192" t="s">
        <v>7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151.87</v>
      </c>
      <c r="AY192">
        <f>$H$192*$AE$192</f>
        <v>151.87</v>
      </c>
      <c r="AZ192">
        <f>$H$192*$AF$192</f>
        <v>151.87</v>
      </c>
    </row>
    <row r="193" spans="1:52" x14ac:dyDescent="0.25">
      <c r="A193">
        <v>236</v>
      </c>
      <c r="B193" t="s">
        <v>7</v>
      </c>
      <c r="C193" t="s">
        <v>458</v>
      </c>
      <c r="D193">
        <v>6</v>
      </c>
      <c r="E193">
        <v>1534.32</v>
      </c>
      <c r="F193" t="s">
        <v>288</v>
      </c>
      <c r="G193">
        <v>255.72</v>
      </c>
      <c r="H193">
        <v>1841.18</v>
      </c>
      <c r="I193" t="s">
        <v>411</v>
      </c>
      <c r="J193" t="s">
        <v>459</v>
      </c>
      <c r="K193" t="s">
        <v>574</v>
      </c>
      <c r="L193" t="s">
        <v>203</v>
      </c>
      <c r="M193" t="s">
        <v>7</v>
      </c>
      <c r="N193" t="s">
        <v>12</v>
      </c>
      <c r="O193" t="s">
        <v>7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7</v>
      </c>
      <c r="AH193" t="s">
        <v>12</v>
      </c>
      <c r="AI193" t="s">
        <v>7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1841.18</v>
      </c>
      <c r="AO193">
        <f>$H$193*$U$193</f>
        <v>1841.18</v>
      </c>
      <c r="AP193">
        <f>$H$193*$V$193</f>
        <v>1841.18</v>
      </c>
      <c r="AQ193">
        <f>$H$193*$W$193</f>
        <v>1841.18</v>
      </c>
      <c r="AR193">
        <f>$H$193*$X$193</f>
        <v>1841.18</v>
      </c>
      <c r="AS193">
        <f>$H$193*$Y$193</f>
        <v>1841.18</v>
      </c>
      <c r="AT193">
        <f>$H$193*$Z$193</f>
        <v>1841.18</v>
      </c>
      <c r="AU193">
        <f>$H$193*$AA$193</f>
        <v>1841.18</v>
      </c>
      <c r="AV193">
        <f>$H$193*$AB$193</f>
        <v>1841.18</v>
      </c>
      <c r="AW193">
        <f>$H$193*$AC$193</f>
        <v>1841.18</v>
      </c>
      <c r="AX193">
        <f>$H$193*$AD$193</f>
        <v>1841.18</v>
      </c>
      <c r="AY193">
        <f>$H$193*$AE$193</f>
        <v>1841.18</v>
      </c>
      <c r="AZ193">
        <f>$H$193*$AF$193</f>
        <v>1841.18</v>
      </c>
    </row>
    <row r="194" spans="1:52" x14ac:dyDescent="0.25">
      <c r="A194">
        <v>237</v>
      </c>
      <c r="B194" t="s">
        <v>7</v>
      </c>
      <c r="C194" t="s">
        <v>460</v>
      </c>
      <c r="D194">
        <v>1</v>
      </c>
      <c r="E194">
        <v>73.290000000000006</v>
      </c>
      <c r="F194" t="s">
        <v>294</v>
      </c>
      <c r="G194">
        <v>73.290000000000006</v>
      </c>
      <c r="H194">
        <v>87.95</v>
      </c>
      <c r="I194" t="s">
        <v>461</v>
      </c>
      <c r="J194" t="s">
        <v>462</v>
      </c>
      <c r="K194" t="s">
        <v>575</v>
      </c>
      <c r="L194" t="s">
        <v>203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87.95</v>
      </c>
      <c r="AQ194">
        <f>$H$194*$W$194</f>
        <v>87.95</v>
      </c>
      <c r="AR194">
        <f>$H$194*$X$194</f>
        <v>87.95</v>
      </c>
      <c r="AS194">
        <f>$H$194*$Y$194</f>
        <v>87.95</v>
      </c>
      <c r="AT194">
        <f>$H$194*$Z$194</f>
        <v>87.95</v>
      </c>
      <c r="AU194">
        <f>$H$194*$AA$194</f>
        <v>87.95</v>
      </c>
      <c r="AV194">
        <f>$H$194*$AB$194</f>
        <v>87.95</v>
      </c>
      <c r="AW194">
        <f>$H$194*$AC$194</f>
        <v>87.95</v>
      </c>
      <c r="AX194">
        <f>$H$194*$AD$194</f>
        <v>87.95</v>
      </c>
      <c r="AY194">
        <f>$H$194*$AE$194</f>
        <v>87.95</v>
      </c>
      <c r="AZ194">
        <f>$H$194*$AF$194</f>
        <v>87.95</v>
      </c>
    </row>
    <row r="195" spans="1:52" x14ac:dyDescent="0.25">
      <c r="A195">
        <v>238</v>
      </c>
      <c r="B195" t="s">
        <v>7</v>
      </c>
      <c r="C195" t="s">
        <v>463</v>
      </c>
      <c r="D195">
        <v>28</v>
      </c>
      <c r="E195">
        <v>304.08</v>
      </c>
      <c r="F195" t="s">
        <v>294</v>
      </c>
      <c r="G195">
        <v>10.86</v>
      </c>
      <c r="H195">
        <v>364.9</v>
      </c>
      <c r="I195" t="s">
        <v>411</v>
      </c>
      <c r="J195" t="s">
        <v>464</v>
      </c>
      <c r="K195" t="s">
        <v>576</v>
      </c>
      <c r="L195" t="s">
        <v>203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364.9</v>
      </c>
      <c r="AU195">
        <f>$H$195*$AA$195</f>
        <v>364.9</v>
      </c>
      <c r="AV195">
        <f>$H$195*$AB$195</f>
        <v>364.9</v>
      </c>
      <c r="AW195">
        <f>$H$195*$AC$195</f>
        <v>364.9</v>
      </c>
      <c r="AX195">
        <f>$H$195*$AD$195</f>
        <v>364.9</v>
      </c>
      <c r="AY195">
        <f>$H$195*$AE$195</f>
        <v>364.9</v>
      </c>
      <c r="AZ195">
        <f>$H$195*$AF$195</f>
        <v>364.9</v>
      </c>
    </row>
    <row r="196" spans="1:52" x14ac:dyDescent="0.25">
      <c r="A196">
        <v>239</v>
      </c>
      <c r="B196" t="s">
        <v>7</v>
      </c>
      <c r="C196" t="s">
        <v>465</v>
      </c>
      <c r="D196">
        <v>14</v>
      </c>
      <c r="E196">
        <v>3132.78</v>
      </c>
      <c r="F196" t="s">
        <v>288</v>
      </c>
      <c r="G196">
        <v>223.77</v>
      </c>
      <c r="H196">
        <v>3759.34</v>
      </c>
      <c r="I196" t="s">
        <v>411</v>
      </c>
      <c r="J196" t="s">
        <v>466</v>
      </c>
      <c r="K196" t="s">
        <v>577</v>
      </c>
      <c r="L196" t="s">
        <v>203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3759.34</v>
      </c>
      <c r="AW196">
        <f>$H$196*$AC$196</f>
        <v>3759.34</v>
      </c>
      <c r="AX196">
        <f>$H$196*$AD$196</f>
        <v>3759.34</v>
      </c>
      <c r="AY196">
        <f>$H$196*$AE$196</f>
        <v>3759.34</v>
      </c>
      <c r="AZ196">
        <f>$H$196*$AF$196</f>
        <v>3759.34</v>
      </c>
    </row>
    <row r="197" spans="1:52" x14ac:dyDescent="0.25">
      <c r="A197">
        <v>240</v>
      </c>
      <c r="B197" t="s">
        <v>7</v>
      </c>
      <c r="C197" t="s">
        <v>467</v>
      </c>
      <c r="D197">
        <v>16</v>
      </c>
      <c r="E197">
        <v>5064.4799999999996</v>
      </c>
      <c r="F197" t="s">
        <v>288</v>
      </c>
      <c r="G197">
        <v>316.52999999999997</v>
      </c>
      <c r="H197">
        <v>6077.38</v>
      </c>
      <c r="I197" t="s">
        <v>411</v>
      </c>
      <c r="J197" t="s">
        <v>468</v>
      </c>
      <c r="K197" t="s">
        <v>578</v>
      </c>
      <c r="L197" t="s">
        <v>203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6077.38</v>
      </c>
      <c r="AO197">
        <f>$H$197*$U$197</f>
        <v>6077.38</v>
      </c>
      <c r="AP197">
        <f>$H$197*$V$197</f>
        <v>6077.38</v>
      </c>
      <c r="AQ197">
        <f>$H$197*$W$197</f>
        <v>6077.38</v>
      </c>
      <c r="AR197">
        <f>$H$197*$X$197</f>
        <v>6077.38</v>
      </c>
      <c r="AS197">
        <f>$H$197*$Y$197</f>
        <v>6077.38</v>
      </c>
      <c r="AT197">
        <f>$H$197*$Z$197</f>
        <v>6077.38</v>
      </c>
      <c r="AU197">
        <f>$H$197*$AA$197</f>
        <v>6077.38</v>
      </c>
      <c r="AV197">
        <f>$H$197*$AB$197</f>
        <v>6077.38</v>
      </c>
      <c r="AW197">
        <f>$H$197*$AC$197</f>
        <v>6077.38</v>
      </c>
      <c r="AX197">
        <f>$H$197*$AD$197</f>
        <v>6077.38</v>
      </c>
      <c r="AY197">
        <f>$H$197*$AE$197</f>
        <v>6077.38</v>
      </c>
      <c r="AZ197">
        <f>$H$197*$AF$197</f>
        <v>6077.38</v>
      </c>
    </row>
    <row r="198" spans="1:52" x14ac:dyDescent="0.25">
      <c r="A198">
        <v>241</v>
      </c>
      <c r="B198" t="s">
        <v>7</v>
      </c>
      <c r="C198" t="s">
        <v>469</v>
      </c>
      <c r="D198">
        <v>1</v>
      </c>
      <c r="E198">
        <v>543.9</v>
      </c>
      <c r="F198" t="s">
        <v>294</v>
      </c>
      <c r="G198">
        <v>543.9</v>
      </c>
      <c r="H198">
        <v>652.67999999999995</v>
      </c>
      <c r="I198" t="s">
        <v>461</v>
      </c>
      <c r="J198" t="s">
        <v>470</v>
      </c>
      <c r="K198" t="s">
        <v>579</v>
      </c>
      <c r="L198" t="s">
        <v>203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652.67999999999995</v>
      </c>
      <c r="AX198">
        <f>$H$198*$AD$198</f>
        <v>652.67999999999995</v>
      </c>
      <c r="AY198">
        <f>$H$198*$AE$198</f>
        <v>652.67999999999995</v>
      </c>
      <c r="AZ198">
        <f>$H$198*$AF$198</f>
        <v>652.67999999999995</v>
      </c>
    </row>
    <row r="199" spans="1:52" x14ac:dyDescent="0.25">
      <c r="A199">
        <v>242</v>
      </c>
      <c r="B199" t="s">
        <v>7</v>
      </c>
      <c r="C199" t="s">
        <v>413</v>
      </c>
      <c r="D199">
        <v>32</v>
      </c>
      <c r="E199">
        <v>3259.2</v>
      </c>
      <c r="F199" t="s">
        <v>308</v>
      </c>
      <c r="G199">
        <v>101.85</v>
      </c>
      <c r="H199">
        <v>3911.04</v>
      </c>
      <c r="I199" t="s">
        <v>411</v>
      </c>
      <c r="J199" t="s">
        <v>414</v>
      </c>
      <c r="K199" t="s">
        <v>550</v>
      </c>
      <c r="L199" t="s">
        <v>203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3911.04</v>
      </c>
      <c r="AU199">
        <f>$H$199*$AA$199</f>
        <v>3911.04</v>
      </c>
      <c r="AV199">
        <f>$H$199*$AB$199</f>
        <v>3911.04</v>
      </c>
      <c r="AW199">
        <f>$H$199*$AC$199</f>
        <v>3911.04</v>
      </c>
      <c r="AX199">
        <f>$H$199*$AD$199</f>
        <v>3911.04</v>
      </c>
      <c r="AY199">
        <f>$H$199*$AE$199</f>
        <v>3911.04</v>
      </c>
      <c r="AZ199">
        <f>$H$199*$AF$199</f>
        <v>3911.04</v>
      </c>
    </row>
    <row r="200" spans="1:52" x14ac:dyDescent="0.25">
      <c r="A200">
        <v>243</v>
      </c>
      <c r="B200" t="s">
        <v>7</v>
      </c>
      <c r="C200" t="s">
        <v>413</v>
      </c>
      <c r="D200">
        <v>12</v>
      </c>
      <c r="E200">
        <v>1222.2</v>
      </c>
      <c r="F200" t="s">
        <v>308</v>
      </c>
      <c r="G200">
        <v>101.85</v>
      </c>
      <c r="H200">
        <v>1466.64</v>
      </c>
      <c r="I200" t="s">
        <v>411</v>
      </c>
      <c r="J200" t="s">
        <v>414</v>
      </c>
      <c r="K200" t="s">
        <v>550</v>
      </c>
      <c r="L200" t="s">
        <v>203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1466.64</v>
      </c>
      <c r="AU200">
        <f>$H$200*$AA$200</f>
        <v>1466.64</v>
      </c>
      <c r="AV200">
        <f>$H$200*$AB$200</f>
        <v>1466.64</v>
      </c>
      <c r="AW200">
        <f>$H$200*$AC$200</f>
        <v>1466.64</v>
      </c>
      <c r="AX200">
        <f>$H$200*$AD$200</f>
        <v>1466.64</v>
      </c>
      <c r="AY200">
        <f>$H$200*$AE$200</f>
        <v>1466.64</v>
      </c>
      <c r="AZ200">
        <f>$H$200*$AF$200</f>
        <v>1466.64</v>
      </c>
    </row>
    <row r="201" spans="1:52" x14ac:dyDescent="0.25">
      <c r="A201">
        <v>244</v>
      </c>
      <c r="B201" t="s">
        <v>7</v>
      </c>
      <c r="C201" t="s">
        <v>471</v>
      </c>
      <c r="D201">
        <v>1</v>
      </c>
      <c r="E201">
        <v>88.24</v>
      </c>
      <c r="F201" t="s">
        <v>294</v>
      </c>
      <c r="G201">
        <v>88.24</v>
      </c>
      <c r="H201">
        <v>105.88</v>
      </c>
      <c r="I201" t="s">
        <v>296</v>
      </c>
      <c r="J201" t="s">
        <v>472</v>
      </c>
      <c r="K201" t="s">
        <v>580</v>
      </c>
      <c r="L201" t="s">
        <v>203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0.6</v>
      </c>
      <c r="Y201">
        <v>0.6</v>
      </c>
      <c r="Z201">
        <v>0.6</v>
      </c>
      <c r="AA201">
        <v>0.6</v>
      </c>
      <c r="AB201">
        <v>0.6</v>
      </c>
      <c r="AC201">
        <v>0.6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63.527999999999992</v>
      </c>
      <c r="AS201">
        <f>$H$201*$Y$201</f>
        <v>63.527999999999992</v>
      </c>
      <c r="AT201">
        <f>$H$201*$Z$201</f>
        <v>63.527999999999992</v>
      </c>
      <c r="AU201">
        <f>$H$201*$AA$201</f>
        <v>63.527999999999992</v>
      </c>
      <c r="AV201">
        <f>$H$201*$AB$201</f>
        <v>63.527999999999992</v>
      </c>
      <c r="AW201">
        <f>$H$201*$AC$201</f>
        <v>63.527999999999992</v>
      </c>
      <c r="AX201">
        <f>$H$201*$AD$201</f>
        <v>105.88</v>
      </c>
      <c r="AY201">
        <f>$H$201*$AE$201</f>
        <v>105.88</v>
      </c>
      <c r="AZ201">
        <f>$H$201*$AF$201</f>
        <v>105.88</v>
      </c>
    </row>
    <row r="202" spans="1:52" x14ac:dyDescent="0.25">
      <c r="A202">
        <v>245</v>
      </c>
      <c r="B202" t="s">
        <v>7</v>
      </c>
      <c r="C202" t="s">
        <v>471</v>
      </c>
      <c r="D202">
        <v>1</v>
      </c>
      <c r="E202">
        <v>88.24</v>
      </c>
      <c r="F202" t="s">
        <v>294</v>
      </c>
      <c r="G202">
        <v>88.24</v>
      </c>
      <c r="H202">
        <v>105.88</v>
      </c>
      <c r="I202" t="s">
        <v>296</v>
      </c>
      <c r="J202" t="s">
        <v>472</v>
      </c>
      <c r="K202" t="s">
        <v>580</v>
      </c>
      <c r="L202" t="s">
        <v>203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0.6</v>
      </c>
      <c r="Y202">
        <v>0.6</v>
      </c>
      <c r="Z202">
        <v>0.6</v>
      </c>
      <c r="AA202">
        <v>0.6</v>
      </c>
      <c r="AB202">
        <v>0.6</v>
      </c>
      <c r="AC202">
        <v>0.6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63.527999999999992</v>
      </c>
      <c r="AS202">
        <f>$H$202*$Y$202</f>
        <v>63.527999999999992</v>
      </c>
      <c r="AT202">
        <f>$H$202*$Z$202</f>
        <v>63.527999999999992</v>
      </c>
      <c r="AU202">
        <f>$H$202*$AA$202</f>
        <v>63.527999999999992</v>
      </c>
      <c r="AV202">
        <f>$H$202*$AB$202</f>
        <v>63.527999999999992</v>
      </c>
      <c r="AW202">
        <f>$H$202*$AC$202</f>
        <v>63.527999999999992</v>
      </c>
      <c r="AX202">
        <f>$H$202*$AD$202</f>
        <v>105.88</v>
      </c>
      <c r="AY202">
        <f>$H$202*$AE$202</f>
        <v>105.88</v>
      </c>
      <c r="AZ202">
        <f>$H$202*$AF$202</f>
        <v>105.88</v>
      </c>
    </row>
    <row r="203" spans="1:52" x14ac:dyDescent="0.25">
      <c r="A203">
        <v>246</v>
      </c>
      <c r="B203" t="s">
        <v>7</v>
      </c>
      <c r="C203" t="s">
        <v>473</v>
      </c>
      <c r="D203">
        <v>1</v>
      </c>
      <c r="E203">
        <v>221.95</v>
      </c>
      <c r="F203" t="s">
        <v>294</v>
      </c>
      <c r="G203">
        <v>221.95</v>
      </c>
      <c r="H203">
        <v>266.35000000000002</v>
      </c>
      <c r="I203" t="s">
        <v>296</v>
      </c>
      <c r="J203" t="s">
        <v>474</v>
      </c>
      <c r="K203" t="s">
        <v>581</v>
      </c>
      <c r="L203" t="s">
        <v>203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266.35000000000002</v>
      </c>
      <c r="AQ203">
        <f>$H$203*$W$203</f>
        <v>266.35000000000002</v>
      </c>
      <c r="AR203">
        <f>$H$203*$X$203</f>
        <v>266.35000000000002</v>
      </c>
      <c r="AS203">
        <f>$H$203*$Y$203</f>
        <v>266.35000000000002</v>
      </c>
      <c r="AT203">
        <f>$H$203*$Z$203</f>
        <v>266.35000000000002</v>
      </c>
      <c r="AU203">
        <f>$H$203*$AA$203</f>
        <v>266.35000000000002</v>
      </c>
      <c r="AV203">
        <f>$H$203*$AB$203</f>
        <v>266.35000000000002</v>
      </c>
      <c r="AW203">
        <f>$H$203*$AC$203</f>
        <v>266.35000000000002</v>
      </c>
      <c r="AX203">
        <f>$H$203*$AD$203</f>
        <v>266.35000000000002</v>
      </c>
      <c r="AY203">
        <f>$H$203*$AE$203</f>
        <v>266.35000000000002</v>
      </c>
      <c r="AZ203">
        <f>$H$203*$AF$203</f>
        <v>266.35000000000002</v>
      </c>
    </row>
    <row r="204" spans="1:52" x14ac:dyDescent="0.25">
      <c r="A204">
        <v>247</v>
      </c>
      <c r="B204" t="s">
        <v>7</v>
      </c>
      <c r="C204" t="s">
        <v>475</v>
      </c>
      <c r="D204">
        <v>1</v>
      </c>
      <c r="E204">
        <v>1111.32</v>
      </c>
      <c r="F204" t="s">
        <v>294</v>
      </c>
      <c r="G204">
        <v>1111.32</v>
      </c>
      <c r="H204">
        <v>1333.58</v>
      </c>
      <c r="I204" t="s">
        <v>461</v>
      </c>
      <c r="J204" t="s">
        <v>476</v>
      </c>
      <c r="K204" t="s">
        <v>582</v>
      </c>
      <c r="L204" t="s">
        <v>203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1333.58</v>
      </c>
      <c r="AQ204">
        <f>$H$204*$W$204</f>
        <v>1333.58</v>
      </c>
      <c r="AR204">
        <f>$H$204*$X$204</f>
        <v>1333.58</v>
      </c>
      <c r="AS204">
        <f>$H$204*$Y$204</f>
        <v>1333.58</v>
      </c>
      <c r="AT204">
        <f>$H$204*$Z$204</f>
        <v>1333.58</v>
      </c>
      <c r="AU204">
        <f>$H$204*$AA$204</f>
        <v>1333.58</v>
      </c>
      <c r="AV204">
        <f>$H$204*$AB$204</f>
        <v>1333.58</v>
      </c>
      <c r="AW204">
        <f>$H$204*$AC$204</f>
        <v>1333.58</v>
      </c>
      <c r="AX204">
        <f>$H$204*$AD$204</f>
        <v>1333.58</v>
      </c>
      <c r="AY204">
        <f>$H$204*$AE$204</f>
        <v>1333.58</v>
      </c>
      <c r="AZ204">
        <f>$H$204*$AF$204</f>
        <v>1333.58</v>
      </c>
    </row>
    <row r="205" spans="1:52" x14ac:dyDescent="0.25">
      <c r="A205">
        <v>248</v>
      </c>
      <c r="B205" t="s">
        <v>7</v>
      </c>
      <c r="C205" t="s">
        <v>477</v>
      </c>
      <c r="D205">
        <v>1</v>
      </c>
      <c r="E205">
        <v>1712.66</v>
      </c>
      <c r="F205" t="s">
        <v>294</v>
      </c>
      <c r="G205">
        <v>1712.66</v>
      </c>
      <c r="H205">
        <v>2055.1999999999998</v>
      </c>
      <c r="I205" t="s">
        <v>461</v>
      </c>
      <c r="J205" t="s">
        <v>478</v>
      </c>
      <c r="K205" t="s">
        <v>583</v>
      </c>
      <c r="L205" t="s">
        <v>203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2055.1999999999998</v>
      </c>
      <c r="AU205">
        <f>$H$205*$AA$205</f>
        <v>2055.1999999999998</v>
      </c>
      <c r="AV205">
        <f>$H$205*$AB$205</f>
        <v>2055.1999999999998</v>
      </c>
      <c r="AW205">
        <f>$H$205*$AC$205</f>
        <v>2055.1999999999998</v>
      </c>
      <c r="AX205">
        <f>$H$205*$AD$205</f>
        <v>2055.1999999999998</v>
      </c>
      <c r="AY205">
        <f>$H$205*$AE$205</f>
        <v>2055.1999999999998</v>
      </c>
      <c r="AZ205">
        <f>$H$205*$AF$205</f>
        <v>2055.1999999999998</v>
      </c>
    </row>
    <row r="206" spans="1:52" x14ac:dyDescent="0.25">
      <c r="A206">
        <v>249</v>
      </c>
      <c r="B206" t="s">
        <v>7</v>
      </c>
      <c r="C206" t="s">
        <v>479</v>
      </c>
      <c r="D206">
        <v>1</v>
      </c>
      <c r="E206">
        <v>998.38</v>
      </c>
      <c r="F206" t="s">
        <v>294</v>
      </c>
      <c r="G206">
        <v>998.38</v>
      </c>
      <c r="H206">
        <v>1198.06</v>
      </c>
      <c r="I206" t="s">
        <v>461</v>
      </c>
      <c r="J206" t="s">
        <v>480</v>
      </c>
      <c r="K206" t="s">
        <v>584</v>
      </c>
      <c r="L206" t="s">
        <v>203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1198.06</v>
      </c>
      <c r="AQ206">
        <f>$H$206*$W$206</f>
        <v>1198.06</v>
      </c>
      <c r="AR206">
        <f>$H$206*$X$206</f>
        <v>1198.06</v>
      </c>
      <c r="AS206">
        <f>$H$206*$Y$206</f>
        <v>1198.06</v>
      </c>
      <c r="AT206">
        <f>$H$206*$Z$206</f>
        <v>1198.06</v>
      </c>
      <c r="AU206">
        <f>$H$206*$AA$206</f>
        <v>1198.06</v>
      </c>
      <c r="AV206">
        <f>$H$206*$AB$206</f>
        <v>1198.06</v>
      </c>
      <c r="AW206">
        <f>$H$206*$AC$206</f>
        <v>1198.06</v>
      </c>
      <c r="AX206">
        <f>$H$206*$AD$206</f>
        <v>1198.06</v>
      </c>
      <c r="AY206">
        <f>$H$206*$AE$206</f>
        <v>1198.06</v>
      </c>
      <c r="AZ206">
        <f>$H$206*$AF$206</f>
        <v>1198.06</v>
      </c>
    </row>
    <row r="207" spans="1:52" x14ac:dyDescent="0.25">
      <c r="A207">
        <v>250</v>
      </c>
      <c r="B207" t="s">
        <v>7</v>
      </c>
      <c r="C207" t="s">
        <v>419</v>
      </c>
      <c r="D207">
        <v>9.42</v>
      </c>
      <c r="E207">
        <v>36.17</v>
      </c>
      <c r="F207" t="s">
        <v>288</v>
      </c>
      <c r="G207">
        <v>3.84</v>
      </c>
      <c r="H207">
        <v>43.41</v>
      </c>
      <c r="I207" t="s">
        <v>420</v>
      </c>
      <c r="J207" t="s">
        <v>421</v>
      </c>
      <c r="K207" t="s">
        <v>553</v>
      </c>
      <c r="L207" t="s">
        <v>203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43.41</v>
      </c>
      <c r="AV207">
        <f>$H$207*$AB$207</f>
        <v>43.41</v>
      </c>
      <c r="AW207">
        <f>$H$207*$AC$207</f>
        <v>43.41</v>
      </c>
      <c r="AX207">
        <f>$H$207*$AD$207</f>
        <v>43.41</v>
      </c>
      <c r="AY207">
        <f>$H$207*$AE$207</f>
        <v>43.41</v>
      </c>
      <c r="AZ207">
        <f>$H$207*$AF$207</f>
        <v>43.41</v>
      </c>
    </row>
    <row r="208" spans="1:52" x14ac:dyDescent="0.25">
      <c r="A208">
        <v>251</v>
      </c>
      <c r="B208" t="s">
        <v>7</v>
      </c>
      <c r="C208" t="s">
        <v>422</v>
      </c>
      <c r="D208">
        <v>75.33</v>
      </c>
      <c r="E208">
        <v>249.34</v>
      </c>
      <c r="F208" t="s">
        <v>308</v>
      </c>
      <c r="G208">
        <v>3.31</v>
      </c>
      <c r="H208">
        <v>299.2</v>
      </c>
      <c r="I208" t="s">
        <v>420</v>
      </c>
      <c r="J208" t="s">
        <v>423</v>
      </c>
      <c r="K208" t="s">
        <v>554</v>
      </c>
      <c r="L208" t="s">
        <v>203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299.2</v>
      </c>
      <c r="AN208">
        <f>$H$208*$T$208</f>
        <v>299.2</v>
      </c>
      <c r="AO208">
        <f>$H$208*$U$208</f>
        <v>299.2</v>
      </c>
      <c r="AP208">
        <f>$H$208*$V$208</f>
        <v>299.2</v>
      </c>
      <c r="AQ208">
        <f>$H$208*$W$208</f>
        <v>299.2</v>
      </c>
      <c r="AR208">
        <f>$H$208*$X$208</f>
        <v>299.2</v>
      </c>
      <c r="AS208">
        <f>$H$208*$Y$208</f>
        <v>299.2</v>
      </c>
      <c r="AT208">
        <f>$H$208*$Z$208</f>
        <v>299.2</v>
      </c>
      <c r="AU208">
        <f>$H$208*$AA$208</f>
        <v>299.2</v>
      </c>
      <c r="AV208">
        <f>$H$208*$AB$208</f>
        <v>299.2</v>
      </c>
      <c r="AW208">
        <f>$H$208*$AC$208</f>
        <v>299.2</v>
      </c>
      <c r="AX208">
        <f>$H$208*$AD$208</f>
        <v>299.2</v>
      </c>
      <c r="AY208">
        <f>$H$208*$AE$208</f>
        <v>299.2</v>
      </c>
      <c r="AZ208">
        <f>$H$208*$AF$208</f>
        <v>299.2</v>
      </c>
    </row>
    <row r="209" spans="1:52" x14ac:dyDescent="0.25">
      <c r="A209">
        <v>252</v>
      </c>
      <c r="B209" t="s">
        <v>7</v>
      </c>
      <c r="C209" t="s">
        <v>424</v>
      </c>
      <c r="D209">
        <v>75.33</v>
      </c>
      <c r="E209">
        <v>80.599999999999994</v>
      </c>
      <c r="F209" t="s">
        <v>308</v>
      </c>
      <c r="G209">
        <v>1.07</v>
      </c>
      <c r="H209">
        <v>96.72</v>
      </c>
      <c r="I209" t="s">
        <v>289</v>
      </c>
      <c r="J209" t="s">
        <v>425</v>
      </c>
      <c r="K209" t="s">
        <v>555</v>
      </c>
      <c r="L209" t="s">
        <v>203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0</v>
      </c>
      <c r="AV209">
        <f>$H$209*$AB$209</f>
        <v>0</v>
      </c>
      <c r="AW209">
        <f>$H$209*$AC$209</f>
        <v>0</v>
      </c>
      <c r="AX209">
        <f>$H$209*$AD$209</f>
        <v>96.72</v>
      </c>
      <c r="AY209">
        <f>$H$209*$AE$209</f>
        <v>96.72</v>
      </c>
      <c r="AZ209">
        <f>$H$209*$AF$209</f>
        <v>96.72</v>
      </c>
    </row>
    <row r="210" spans="1:52" x14ac:dyDescent="0.25">
      <c r="A210">
        <v>253</v>
      </c>
      <c r="B210" t="s">
        <v>7</v>
      </c>
      <c r="C210" t="s">
        <v>316</v>
      </c>
      <c r="D210">
        <v>226</v>
      </c>
      <c r="E210">
        <v>366.12</v>
      </c>
      <c r="F210" t="s">
        <v>308</v>
      </c>
      <c r="G210">
        <v>1.62</v>
      </c>
      <c r="H210">
        <v>439.34</v>
      </c>
      <c r="I210" t="s">
        <v>289</v>
      </c>
      <c r="J210" t="s">
        <v>317</v>
      </c>
      <c r="K210" t="s">
        <v>504</v>
      </c>
      <c r="L210" t="s">
        <v>203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439.34</v>
      </c>
      <c r="AO210">
        <f>$H$210*$U$210</f>
        <v>439.34</v>
      </c>
      <c r="AP210">
        <f>$H$210*$V$210</f>
        <v>439.34</v>
      </c>
      <c r="AQ210">
        <f>$H$210*$W$210</f>
        <v>439.34</v>
      </c>
      <c r="AR210">
        <f>$H$210*$X$210</f>
        <v>439.34</v>
      </c>
      <c r="AS210">
        <f>$H$210*$Y$210</f>
        <v>439.34</v>
      </c>
      <c r="AT210">
        <f>$H$210*$Z$210</f>
        <v>439.34</v>
      </c>
      <c r="AU210">
        <f>$H$210*$AA$210</f>
        <v>439.34</v>
      </c>
      <c r="AV210">
        <f>$H$210*$AB$210</f>
        <v>439.34</v>
      </c>
      <c r="AW210">
        <f>$H$210*$AC$210</f>
        <v>439.34</v>
      </c>
      <c r="AX210">
        <f>$H$210*$AD$210</f>
        <v>439.34</v>
      </c>
      <c r="AY210">
        <f>$H$210*$AE$210</f>
        <v>439.34</v>
      </c>
      <c r="AZ210">
        <f>$H$210*$AF$210</f>
        <v>439.34</v>
      </c>
    </row>
    <row r="211" spans="1:52" x14ac:dyDescent="0.25">
      <c r="A211">
        <v>254</v>
      </c>
      <c r="B211" t="s">
        <v>7</v>
      </c>
      <c r="C211" t="s">
        <v>318</v>
      </c>
      <c r="D211">
        <v>301.33</v>
      </c>
      <c r="E211">
        <v>1244.49</v>
      </c>
      <c r="F211" t="s">
        <v>308</v>
      </c>
      <c r="G211">
        <v>4.13</v>
      </c>
      <c r="H211">
        <v>1493.39</v>
      </c>
      <c r="I211" t="s">
        <v>319</v>
      </c>
      <c r="J211" t="s">
        <v>320</v>
      </c>
      <c r="K211" t="s">
        <v>505</v>
      </c>
      <c r="L211" t="s">
        <v>203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373.34750000000003</v>
      </c>
      <c r="AN211">
        <f>$H$211*$T$211</f>
        <v>373.34750000000003</v>
      </c>
      <c r="AO211">
        <f>$H$211*$U$211</f>
        <v>373.34750000000003</v>
      </c>
      <c r="AP211">
        <f>$H$211*$V$211</f>
        <v>373.34750000000003</v>
      </c>
      <c r="AQ211">
        <f>$H$211*$W$211</f>
        <v>746.69500000000005</v>
      </c>
      <c r="AR211">
        <f>$H$211*$X$211</f>
        <v>746.69500000000005</v>
      </c>
      <c r="AS211">
        <f>$H$211*$Y$211</f>
        <v>746.69500000000005</v>
      </c>
      <c r="AT211">
        <f>$H$211*$Z$211</f>
        <v>746.69500000000005</v>
      </c>
      <c r="AU211">
        <f>$H$211*$AA$211</f>
        <v>1493.39</v>
      </c>
      <c r="AV211">
        <f>$H$211*$AB$211</f>
        <v>1493.39</v>
      </c>
      <c r="AW211">
        <f>$H$211*$AC$211</f>
        <v>1493.39</v>
      </c>
      <c r="AX211">
        <f>$H$211*$AD$211</f>
        <v>1493.39</v>
      </c>
      <c r="AY211">
        <f>$H$211*$AE$211</f>
        <v>1493.39</v>
      </c>
      <c r="AZ211">
        <f>$H$211*$AF$211</f>
        <v>1493.39</v>
      </c>
    </row>
    <row r="212" spans="1:52" x14ac:dyDescent="0.25">
      <c r="A212">
        <v>255</v>
      </c>
      <c r="B212" t="s">
        <v>7</v>
      </c>
      <c r="C212" t="s">
        <v>426</v>
      </c>
      <c r="D212">
        <v>37.67</v>
      </c>
      <c r="E212">
        <v>99.07</v>
      </c>
      <c r="F212" t="s">
        <v>288</v>
      </c>
      <c r="G212">
        <v>2.63</v>
      </c>
      <c r="H212">
        <v>118.89</v>
      </c>
      <c r="I212" t="s">
        <v>289</v>
      </c>
      <c r="J212" t="s">
        <v>427</v>
      </c>
      <c r="K212" t="s">
        <v>556</v>
      </c>
      <c r="L212" t="s">
        <v>203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118.89</v>
      </c>
      <c r="AN212">
        <f>$H$212*$T$212</f>
        <v>118.89</v>
      </c>
      <c r="AO212">
        <f>$H$212*$U$212</f>
        <v>118.89</v>
      </c>
      <c r="AP212">
        <f>$H$212*$V$212</f>
        <v>118.89</v>
      </c>
      <c r="AQ212">
        <f>$H$212*$W$212</f>
        <v>118.89</v>
      </c>
      <c r="AR212">
        <f>$H$212*$X$212</f>
        <v>118.89</v>
      </c>
      <c r="AS212">
        <f>$H$212*$Y$212</f>
        <v>118.89</v>
      </c>
      <c r="AT212">
        <f>$H$212*$Z$212</f>
        <v>118.89</v>
      </c>
      <c r="AU212">
        <f>$H$212*$AA$212</f>
        <v>118.89</v>
      </c>
      <c r="AV212">
        <f>$H$212*$AB$212</f>
        <v>118.89</v>
      </c>
      <c r="AW212">
        <f>$H$212*$AC$212</f>
        <v>118.89</v>
      </c>
      <c r="AX212">
        <f>$H$212*$AD$212</f>
        <v>118.89</v>
      </c>
      <c r="AY212">
        <f>$H$212*$AE$212</f>
        <v>118.89</v>
      </c>
      <c r="AZ212">
        <f>$H$212*$AF$212</f>
        <v>118.89</v>
      </c>
    </row>
    <row r="213" spans="1:52" x14ac:dyDescent="0.25">
      <c r="A213">
        <v>256</v>
      </c>
      <c r="B213" t="s">
        <v>7</v>
      </c>
      <c r="C213" t="s">
        <v>428</v>
      </c>
      <c r="D213">
        <v>37.67</v>
      </c>
      <c r="E213">
        <v>233.18</v>
      </c>
      <c r="F213" t="s">
        <v>288</v>
      </c>
      <c r="G213">
        <v>6.19</v>
      </c>
      <c r="H213">
        <v>279.82</v>
      </c>
      <c r="I213" t="s">
        <v>292</v>
      </c>
      <c r="J213" t="s">
        <v>429</v>
      </c>
      <c r="K213" t="s">
        <v>557</v>
      </c>
      <c r="L213" t="s">
        <v>203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279.82</v>
      </c>
      <c r="AN213">
        <f>$H$213*$T$213</f>
        <v>279.82</v>
      </c>
      <c r="AO213">
        <f>$H$213*$U$213</f>
        <v>279.82</v>
      </c>
      <c r="AP213">
        <f>$H$213*$V$213</f>
        <v>279.82</v>
      </c>
      <c r="AQ213">
        <f>$H$213*$W$213</f>
        <v>279.82</v>
      </c>
      <c r="AR213">
        <f>$H$213*$X$213</f>
        <v>279.82</v>
      </c>
      <c r="AS213">
        <f>$H$213*$Y$213</f>
        <v>279.82</v>
      </c>
      <c r="AT213">
        <f>$H$213*$Z$213</f>
        <v>279.82</v>
      </c>
      <c r="AU213">
        <f>$H$213*$AA$213</f>
        <v>279.82</v>
      </c>
      <c r="AV213">
        <f>$H$213*$AB$213</f>
        <v>279.82</v>
      </c>
      <c r="AW213">
        <f>$H$213*$AC$213</f>
        <v>279.82</v>
      </c>
      <c r="AX213">
        <f>$H$213*$AD$213</f>
        <v>279.82</v>
      </c>
      <c r="AY213">
        <f>$H$213*$AE$213</f>
        <v>279.82</v>
      </c>
      <c r="AZ213">
        <f>$H$213*$AF$213</f>
        <v>279.82</v>
      </c>
    </row>
    <row r="214" spans="1:52" x14ac:dyDescent="0.25">
      <c r="A214">
        <v>257</v>
      </c>
      <c r="B214" t="s">
        <v>7</v>
      </c>
      <c r="C214" t="s">
        <v>318</v>
      </c>
      <c r="D214">
        <v>88.5</v>
      </c>
      <c r="E214">
        <v>365.51</v>
      </c>
      <c r="F214" t="s">
        <v>308</v>
      </c>
      <c r="G214">
        <v>4.13</v>
      </c>
      <c r="H214">
        <v>438.61</v>
      </c>
      <c r="I214" t="s">
        <v>319</v>
      </c>
      <c r="J214" t="s">
        <v>320</v>
      </c>
      <c r="K214" t="s">
        <v>505</v>
      </c>
      <c r="L214" t="s">
        <v>203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109.6525</v>
      </c>
      <c r="AN214">
        <f>$H$214*$T$214</f>
        <v>109.6525</v>
      </c>
      <c r="AO214">
        <f>$H$214*$U$214</f>
        <v>109.6525</v>
      </c>
      <c r="AP214">
        <f>$H$214*$V$214</f>
        <v>109.6525</v>
      </c>
      <c r="AQ214">
        <f>$H$214*$W$214</f>
        <v>219.30500000000001</v>
      </c>
      <c r="AR214">
        <f>$H$214*$X$214</f>
        <v>219.30500000000001</v>
      </c>
      <c r="AS214">
        <f>$H$214*$Y$214</f>
        <v>219.30500000000001</v>
      </c>
      <c r="AT214">
        <f>$H$214*$Z$214</f>
        <v>219.30500000000001</v>
      </c>
      <c r="AU214">
        <f>$H$214*$AA$214</f>
        <v>438.61</v>
      </c>
      <c r="AV214">
        <f>$H$214*$AB$214</f>
        <v>438.61</v>
      </c>
      <c r="AW214">
        <f>$H$214*$AC$214</f>
        <v>438.61</v>
      </c>
      <c r="AX214">
        <f>$H$214*$AD$214</f>
        <v>438.61</v>
      </c>
      <c r="AY214">
        <f>$H$214*$AE$214</f>
        <v>438.61</v>
      </c>
      <c r="AZ214">
        <f>$H$214*$AF$214</f>
        <v>438.61</v>
      </c>
    </row>
    <row r="215" spans="1:52" x14ac:dyDescent="0.25">
      <c r="A215">
        <v>258</v>
      </c>
      <c r="B215" t="s">
        <v>7</v>
      </c>
      <c r="C215" t="s">
        <v>424</v>
      </c>
      <c r="D215">
        <v>88.5</v>
      </c>
      <c r="E215">
        <v>94.7</v>
      </c>
      <c r="F215" t="s">
        <v>308</v>
      </c>
      <c r="G215">
        <v>1.07</v>
      </c>
      <c r="H215">
        <v>113.64</v>
      </c>
      <c r="I215" t="s">
        <v>289</v>
      </c>
      <c r="J215" t="s">
        <v>425</v>
      </c>
      <c r="K215" t="s">
        <v>555</v>
      </c>
      <c r="L215" t="s">
        <v>203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113.64</v>
      </c>
      <c r="AY215">
        <f>$H$215*$AE$215</f>
        <v>113.64</v>
      </c>
      <c r="AZ215">
        <f>$H$215*$AF$215</f>
        <v>113.64</v>
      </c>
    </row>
    <row r="216" spans="1:52" x14ac:dyDescent="0.25">
      <c r="A216">
        <v>259</v>
      </c>
      <c r="B216" t="s">
        <v>7</v>
      </c>
      <c r="C216" t="s">
        <v>430</v>
      </c>
      <c r="D216">
        <v>88.5</v>
      </c>
      <c r="E216">
        <v>100.01</v>
      </c>
      <c r="F216" t="s">
        <v>308</v>
      </c>
      <c r="G216">
        <v>1.1299999999999999</v>
      </c>
      <c r="H216">
        <v>120.01</v>
      </c>
      <c r="I216" t="s">
        <v>289</v>
      </c>
      <c r="J216" t="s">
        <v>431</v>
      </c>
      <c r="K216" t="s">
        <v>558</v>
      </c>
      <c r="L216" t="s">
        <v>203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120.01</v>
      </c>
      <c r="AN216">
        <f>$H$216*$T$216</f>
        <v>120.01</v>
      </c>
      <c r="AO216">
        <f>$H$216*$U$216</f>
        <v>120.01</v>
      </c>
      <c r="AP216">
        <f>$H$216*$V$216</f>
        <v>120.01</v>
      </c>
      <c r="AQ216">
        <f>$H$216*$W$216</f>
        <v>120.01</v>
      </c>
      <c r="AR216">
        <f>$H$216*$X$216</f>
        <v>120.01</v>
      </c>
      <c r="AS216">
        <f>$H$216*$Y$216</f>
        <v>120.01</v>
      </c>
      <c r="AT216">
        <f>$H$216*$Z$216</f>
        <v>120.01</v>
      </c>
      <c r="AU216">
        <f>$H$216*$AA$216</f>
        <v>120.01</v>
      </c>
      <c r="AV216">
        <f>$H$216*$AB$216</f>
        <v>120.01</v>
      </c>
      <c r="AW216">
        <f>$H$216*$AC$216</f>
        <v>120.01</v>
      </c>
      <c r="AX216">
        <f>$H$216*$AD$216</f>
        <v>120.01</v>
      </c>
      <c r="AY216">
        <f>$H$216*$AE$216</f>
        <v>120.01</v>
      </c>
      <c r="AZ216">
        <f>$H$216*$AF$216</f>
        <v>120.01</v>
      </c>
    </row>
    <row r="217" spans="1:52" x14ac:dyDescent="0.25">
      <c r="A217">
        <v>260</v>
      </c>
      <c r="B217" t="s">
        <v>7</v>
      </c>
      <c r="C217" t="s">
        <v>432</v>
      </c>
      <c r="D217">
        <v>24.13</v>
      </c>
      <c r="E217">
        <v>395.73</v>
      </c>
      <c r="F217" t="s">
        <v>308</v>
      </c>
      <c r="G217">
        <v>16.399999999999999</v>
      </c>
      <c r="H217">
        <v>474.87</v>
      </c>
      <c r="I217" t="s">
        <v>433</v>
      </c>
      <c r="J217" t="s">
        <v>326</v>
      </c>
      <c r="K217" t="s">
        <v>559</v>
      </c>
      <c r="L217" t="s">
        <v>203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474.87</v>
      </c>
      <c r="AQ217">
        <f>$H$217*$W$217</f>
        <v>474.87</v>
      </c>
      <c r="AR217">
        <f>$H$217*$X$217</f>
        <v>474.87</v>
      </c>
      <c r="AS217">
        <f>$H$217*$Y$217</f>
        <v>474.87</v>
      </c>
      <c r="AT217">
        <f>$H$217*$Z$217</f>
        <v>474.87</v>
      </c>
      <c r="AU217">
        <f>$H$217*$AA$217</f>
        <v>474.87</v>
      </c>
      <c r="AV217">
        <f>$H$217*$AB$217</f>
        <v>474.87</v>
      </c>
      <c r="AW217">
        <f>$H$217*$AC$217</f>
        <v>474.87</v>
      </c>
      <c r="AX217">
        <f>$H$217*$AD$217</f>
        <v>474.87</v>
      </c>
      <c r="AY217">
        <f>$H$217*$AE$217</f>
        <v>474.87</v>
      </c>
      <c r="AZ217">
        <f>$H$217*$AF$217</f>
        <v>474.87</v>
      </c>
    </row>
    <row r="218" spans="1:52" x14ac:dyDescent="0.25">
      <c r="A218">
        <v>261</v>
      </c>
      <c r="B218" t="s">
        <v>7</v>
      </c>
      <c r="C218" t="s">
        <v>434</v>
      </c>
      <c r="D218">
        <v>48.25</v>
      </c>
      <c r="E218">
        <v>206.03</v>
      </c>
      <c r="F218" t="s">
        <v>308</v>
      </c>
      <c r="G218">
        <v>4.2699999999999996</v>
      </c>
      <c r="H218">
        <v>247.23</v>
      </c>
      <c r="I218" t="s">
        <v>435</v>
      </c>
      <c r="J218" t="s">
        <v>436</v>
      </c>
      <c r="K218" t="s">
        <v>560</v>
      </c>
      <c r="L218" t="s">
        <v>203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247.23</v>
      </c>
      <c r="AN218">
        <f>$H$218*$T$218</f>
        <v>247.23</v>
      </c>
      <c r="AO218">
        <f>$H$218*$U$218</f>
        <v>247.23</v>
      </c>
      <c r="AP218">
        <f>$H$218*$V$218</f>
        <v>247.23</v>
      </c>
      <c r="AQ218">
        <f>$H$218*$W$218</f>
        <v>247.23</v>
      </c>
      <c r="AR218">
        <f>$H$218*$X$218</f>
        <v>247.23</v>
      </c>
      <c r="AS218">
        <f>$H$218*$Y$218</f>
        <v>247.23</v>
      </c>
      <c r="AT218">
        <f>$H$218*$Z$218</f>
        <v>247.23</v>
      </c>
      <c r="AU218">
        <f>$H$218*$AA$218</f>
        <v>247.23</v>
      </c>
      <c r="AV218">
        <f>$H$218*$AB$218</f>
        <v>247.23</v>
      </c>
      <c r="AW218">
        <f>$H$218*$AC$218</f>
        <v>247.23</v>
      </c>
      <c r="AX218">
        <f>$H$218*$AD$218</f>
        <v>247.23</v>
      </c>
      <c r="AY218">
        <f>$H$218*$AE$218</f>
        <v>247.23</v>
      </c>
      <c r="AZ218">
        <f>$H$218*$AF$218</f>
        <v>247.23</v>
      </c>
    </row>
    <row r="219" spans="1:52" x14ac:dyDescent="0.25">
      <c r="A219">
        <v>262</v>
      </c>
      <c r="B219" t="s">
        <v>7</v>
      </c>
      <c r="C219" t="s">
        <v>437</v>
      </c>
      <c r="D219">
        <v>48.25</v>
      </c>
      <c r="E219">
        <v>518.69000000000005</v>
      </c>
      <c r="F219" t="s">
        <v>308</v>
      </c>
      <c r="G219">
        <v>10.75</v>
      </c>
      <c r="H219">
        <v>622.42999999999995</v>
      </c>
      <c r="I219" t="s">
        <v>435</v>
      </c>
      <c r="J219" t="s">
        <v>326</v>
      </c>
      <c r="K219" t="s">
        <v>561</v>
      </c>
      <c r="L219" t="s">
        <v>203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622.42999999999995</v>
      </c>
      <c r="AN219">
        <f>$H$219*$T$219</f>
        <v>622.42999999999995</v>
      </c>
      <c r="AO219">
        <f>$H$219*$U$219</f>
        <v>622.42999999999995</v>
      </c>
      <c r="AP219">
        <f>$H$219*$V$219</f>
        <v>622.42999999999995</v>
      </c>
      <c r="AQ219">
        <f>$H$219*$W$219</f>
        <v>622.42999999999995</v>
      </c>
      <c r="AR219">
        <f>$H$219*$X$219</f>
        <v>622.42999999999995</v>
      </c>
      <c r="AS219">
        <f>$H$219*$Y$219</f>
        <v>622.42999999999995</v>
      </c>
      <c r="AT219">
        <f>$H$219*$Z$219</f>
        <v>622.42999999999995</v>
      </c>
      <c r="AU219">
        <f>$H$219*$AA$219</f>
        <v>622.42999999999995</v>
      </c>
      <c r="AV219">
        <f>$H$219*$AB$219</f>
        <v>622.42999999999995</v>
      </c>
      <c r="AW219">
        <f>$H$219*$AC$219</f>
        <v>622.42999999999995</v>
      </c>
      <c r="AX219">
        <f>$H$219*$AD$219</f>
        <v>622.42999999999995</v>
      </c>
      <c r="AY219">
        <f>$H$219*$AE$219</f>
        <v>622.42999999999995</v>
      </c>
      <c r="AZ219">
        <f>$H$219*$AF$219</f>
        <v>622.42999999999995</v>
      </c>
    </row>
    <row r="220" spans="1:52" x14ac:dyDescent="0.25">
      <c r="A220">
        <v>263</v>
      </c>
      <c r="B220" t="s">
        <v>7</v>
      </c>
      <c r="C220" t="s">
        <v>438</v>
      </c>
      <c r="D220">
        <v>25.44</v>
      </c>
      <c r="E220">
        <v>22.13</v>
      </c>
      <c r="F220" t="s">
        <v>308</v>
      </c>
      <c r="G220">
        <v>0.87</v>
      </c>
      <c r="H220">
        <v>26.55</v>
      </c>
      <c r="I220" t="s">
        <v>331</v>
      </c>
      <c r="J220" t="s">
        <v>439</v>
      </c>
      <c r="K220" t="s">
        <v>562</v>
      </c>
      <c r="L220" t="s">
        <v>203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26.55</v>
      </c>
      <c r="AN220">
        <f>$H$220*$T$220</f>
        <v>26.55</v>
      </c>
      <c r="AO220">
        <f>$H$220*$U$220</f>
        <v>26.55</v>
      </c>
      <c r="AP220">
        <f>$H$220*$V$220</f>
        <v>26.55</v>
      </c>
      <c r="AQ220">
        <f>$H$220*$W$220</f>
        <v>26.55</v>
      </c>
      <c r="AR220">
        <f>$H$220*$X$220</f>
        <v>26.55</v>
      </c>
      <c r="AS220">
        <f>$H$220*$Y$220</f>
        <v>26.55</v>
      </c>
      <c r="AT220">
        <f>$H$220*$Z$220</f>
        <v>26.55</v>
      </c>
      <c r="AU220">
        <f>$H$220*$AA$220</f>
        <v>26.55</v>
      </c>
      <c r="AV220">
        <f>$H$220*$AB$220</f>
        <v>26.55</v>
      </c>
      <c r="AW220">
        <f>$H$220*$AC$220</f>
        <v>26.55</v>
      </c>
      <c r="AX220">
        <f>$H$220*$AD$220</f>
        <v>26.55</v>
      </c>
      <c r="AY220">
        <f>$H$220*$AE$220</f>
        <v>26.55</v>
      </c>
      <c r="AZ220">
        <f>$H$220*$AF$220</f>
        <v>26.55</v>
      </c>
    </row>
    <row r="221" spans="1:52" x14ac:dyDescent="0.25">
      <c r="A221">
        <v>264</v>
      </c>
      <c r="B221" t="s">
        <v>7</v>
      </c>
      <c r="C221" t="s">
        <v>440</v>
      </c>
      <c r="D221">
        <v>25.44</v>
      </c>
      <c r="E221">
        <v>179.86</v>
      </c>
      <c r="F221" t="s">
        <v>308</v>
      </c>
      <c r="G221">
        <v>7.07</v>
      </c>
      <c r="H221">
        <v>215.84</v>
      </c>
      <c r="I221" t="s">
        <v>331</v>
      </c>
      <c r="J221" t="s">
        <v>326</v>
      </c>
      <c r="K221" t="s">
        <v>563</v>
      </c>
      <c r="L221" t="s">
        <v>203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215.84</v>
      </c>
      <c r="AN221">
        <f>$H$221*$T$221</f>
        <v>215.84</v>
      </c>
      <c r="AO221">
        <f>$H$221*$U$221</f>
        <v>215.84</v>
      </c>
      <c r="AP221">
        <f>$H$221*$V$221</f>
        <v>215.84</v>
      </c>
      <c r="AQ221">
        <f>$H$221*$W$221</f>
        <v>215.84</v>
      </c>
      <c r="AR221">
        <f>$H$221*$X$221</f>
        <v>215.84</v>
      </c>
      <c r="AS221">
        <f>$H$221*$Y$221</f>
        <v>215.84</v>
      </c>
      <c r="AT221">
        <f>$H$221*$Z$221</f>
        <v>215.84</v>
      </c>
      <c r="AU221">
        <f>$H$221*$AA$221</f>
        <v>215.84</v>
      </c>
      <c r="AV221">
        <f>$H$221*$AB$221</f>
        <v>215.84</v>
      </c>
      <c r="AW221">
        <f>$H$221*$AC$221</f>
        <v>215.84</v>
      </c>
      <c r="AX221">
        <f>$H$221*$AD$221</f>
        <v>215.84</v>
      </c>
      <c r="AY221">
        <f>$H$221*$AE$221</f>
        <v>215.84</v>
      </c>
      <c r="AZ221">
        <f>$H$221*$AF$221</f>
        <v>215.84</v>
      </c>
    </row>
    <row r="222" spans="1:52" x14ac:dyDescent="0.25">
      <c r="A222">
        <v>265</v>
      </c>
      <c r="B222" t="s">
        <v>266</v>
      </c>
      <c r="C222" t="s">
        <v>444</v>
      </c>
      <c r="D222">
        <v>1</v>
      </c>
      <c r="E222">
        <v>67.459999999999994</v>
      </c>
      <c r="F222" t="s">
        <v>294</v>
      </c>
      <c r="G222">
        <v>67.459999999999994</v>
      </c>
      <c r="H222">
        <v>80.959999999999994</v>
      </c>
      <c r="I222" t="s">
        <v>296</v>
      </c>
      <c r="J222" t="s">
        <v>445</v>
      </c>
      <c r="K222" t="s">
        <v>566</v>
      </c>
      <c r="L222" t="s">
        <v>203</v>
      </c>
      <c r="M222" t="s">
        <v>266</v>
      </c>
      <c r="N222" t="s">
        <v>51</v>
      </c>
      <c r="O222" t="s">
        <v>4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266</v>
      </c>
      <c r="AH222" t="s">
        <v>51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80.959999999999994</v>
      </c>
      <c r="AY222">
        <f>$H$222*$AE$222</f>
        <v>80.959999999999994</v>
      </c>
      <c r="AZ222">
        <f>$H$222*$AF$222</f>
        <v>80.959999999999994</v>
      </c>
    </row>
    <row r="223" spans="1:52" x14ac:dyDescent="0.25">
      <c r="A223">
        <v>266</v>
      </c>
      <c r="B223" t="s">
        <v>266</v>
      </c>
      <c r="C223" t="s">
        <v>312</v>
      </c>
      <c r="D223">
        <v>5</v>
      </c>
      <c r="E223">
        <v>38.75</v>
      </c>
      <c r="F223" t="s">
        <v>288</v>
      </c>
      <c r="G223">
        <v>7.75</v>
      </c>
      <c r="H223">
        <v>46.51</v>
      </c>
      <c r="I223" t="s">
        <v>289</v>
      </c>
      <c r="J223" t="s">
        <v>313</v>
      </c>
      <c r="K223" t="s">
        <v>502</v>
      </c>
      <c r="L223" t="s">
        <v>203</v>
      </c>
      <c r="M223" t="s">
        <v>266</v>
      </c>
      <c r="N223" t="s">
        <v>51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266</v>
      </c>
      <c r="AH223" t="s">
        <v>51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46.51</v>
      </c>
      <c r="AV223">
        <f>$H$223*$AB$223</f>
        <v>46.51</v>
      </c>
      <c r="AW223">
        <f>$H$223*$AC$223</f>
        <v>46.51</v>
      </c>
      <c r="AX223">
        <f>$H$223*$AD$223</f>
        <v>46.51</v>
      </c>
      <c r="AY223">
        <f>$H$223*$AE$223</f>
        <v>46.51</v>
      </c>
      <c r="AZ223">
        <f>$H$223*$AF$223</f>
        <v>46.51</v>
      </c>
    </row>
    <row r="224" spans="1:52" x14ac:dyDescent="0.25">
      <c r="A224">
        <v>267</v>
      </c>
      <c r="B224" t="s">
        <v>266</v>
      </c>
      <c r="C224" t="s">
        <v>314</v>
      </c>
      <c r="D224">
        <v>5</v>
      </c>
      <c r="E224">
        <v>65.7</v>
      </c>
      <c r="F224" t="s">
        <v>288</v>
      </c>
      <c r="G224">
        <v>13.14</v>
      </c>
      <c r="H224">
        <v>78.84</v>
      </c>
      <c r="I224" t="s">
        <v>292</v>
      </c>
      <c r="J224" t="s">
        <v>315</v>
      </c>
      <c r="K224" t="s">
        <v>503</v>
      </c>
      <c r="L224" t="s">
        <v>203</v>
      </c>
      <c r="M224" t="s">
        <v>266</v>
      </c>
      <c r="N224" t="s">
        <v>51</v>
      </c>
      <c r="O224" t="s">
        <v>4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266</v>
      </c>
      <c r="AH224" t="s">
        <v>51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78.84</v>
      </c>
      <c r="AV224">
        <f>$H$224*$AB$224</f>
        <v>78.84</v>
      </c>
      <c r="AW224">
        <f>$H$224*$AC$224</f>
        <v>78.84</v>
      </c>
      <c r="AX224">
        <f>$H$224*$AD$224</f>
        <v>78.84</v>
      </c>
      <c r="AY224">
        <f>$H$224*$AE$224</f>
        <v>78.84</v>
      </c>
      <c r="AZ224">
        <f>$H$224*$AF$224</f>
        <v>78.84</v>
      </c>
    </row>
    <row r="225" spans="1:52" x14ac:dyDescent="0.25">
      <c r="A225">
        <v>268</v>
      </c>
      <c r="B225" t="s">
        <v>266</v>
      </c>
      <c r="C225" t="s">
        <v>367</v>
      </c>
      <c r="D225">
        <v>5</v>
      </c>
      <c r="E225">
        <v>27.6</v>
      </c>
      <c r="F225" t="s">
        <v>288</v>
      </c>
      <c r="G225">
        <v>5.52</v>
      </c>
      <c r="H225">
        <v>33.119999999999997</v>
      </c>
      <c r="I225" t="s">
        <v>292</v>
      </c>
      <c r="J225" t="s">
        <v>368</v>
      </c>
      <c r="K225" t="s">
        <v>528</v>
      </c>
      <c r="L225" t="s">
        <v>203</v>
      </c>
      <c r="M225" t="s">
        <v>266</v>
      </c>
      <c r="N225" t="s">
        <v>51</v>
      </c>
      <c r="O225" t="s">
        <v>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  <c r="AF225">
        <v>1</v>
      </c>
      <c r="AG225" t="s">
        <v>266</v>
      </c>
      <c r="AH225" t="s">
        <v>51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33.119999999999997</v>
      </c>
      <c r="AX225">
        <f>$H$225*$AD$225</f>
        <v>33.119999999999997</v>
      </c>
      <c r="AY225">
        <f>$H$225*$AE$225</f>
        <v>33.119999999999997</v>
      </c>
      <c r="AZ225">
        <f>$H$225*$AF$225</f>
        <v>33.119999999999997</v>
      </c>
    </row>
    <row r="226" spans="1:52" x14ac:dyDescent="0.25">
      <c r="A226">
        <v>269</v>
      </c>
      <c r="B226" t="s">
        <v>266</v>
      </c>
      <c r="C226" t="s">
        <v>386</v>
      </c>
      <c r="D226">
        <v>6</v>
      </c>
      <c r="E226">
        <v>96.84</v>
      </c>
      <c r="F226" t="s">
        <v>294</v>
      </c>
      <c r="G226">
        <v>16.14</v>
      </c>
      <c r="H226">
        <v>116.2</v>
      </c>
      <c r="I226" t="s">
        <v>296</v>
      </c>
      <c r="J226" t="s">
        <v>387</v>
      </c>
      <c r="K226" t="s">
        <v>537</v>
      </c>
      <c r="L226" t="s">
        <v>203</v>
      </c>
      <c r="M226" t="s">
        <v>266</v>
      </c>
      <c r="N226" t="s">
        <v>51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266</v>
      </c>
      <c r="AH226" t="s">
        <v>51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116.2</v>
      </c>
      <c r="AS226">
        <f>$H$226*$Y$226</f>
        <v>116.2</v>
      </c>
      <c r="AT226">
        <f>$H$226*$Z$226</f>
        <v>116.2</v>
      </c>
      <c r="AU226">
        <f>$H$226*$AA$226</f>
        <v>116.2</v>
      </c>
      <c r="AV226">
        <f>$H$226*$AB$226</f>
        <v>116.2</v>
      </c>
      <c r="AW226">
        <f>$H$226*$AC$226</f>
        <v>116.2</v>
      </c>
      <c r="AX226">
        <f>$H$226*$AD$226</f>
        <v>116.2</v>
      </c>
      <c r="AY226">
        <f>$H$226*$AE$226</f>
        <v>116.2</v>
      </c>
      <c r="AZ226">
        <f>$H$226*$AF$226</f>
        <v>116.2</v>
      </c>
    </row>
    <row r="227" spans="1:52" x14ac:dyDescent="0.25">
      <c r="A227">
        <v>270</v>
      </c>
      <c r="B227" t="s">
        <v>266</v>
      </c>
      <c r="C227" t="s">
        <v>446</v>
      </c>
      <c r="D227">
        <v>1</v>
      </c>
      <c r="E227">
        <v>71.34</v>
      </c>
      <c r="F227" t="s">
        <v>294</v>
      </c>
      <c r="G227">
        <v>71.34</v>
      </c>
      <c r="H227">
        <v>85.6</v>
      </c>
      <c r="I227" t="s">
        <v>299</v>
      </c>
      <c r="J227" t="s">
        <v>356</v>
      </c>
      <c r="K227" t="s">
        <v>567</v>
      </c>
      <c r="L227" t="s">
        <v>203</v>
      </c>
      <c r="M227" t="s">
        <v>266</v>
      </c>
      <c r="N227" t="s">
        <v>51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266</v>
      </c>
      <c r="AH227" t="s">
        <v>51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85.6</v>
      </c>
      <c r="AY227">
        <f>$H$227*$AE$227</f>
        <v>85.6</v>
      </c>
      <c r="AZ227">
        <f>$H$227*$AF$227</f>
        <v>85.6</v>
      </c>
    </row>
    <row r="228" spans="1:52" x14ac:dyDescent="0.25">
      <c r="A228">
        <v>271</v>
      </c>
      <c r="B228" t="s">
        <v>266</v>
      </c>
      <c r="C228" t="s">
        <v>371</v>
      </c>
      <c r="D228">
        <v>1</v>
      </c>
      <c r="E228">
        <v>49.16</v>
      </c>
      <c r="F228" t="s">
        <v>294</v>
      </c>
      <c r="G228">
        <v>49.16</v>
      </c>
      <c r="H228">
        <v>59</v>
      </c>
      <c r="I228" t="s">
        <v>322</v>
      </c>
      <c r="J228" t="s">
        <v>372</v>
      </c>
      <c r="K228" t="s">
        <v>530</v>
      </c>
      <c r="L228" t="s">
        <v>203</v>
      </c>
      <c r="M228" t="s">
        <v>266</v>
      </c>
      <c r="N228" t="s">
        <v>51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266</v>
      </c>
      <c r="AH228" t="s">
        <v>51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59</v>
      </c>
      <c r="AV228">
        <f>$H$228*$AB$228</f>
        <v>59</v>
      </c>
      <c r="AW228">
        <f>$H$228*$AC$228</f>
        <v>59</v>
      </c>
      <c r="AX228">
        <f>$H$228*$AD$228</f>
        <v>59</v>
      </c>
      <c r="AY228">
        <f>$H$228*$AE$228</f>
        <v>59</v>
      </c>
      <c r="AZ228">
        <f>$H$228*$AF$228</f>
        <v>59</v>
      </c>
    </row>
    <row r="229" spans="1:52" x14ac:dyDescent="0.25">
      <c r="A229">
        <v>272</v>
      </c>
      <c r="B229" t="s">
        <v>266</v>
      </c>
      <c r="C229" t="s">
        <v>447</v>
      </c>
      <c r="D229">
        <v>2</v>
      </c>
      <c r="E229">
        <v>166.94</v>
      </c>
      <c r="F229" t="s">
        <v>294</v>
      </c>
      <c r="G229">
        <v>83.47</v>
      </c>
      <c r="H229">
        <v>200.32</v>
      </c>
      <c r="I229" t="s">
        <v>289</v>
      </c>
      <c r="J229" t="s">
        <v>448</v>
      </c>
      <c r="K229" t="s">
        <v>568</v>
      </c>
      <c r="L229" t="s">
        <v>203</v>
      </c>
      <c r="M229" t="s">
        <v>266</v>
      </c>
      <c r="N229" t="s">
        <v>51</v>
      </c>
      <c r="O229" t="s">
        <v>4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266</v>
      </c>
      <c r="AH229" t="s">
        <v>51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200.32</v>
      </c>
      <c r="AN229">
        <f>$H$229*$T$229</f>
        <v>200.32</v>
      </c>
      <c r="AO229">
        <f>$H$229*$U$229</f>
        <v>200.32</v>
      </c>
      <c r="AP229">
        <f>$H$229*$V$229</f>
        <v>200.32</v>
      </c>
      <c r="AQ229">
        <f>$H$229*$W$229</f>
        <v>200.32</v>
      </c>
      <c r="AR229">
        <f>$H$229*$X$229</f>
        <v>200.32</v>
      </c>
      <c r="AS229">
        <f>$H$229*$Y$229</f>
        <v>200.32</v>
      </c>
      <c r="AT229">
        <f>$H$229*$Z$229</f>
        <v>200.32</v>
      </c>
      <c r="AU229">
        <f>$H$229*$AA$229</f>
        <v>200.32</v>
      </c>
      <c r="AV229">
        <f>$H$229*$AB$229</f>
        <v>200.32</v>
      </c>
      <c r="AW229">
        <f>$H$229*$AC$229</f>
        <v>200.32</v>
      </c>
      <c r="AX229">
        <f>$H$229*$AD$229</f>
        <v>200.32</v>
      </c>
      <c r="AY229">
        <f>$H$229*$AE$229</f>
        <v>200.32</v>
      </c>
      <c r="AZ229">
        <f>$H$229*$AF$229</f>
        <v>200.32</v>
      </c>
    </row>
    <row r="230" spans="1:52" x14ac:dyDescent="0.25">
      <c r="A230">
        <v>273</v>
      </c>
      <c r="B230" t="s">
        <v>266</v>
      </c>
      <c r="C230" t="s">
        <v>449</v>
      </c>
      <c r="D230">
        <v>1</v>
      </c>
      <c r="E230">
        <v>443.83</v>
      </c>
      <c r="F230" t="s">
        <v>294</v>
      </c>
      <c r="G230">
        <v>443.83</v>
      </c>
      <c r="H230">
        <v>532.59</v>
      </c>
      <c r="I230" t="s">
        <v>325</v>
      </c>
      <c r="J230" t="s">
        <v>448</v>
      </c>
      <c r="K230" t="s">
        <v>569</v>
      </c>
      <c r="L230" t="s">
        <v>203</v>
      </c>
      <c r="M230" t="s">
        <v>266</v>
      </c>
      <c r="N230" t="s">
        <v>51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266</v>
      </c>
      <c r="AH230" t="s">
        <v>51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532.59</v>
      </c>
      <c r="AO230">
        <f>$H$230*$U$230</f>
        <v>532.59</v>
      </c>
      <c r="AP230">
        <f>$H$230*$V$230</f>
        <v>532.59</v>
      </c>
      <c r="AQ230">
        <f>$H$230*$W$230</f>
        <v>532.59</v>
      </c>
      <c r="AR230">
        <f>$H$230*$X$230</f>
        <v>532.59</v>
      </c>
      <c r="AS230">
        <f>$H$230*$Y$230</f>
        <v>532.59</v>
      </c>
      <c r="AT230">
        <f>$H$230*$Z$230</f>
        <v>532.59</v>
      </c>
      <c r="AU230">
        <f>$H$230*$AA$230</f>
        <v>532.59</v>
      </c>
      <c r="AV230">
        <f>$H$230*$AB$230</f>
        <v>532.59</v>
      </c>
      <c r="AW230">
        <f>$H$230*$AC$230</f>
        <v>532.59</v>
      </c>
      <c r="AX230">
        <f>$H$230*$AD$230</f>
        <v>532.59</v>
      </c>
      <c r="AY230">
        <f>$H$230*$AE$230</f>
        <v>532.59</v>
      </c>
      <c r="AZ230">
        <f>$H$230*$AF$230</f>
        <v>532.59</v>
      </c>
    </row>
    <row r="231" spans="1:52" x14ac:dyDescent="0.25">
      <c r="A231">
        <v>274</v>
      </c>
      <c r="B231" t="s">
        <v>266</v>
      </c>
      <c r="C231" t="s">
        <v>329</v>
      </c>
      <c r="D231">
        <v>2</v>
      </c>
      <c r="E231">
        <v>126.46</v>
      </c>
      <c r="F231" t="s">
        <v>294</v>
      </c>
      <c r="G231">
        <v>63.23</v>
      </c>
      <c r="H231">
        <v>151.76</v>
      </c>
      <c r="I231" t="s">
        <v>289</v>
      </c>
      <c r="J231" t="s">
        <v>325</v>
      </c>
      <c r="K231" t="s">
        <v>509</v>
      </c>
      <c r="L231" t="s">
        <v>203</v>
      </c>
      <c r="M231" t="s">
        <v>266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266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151.76</v>
      </c>
      <c r="AN231">
        <f>$H$231*$T$231</f>
        <v>151.76</v>
      </c>
      <c r="AO231">
        <f>$H$231*$U$231</f>
        <v>151.76</v>
      </c>
      <c r="AP231">
        <f>$H$231*$V$231</f>
        <v>151.76</v>
      </c>
      <c r="AQ231">
        <f>$H$231*$W$231</f>
        <v>151.76</v>
      </c>
      <c r="AR231">
        <f>$H$231*$X$231</f>
        <v>151.76</v>
      </c>
      <c r="AS231">
        <f>$H$231*$Y$231</f>
        <v>151.76</v>
      </c>
      <c r="AT231">
        <f>$H$231*$Z$231</f>
        <v>151.76</v>
      </c>
      <c r="AU231">
        <f>$H$231*$AA$231</f>
        <v>151.76</v>
      </c>
      <c r="AV231">
        <f>$H$231*$AB$231</f>
        <v>151.76</v>
      </c>
      <c r="AW231">
        <f>$H$231*$AC$231</f>
        <v>151.76</v>
      </c>
      <c r="AX231">
        <f>$H$231*$AD$231</f>
        <v>151.76</v>
      </c>
      <c r="AY231">
        <f>$H$231*$AE$231</f>
        <v>151.76</v>
      </c>
      <c r="AZ231">
        <f>$H$231*$AF$231</f>
        <v>151.76</v>
      </c>
    </row>
    <row r="232" spans="1:52" x14ac:dyDescent="0.25">
      <c r="A232">
        <v>275</v>
      </c>
      <c r="B232" t="s">
        <v>266</v>
      </c>
      <c r="C232" t="s">
        <v>327</v>
      </c>
      <c r="D232">
        <v>2</v>
      </c>
      <c r="E232">
        <v>106.5</v>
      </c>
      <c r="F232" t="s">
        <v>294</v>
      </c>
      <c r="G232">
        <v>53.25</v>
      </c>
      <c r="H232">
        <v>127.8</v>
      </c>
      <c r="I232" t="s">
        <v>289</v>
      </c>
      <c r="J232" t="s">
        <v>328</v>
      </c>
      <c r="K232" t="s">
        <v>508</v>
      </c>
      <c r="L232" t="s">
        <v>203</v>
      </c>
      <c r="M232" t="s">
        <v>266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266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127.8</v>
      </c>
      <c r="AN232">
        <f>$H$232*$T$232</f>
        <v>127.8</v>
      </c>
      <c r="AO232">
        <f>$H$232*$U$232</f>
        <v>127.8</v>
      </c>
      <c r="AP232">
        <f>$H$232*$V$232</f>
        <v>127.8</v>
      </c>
      <c r="AQ232">
        <f>$H$232*$W$232</f>
        <v>127.8</v>
      </c>
      <c r="AR232">
        <f>$H$232*$X$232</f>
        <v>127.8</v>
      </c>
      <c r="AS232">
        <f>$H$232*$Y$232</f>
        <v>127.8</v>
      </c>
      <c r="AT232">
        <f>$H$232*$Z$232</f>
        <v>127.8</v>
      </c>
      <c r="AU232">
        <f>$H$232*$AA$232</f>
        <v>127.8</v>
      </c>
      <c r="AV232">
        <f>$H$232*$AB$232</f>
        <v>127.8</v>
      </c>
      <c r="AW232">
        <f>$H$232*$AC$232</f>
        <v>127.8</v>
      </c>
      <c r="AX232">
        <f>$H$232*$AD$232</f>
        <v>127.8</v>
      </c>
      <c r="AY232">
        <f>$H$232*$AE$232</f>
        <v>127.8</v>
      </c>
      <c r="AZ232">
        <f>$H$232*$AF$232</f>
        <v>127.8</v>
      </c>
    </row>
    <row r="233" spans="1:52" x14ac:dyDescent="0.25">
      <c r="A233">
        <v>276</v>
      </c>
      <c r="B233" t="s">
        <v>266</v>
      </c>
      <c r="C233" t="s">
        <v>373</v>
      </c>
      <c r="D233">
        <v>1</v>
      </c>
      <c r="E233">
        <v>411.33</v>
      </c>
      <c r="F233" t="s">
        <v>294</v>
      </c>
      <c r="G233">
        <v>411.33</v>
      </c>
      <c r="H233">
        <v>493.59</v>
      </c>
      <c r="I233" t="s">
        <v>325</v>
      </c>
      <c r="J233" t="s">
        <v>356</v>
      </c>
      <c r="K233" t="s">
        <v>531</v>
      </c>
      <c r="L233" t="s">
        <v>203</v>
      </c>
      <c r="M233" t="s">
        <v>266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266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493.59</v>
      </c>
      <c r="AO233">
        <f>$H$233*$U$233</f>
        <v>493.59</v>
      </c>
      <c r="AP233">
        <f>$H$233*$V$233</f>
        <v>493.59</v>
      </c>
      <c r="AQ233">
        <f>$H$233*$W$233</f>
        <v>493.59</v>
      </c>
      <c r="AR233">
        <f>$H$233*$X$233</f>
        <v>493.59</v>
      </c>
      <c r="AS233">
        <f>$H$233*$Y$233</f>
        <v>493.59</v>
      </c>
      <c r="AT233">
        <f>$H$233*$Z$233</f>
        <v>493.59</v>
      </c>
      <c r="AU233">
        <f>$H$233*$AA$233</f>
        <v>493.59</v>
      </c>
      <c r="AV233">
        <f>$H$233*$AB$233</f>
        <v>493.59</v>
      </c>
      <c r="AW233">
        <f>$H$233*$AC$233</f>
        <v>493.59</v>
      </c>
      <c r="AX233">
        <f>$H$233*$AD$233</f>
        <v>493.59</v>
      </c>
      <c r="AY233">
        <f>$H$233*$AE$233</f>
        <v>493.59</v>
      </c>
      <c r="AZ233">
        <f>$H$233*$AF$233</f>
        <v>493.59</v>
      </c>
    </row>
    <row r="234" spans="1:52" x14ac:dyDescent="0.25">
      <c r="A234">
        <v>277</v>
      </c>
      <c r="B234" t="s">
        <v>266</v>
      </c>
      <c r="C234" t="s">
        <v>419</v>
      </c>
      <c r="D234">
        <v>11.67</v>
      </c>
      <c r="E234">
        <v>44.81</v>
      </c>
      <c r="F234" t="s">
        <v>288</v>
      </c>
      <c r="G234">
        <v>3.84</v>
      </c>
      <c r="H234">
        <v>53.77</v>
      </c>
      <c r="I234" t="s">
        <v>420</v>
      </c>
      <c r="J234" t="s">
        <v>421</v>
      </c>
      <c r="K234" t="s">
        <v>553</v>
      </c>
      <c r="L234" t="s">
        <v>203</v>
      </c>
      <c r="M234" t="s">
        <v>266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266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53.77</v>
      </c>
      <c r="AV234">
        <f>$H$234*$AB$234</f>
        <v>53.77</v>
      </c>
      <c r="AW234">
        <f>$H$234*$AC$234</f>
        <v>53.77</v>
      </c>
      <c r="AX234">
        <f>$H$234*$AD$234</f>
        <v>53.77</v>
      </c>
      <c r="AY234">
        <f>$H$234*$AE$234</f>
        <v>53.77</v>
      </c>
      <c r="AZ234">
        <f>$H$234*$AF$234</f>
        <v>53.77</v>
      </c>
    </row>
    <row r="235" spans="1:52" x14ac:dyDescent="0.25">
      <c r="A235">
        <v>278</v>
      </c>
      <c r="B235" t="s">
        <v>266</v>
      </c>
      <c r="C235" t="s">
        <v>422</v>
      </c>
      <c r="D235">
        <v>93.33</v>
      </c>
      <c r="E235">
        <v>308.92</v>
      </c>
      <c r="F235" t="s">
        <v>308</v>
      </c>
      <c r="G235">
        <v>3.31</v>
      </c>
      <c r="H235">
        <v>370.7</v>
      </c>
      <c r="I235" t="s">
        <v>420</v>
      </c>
      <c r="J235" t="s">
        <v>423</v>
      </c>
      <c r="K235" t="s">
        <v>554</v>
      </c>
      <c r="L235" t="s">
        <v>203</v>
      </c>
      <c r="M235" t="s">
        <v>266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266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370.7</v>
      </c>
      <c r="AN235">
        <f>$H$235*$T$235</f>
        <v>370.7</v>
      </c>
      <c r="AO235">
        <f>$H$235*$U$235</f>
        <v>370.7</v>
      </c>
      <c r="AP235">
        <f>$H$235*$V$235</f>
        <v>370.7</v>
      </c>
      <c r="AQ235">
        <f>$H$235*$W$235</f>
        <v>370.7</v>
      </c>
      <c r="AR235">
        <f>$H$235*$X$235</f>
        <v>370.7</v>
      </c>
      <c r="AS235">
        <f>$H$235*$Y$235</f>
        <v>370.7</v>
      </c>
      <c r="AT235">
        <f>$H$235*$Z$235</f>
        <v>370.7</v>
      </c>
      <c r="AU235">
        <f>$H$235*$AA$235</f>
        <v>370.7</v>
      </c>
      <c r="AV235">
        <f>$H$235*$AB$235</f>
        <v>370.7</v>
      </c>
      <c r="AW235">
        <f>$H$235*$AC$235</f>
        <v>370.7</v>
      </c>
      <c r="AX235">
        <f>$H$235*$AD$235</f>
        <v>370.7</v>
      </c>
      <c r="AY235">
        <f>$H$235*$AE$235</f>
        <v>370.7</v>
      </c>
      <c r="AZ235">
        <f>$H$235*$AF$235</f>
        <v>370.7</v>
      </c>
    </row>
    <row r="236" spans="1:52" x14ac:dyDescent="0.25">
      <c r="A236">
        <v>279</v>
      </c>
      <c r="B236" t="s">
        <v>266</v>
      </c>
      <c r="C236" t="s">
        <v>424</v>
      </c>
      <c r="D236">
        <v>93.33</v>
      </c>
      <c r="E236">
        <v>99.86</v>
      </c>
      <c r="F236" t="s">
        <v>308</v>
      </c>
      <c r="G236">
        <v>1.07</v>
      </c>
      <c r="H236">
        <v>119.84</v>
      </c>
      <c r="I236" t="s">
        <v>289</v>
      </c>
      <c r="J236" t="s">
        <v>425</v>
      </c>
      <c r="K236" t="s">
        <v>555</v>
      </c>
      <c r="L236" t="s">
        <v>203</v>
      </c>
      <c r="M236" t="s">
        <v>266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266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119.84</v>
      </c>
      <c r="AY236">
        <f>$H$236*$AE$236</f>
        <v>119.84</v>
      </c>
      <c r="AZ236">
        <f>$H$236*$AF$236</f>
        <v>119.84</v>
      </c>
    </row>
    <row r="237" spans="1:52" x14ac:dyDescent="0.25">
      <c r="A237">
        <v>280</v>
      </c>
      <c r="B237" t="s">
        <v>266</v>
      </c>
      <c r="C237" t="s">
        <v>316</v>
      </c>
      <c r="D237">
        <v>280</v>
      </c>
      <c r="E237">
        <v>453.6</v>
      </c>
      <c r="F237" t="s">
        <v>308</v>
      </c>
      <c r="G237">
        <v>1.62</v>
      </c>
      <c r="H237">
        <v>544.32000000000005</v>
      </c>
      <c r="I237" t="s">
        <v>289</v>
      </c>
      <c r="J237" t="s">
        <v>317</v>
      </c>
      <c r="K237" t="s">
        <v>504</v>
      </c>
      <c r="L237" t="s">
        <v>203</v>
      </c>
      <c r="M237" t="s">
        <v>266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266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544.32000000000005</v>
      </c>
      <c r="AO237">
        <f>$H$237*$U$237</f>
        <v>544.32000000000005</v>
      </c>
      <c r="AP237">
        <f>$H$237*$V$237</f>
        <v>544.32000000000005</v>
      </c>
      <c r="AQ237">
        <f>$H$237*$W$237</f>
        <v>544.32000000000005</v>
      </c>
      <c r="AR237">
        <f>$H$237*$X$237</f>
        <v>544.32000000000005</v>
      </c>
      <c r="AS237">
        <f>$H$237*$Y$237</f>
        <v>544.32000000000005</v>
      </c>
      <c r="AT237">
        <f>$H$237*$Z$237</f>
        <v>544.32000000000005</v>
      </c>
      <c r="AU237">
        <f>$H$237*$AA$237</f>
        <v>544.32000000000005</v>
      </c>
      <c r="AV237">
        <f>$H$237*$AB$237</f>
        <v>544.32000000000005</v>
      </c>
      <c r="AW237">
        <f>$H$237*$AC$237</f>
        <v>544.32000000000005</v>
      </c>
      <c r="AX237">
        <f>$H$237*$AD$237</f>
        <v>544.32000000000005</v>
      </c>
      <c r="AY237">
        <f>$H$237*$AE$237</f>
        <v>544.32000000000005</v>
      </c>
      <c r="AZ237">
        <f>$H$237*$AF$237</f>
        <v>544.32000000000005</v>
      </c>
    </row>
    <row r="238" spans="1:52" x14ac:dyDescent="0.25">
      <c r="A238">
        <v>281</v>
      </c>
      <c r="B238" t="s">
        <v>266</v>
      </c>
      <c r="C238" t="s">
        <v>318</v>
      </c>
      <c r="D238">
        <v>373.33</v>
      </c>
      <c r="E238">
        <v>1541.85</v>
      </c>
      <c r="F238" t="s">
        <v>308</v>
      </c>
      <c r="G238">
        <v>4.13</v>
      </c>
      <c r="H238">
        <v>1850.23</v>
      </c>
      <c r="I238" t="s">
        <v>319</v>
      </c>
      <c r="J238" t="s">
        <v>320</v>
      </c>
      <c r="K238" t="s">
        <v>505</v>
      </c>
      <c r="L238" t="s">
        <v>203</v>
      </c>
      <c r="M238" t="s">
        <v>266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266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462.5575</v>
      </c>
      <c r="AN238">
        <f>$H$238*$T$238</f>
        <v>462.5575</v>
      </c>
      <c r="AO238">
        <f>$H$238*$U$238</f>
        <v>462.5575</v>
      </c>
      <c r="AP238">
        <f>$H$238*$V$238</f>
        <v>462.5575</v>
      </c>
      <c r="AQ238">
        <f>$H$238*$W$238</f>
        <v>925.11500000000001</v>
      </c>
      <c r="AR238">
        <f>$H$238*$X$238</f>
        <v>925.11500000000001</v>
      </c>
      <c r="AS238">
        <f>$H$238*$Y$238</f>
        <v>925.11500000000001</v>
      </c>
      <c r="AT238">
        <f>$H$238*$Z$238</f>
        <v>925.11500000000001</v>
      </c>
      <c r="AU238">
        <f>$H$238*$AA$238</f>
        <v>1850.23</v>
      </c>
      <c r="AV238">
        <f>$H$238*$AB$238</f>
        <v>1850.23</v>
      </c>
      <c r="AW238">
        <f>$H$238*$AC$238</f>
        <v>1850.23</v>
      </c>
      <c r="AX238">
        <f>$H$238*$AD$238</f>
        <v>1850.23</v>
      </c>
      <c r="AY238">
        <f>$H$238*$AE$238</f>
        <v>1850.23</v>
      </c>
      <c r="AZ238">
        <f>$H$238*$AF$238</f>
        <v>1850.23</v>
      </c>
    </row>
    <row r="239" spans="1:52" x14ac:dyDescent="0.25">
      <c r="A239">
        <v>282</v>
      </c>
      <c r="B239" t="s">
        <v>266</v>
      </c>
      <c r="C239" t="s">
        <v>426</v>
      </c>
      <c r="D239">
        <v>46.67</v>
      </c>
      <c r="E239">
        <v>122.74</v>
      </c>
      <c r="F239" t="s">
        <v>288</v>
      </c>
      <c r="G239">
        <v>2.63</v>
      </c>
      <c r="H239">
        <v>147.28</v>
      </c>
      <c r="I239" t="s">
        <v>289</v>
      </c>
      <c r="J239" t="s">
        <v>427</v>
      </c>
      <c r="K239" t="s">
        <v>556</v>
      </c>
      <c r="L239" t="s">
        <v>203</v>
      </c>
      <c r="M239" t="s">
        <v>266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266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147.28</v>
      </c>
      <c r="AN239">
        <f>$H$239*$T$239</f>
        <v>147.28</v>
      </c>
      <c r="AO239">
        <f>$H$239*$U$239</f>
        <v>147.28</v>
      </c>
      <c r="AP239">
        <f>$H$239*$V$239</f>
        <v>147.28</v>
      </c>
      <c r="AQ239">
        <f>$H$239*$W$239</f>
        <v>147.28</v>
      </c>
      <c r="AR239">
        <f>$H$239*$X$239</f>
        <v>147.28</v>
      </c>
      <c r="AS239">
        <f>$H$239*$Y$239</f>
        <v>147.28</v>
      </c>
      <c r="AT239">
        <f>$H$239*$Z$239</f>
        <v>147.28</v>
      </c>
      <c r="AU239">
        <f>$H$239*$AA$239</f>
        <v>147.28</v>
      </c>
      <c r="AV239">
        <f>$H$239*$AB$239</f>
        <v>147.28</v>
      </c>
      <c r="AW239">
        <f>$H$239*$AC$239</f>
        <v>147.28</v>
      </c>
      <c r="AX239">
        <f>$H$239*$AD$239</f>
        <v>147.28</v>
      </c>
      <c r="AY239">
        <f>$H$239*$AE$239</f>
        <v>147.28</v>
      </c>
      <c r="AZ239">
        <f>$H$239*$AF$239</f>
        <v>147.28</v>
      </c>
    </row>
    <row r="240" spans="1:52" x14ac:dyDescent="0.25">
      <c r="A240">
        <v>283</v>
      </c>
      <c r="B240" t="s">
        <v>266</v>
      </c>
      <c r="C240" t="s">
        <v>428</v>
      </c>
      <c r="D240">
        <v>46.67</v>
      </c>
      <c r="E240">
        <v>288.89</v>
      </c>
      <c r="F240" t="s">
        <v>288</v>
      </c>
      <c r="G240">
        <v>6.19</v>
      </c>
      <c r="H240">
        <v>346.67</v>
      </c>
      <c r="I240" t="s">
        <v>292</v>
      </c>
      <c r="J240" t="s">
        <v>429</v>
      </c>
      <c r="K240" t="s">
        <v>557</v>
      </c>
      <c r="L240" t="s">
        <v>203</v>
      </c>
      <c r="M240" t="s">
        <v>266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266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346.67</v>
      </c>
      <c r="AN240">
        <f>$H$240*$T$240</f>
        <v>346.67</v>
      </c>
      <c r="AO240">
        <f>$H$240*$U$240</f>
        <v>346.67</v>
      </c>
      <c r="AP240">
        <f>$H$240*$V$240</f>
        <v>346.67</v>
      </c>
      <c r="AQ240">
        <f>$H$240*$W$240</f>
        <v>346.67</v>
      </c>
      <c r="AR240">
        <f>$H$240*$X$240</f>
        <v>346.67</v>
      </c>
      <c r="AS240">
        <f>$H$240*$Y$240</f>
        <v>346.67</v>
      </c>
      <c r="AT240">
        <f>$H$240*$Z$240</f>
        <v>346.67</v>
      </c>
      <c r="AU240">
        <f>$H$240*$AA$240</f>
        <v>346.67</v>
      </c>
      <c r="AV240">
        <f>$H$240*$AB$240</f>
        <v>346.67</v>
      </c>
      <c r="AW240">
        <f>$H$240*$AC$240</f>
        <v>346.67</v>
      </c>
      <c r="AX240">
        <f>$H$240*$AD$240</f>
        <v>346.67</v>
      </c>
      <c r="AY240">
        <f>$H$240*$AE$240</f>
        <v>346.67</v>
      </c>
      <c r="AZ240">
        <f>$H$240*$AF$240</f>
        <v>346.67</v>
      </c>
    </row>
    <row r="241" spans="1:52" x14ac:dyDescent="0.25">
      <c r="A241">
        <v>284</v>
      </c>
      <c r="B241" t="s">
        <v>266</v>
      </c>
      <c r="C241" t="s">
        <v>318</v>
      </c>
      <c r="D241">
        <v>135.27000000000001</v>
      </c>
      <c r="E241">
        <v>558.66999999999996</v>
      </c>
      <c r="F241" t="s">
        <v>308</v>
      </c>
      <c r="G241">
        <v>4.13</v>
      </c>
      <c r="H241">
        <v>670.41</v>
      </c>
      <c r="I241" t="s">
        <v>319</v>
      </c>
      <c r="J241" t="s">
        <v>320</v>
      </c>
      <c r="K241" t="s">
        <v>505</v>
      </c>
      <c r="L241" t="s">
        <v>203</v>
      </c>
      <c r="M241" t="s">
        <v>266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266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167.60249999999999</v>
      </c>
      <c r="AN241">
        <f>$H$241*$T$241</f>
        <v>167.60249999999999</v>
      </c>
      <c r="AO241">
        <f>$H$241*$U$241</f>
        <v>167.60249999999999</v>
      </c>
      <c r="AP241">
        <f>$H$241*$V$241</f>
        <v>167.60249999999999</v>
      </c>
      <c r="AQ241">
        <f>$H$241*$W$241</f>
        <v>335.20499999999998</v>
      </c>
      <c r="AR241">
        <f>$H$241*$X$241</f>
        <v>335.20499999999998</v>
      </c>
      <c r="AS241">
        <f>$H$241*$Y$241</f>
        <v>335.20499999999998</v>
      </c>
      <c r="AT241">
        <f>$H$241*$Z$241</f>
        <v>335.20499999999998</v>
      </c>
      <c r="AU241">
        <f>$H$241*$AA$241</f>
        <v>670.41</v>
      </c>
      <c r="AV241">
        <f>$H$241*$AB$241</f>
        <v>670.41</v>
      </c>
      <c r="AW241">
        <f>$H$241*$AC$241</f>
        <v>670.41</v>
      </c>
      <c r="AX241">
        <f>$H$241*$AD$241</f>
        <v>670.41</v>
      </c>
      <c r="AY241">
        <f>$H$241*$AE$241</f>
        <v>670.41</v>
      </c>
      <c r="AZ241">
        <f>$H$241*$AF$241</f>
        <v>670.41</v>
      </c>
    </row>
    <row r="242" spans="1:52" x14ac:dyDescent="0.25">
      <c r="A242">
        <v>285</v>
      </c>
      <c r="B242" t="s">
        <v>266</v>
      </c>
      <c r="C242" t="s">
        <v>424</v>
      </c>
      <c r="D242">
        <v>135.27000000000001</v>
      </c>
      <c r="E242">
        <v>144.74</v>
      </c>
      <c r="F242" t="s">
        <v>308</v>
      </c>
      <c r="G242">
        <v>1.07</v>
      </c>
      <c r="H242">
        <v>173.68</v>
      </c>
      <c r="I242" t="s">
        <v>289</v>
      </c>
      <c r="J242" t="s">
        <v>425</v>
      </c>
      <c r="K242" t="s">
        <v>555</v>
      </c>
      <c r="L242" t="s">
        <v>203</v>
      </c>
      <c r="M242" t="s">
        <v>266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266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173.68</v>
      </c>
      <c r="AY242">
        <f>$H$242*$AE$242</f>
        <v>173.68</v>
      </c>
      <c r="AZ242">
        <f>$H$242*$AF$242</f>
        <v>173.68</v>
      </c>
    </row>
    <row r="243" spans="1:52" x14ac:dyDescent="0.25">
      <c r="A243">
        <v>286</v>
      </c>
      <c r="B243" t="s">
        <v>266</v>
      </c>
      <c r="C243" t="s">
        <v>430</v>
      </c>
      <c r="D243">
        <v>135.27000000000001</v>
      </c>
      <c r="E243">
        <v>152.86000000000001</v>
      </c>
      <c r="F243" t="s">
        <v>308</v>
      </c>
      <c r="G243">
        <v>1.1299999999999999</v>
      </c>
      <c r="H243">
        <v>183.44</v>
      </c>
      <c r="I243" t="s">
        <v>289</v>
      </c>
      <c r="J243" t="s">
        <v>431</v>
      </c>
      <c r="K243" t="s">
        <v>558</v>
      </c>
      <c r="L243" t="s">
        <v>203</v>
      </c>
      <c r="M243" t="s">
        <v>266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266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183.44</v>
      </c>
      <c r="AN243">
        <f>$H$243*$T$243</f>
        <v>183.44</v>
      </c>
      <c r="AO243">
        <f>$H$243*$U$243</f>
        <v>183.44</v>
      </c>
      <c r="AP243">
        <f>$H$243*$V$243</f>
        <v>183.44</v>
      </c>
      <c r="AQ243">
        <f>$H$243*$W$243</f>
        <v>183.44</v>
      </c>
      <c r="AR243">
        <f>$H$243*$X$243</f>
        <v>183.44</v>
      </c>
      <c r="AS243">
        <f>$H$243*$Y$243</f>
        <v>183.44</v>
      </c>
      <c r="AT243">
        <f>$H$243*$Z$243</f>
        <v>183.44</v>
      </c>
      <c r="AU243">
        <f>$H$243*$AA$243</f>
        <v>183.44</v>
      </c>
      <c r="AV243">
        <f>$H$243*$AB$243</f>
        <v>183.44</v>
      </c>
      <c r="AW243">
        <f>$H$243*$AC$243</f>
        <v>183.44</v>
      </c>
      <c r="AX243">
        <f>$H$243*$AD$243</f>
        <v>183.44</v>
      </c>
      <c r="AY243">
        <f>$H$243*$AE$243</f>
        <v>183.44</v>
      </c>
      <c r="AZ243">
        <f>$H$243*$AF$243</f>
        <v>183.44</v>
      </c>
    </row>
    <row r="244" spans="1:52" x14ac:dyDescent="0.25">
      <c r="A244">
        <v>287</v>
      </c>
      <c r="B244" t="s">
        <v>266</v>
      </c>
      <c r="C244" t="s">
        <v>432</v>
      </c>
      <c r="D244">
        <v>35.82</v>
      </c>
      <c r="E244">
        <v>587.45000000000005</v>
      </c>
      <c r="F244" t="s">
        <v>308</v>
      </c>
      <c r="G244">
        <v>16.399999999999999</v>
      </c>
      <c r="H244">
        <v>704.95</v>
      </c>
      <c r="I244" t="s">
        <v>433</v>
      </c>
      <c r="J244" t="s">
        <v>326</v>
      </c>
      <c r="K244" t="s">
        <v>559</v>
      </c>
      <c r="L244" t="s">
        <v>203</v>
      </c>
      <c r="M244" t="s">
        <v>266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266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704.95</v>
      </c>
      <c r="AQ244">
        <f>$H$244*$W$244</f>
        <v>704.95</v>
      </c>
      <c r="AR244">
        <f>$H$244*$X$244</f>
        <v>704.95</v>
      </c>
      <c r="AS244">
        <f>$H$244*$Y$244</f>
        <v>704.95</v>
      </c>
      <c r="AT244">
        <f>$H$244*$Z$244</f>
        <v>704.95</v>
      </c>
      <c r="AU244">
        <f>$H$244*$AA$244</f>
        <v>704.95</v>
      </c>
      <c r="AV244">
        <f>$H$244*$AB$244</f>
        <v>704.95</v>
      </c>
      <c r="AW244">
        <f>$H$244*$AC$244</f>
        <v>704.95</v>
      </c>
      <c r="AX244">
        <f>$H$244*$AD$244</f>
        <v>704.95</v>
      </c>
      <c r="AY244">
        <f>$H$244*$AE$244</f>
        <v>704.95</v>
      </c>
      <c r="AZ244">
        <f>$H$244*$AF$244</f>
        <v>704.95</v>
      </c>
    </row>
    <row r="245" spans="1:52" x14ac:dyDescent="0.25">
      <c r="A245">
        <v>288</v>
      </c>
      <c r="B245" t="s">
        <v>266</v>
      </c>
      <c r="C245" t="s">
        <v>434</v>
      </c>
      <c r="D245">
        <v>71.64</v>
      </c>
      <c r="E245">
        <v>305.89999999999998</v>
      </c>
      <c r="F245" t="s">
        <v>308</v>
      </c>
      <c r="G245">
        <v>4.2699999999999996</v>
      </c>
      <c r="H245">
        <v>367.08</v>
      </c>
      <c r="I245" t="s">
        <v>435</v>
      </c>
      <c r="J245" t="s">
        <v>436</v>
      </c>
      <c r="K245" t="s">
        <v>560</v>
      </c>
      <c r="L245" t="s">
        <v>203</v>
      </c>
      <c r="M245" t="s">
        <v>266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266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367.08</v>
      </c>
      <c r="AN245">
        <f>$H$245*$T$245</f>
        <v>367.08</v>
      </c>
      <c r="AO245">
        <f>$H$245*$U$245</f>
        <v>367.08</v>
      </c>
      <c r="AP245">
        <f>$H$245*$V$245</f>
        <v>367.08</v>
      </c>
      <c r="AQ245">
        <f>$H$245*$W$245</f>
        <v>367.08</v>
      </c>
      <c r="AR245">
        <f>$H$245*$X$245</f>
        <v>367.08</v>
      </c>
      <c r="AS245">
        <f>$H$245*$Y$245</f>
        <v>367.08</v>
      </c>
      <c r="AT245">
        <f>$H$245*$Z$245</f>
        <v>367.08</v>
      </c>
      <c r="AU245">
        <f>$H$245*$AA$245</f>
        <v>367.08</v>
      </c>
      <c r="AV245">
        <f>$H$245*$AB$245</f>
        <v>367.08</v>
      </c>
      <c r="AW245">
        <f>$H$245*$AC$245</f>
        <v>367.08</v>
      </c>
      <c r="AX245">
        <f>$H$245*$AD$245</f>
        <v>367.08</v>
      </c>
      <c r="AY245">
        <f>$H$245*$AE$245</f>
        <v>367.08</v>
      </c>
      <c r="AZ245">
        <f>$H$245*$AF$245</f>
        <v>367.08</v>
      </c>
    </row>
    <row r="246" spans="1:52" x14ac:dyDescent="0.25">
      <c r="A246">
        <v>289</v>
      </c>
      <c r="B246" t="s">
        <v>266</v>
      </c>
      <c r="C246" t="s">
        <v>437</v>
      </c>
      <c r="D246">
        <v>71.64</v>
      </c>
      <c r="E246">
        <v>770.13</v>
      </c>
      <c r="F246" t="s">
        <v>308</v>
      </c>
      <c r="G246">
        <v>10.75</v>
      </c>
      <c r="H246">
        <v>924.15</v>
      </c>
      <c r="I246" t="s">
        <v>435</v>
      </c>
      <c r="J246" t="s">
        <v>326</v>
      </c>
      <c r="K246" t="s">
        <v>561</v>
      </c>
      <c r="L246" t="s">
        <v>203</v>
      </c>
      <c r="M246" t="s">
        <v>266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266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924.15</v>
      </c>
      <c r="AN246">
        <f>$H$246*$T$246</f>
        <v>924.15</v>
      </c>
      <c r="AO246">
        <f>$H$246*$U$246</f>
        <v>924.15</v>
      </c>
      <c r="AP246">
        <f>$H$246*$V$246</f>
        <v>924.15</v>
      </c>
      <c r="AQ246">
        <f>$H$246*$W$246</f>
        <v>924.15</v>
      </c>
      <c r="AR246">
        <f>$H$246*$X$246</f>
        <v>924.15</v>
      </c>
      <c r="AS246">
        <f>$H$246*$Y$246</f>
        <v>924.15</v>
      </c>
      <c r="AT246">
        <f>$H$246*$Z$246</f>
        <v>924.15</v>
      </c>
      <c r="AU246">
        <f>$H$246*$AA$246</f>
        <v>924.15</v>
      </c>
      <c r="AV246">
        <f>$H$246*$AB$246</f>
        <v>924.15</v>
      </c>
      <c r="AW246">
        <f>$H$246*$AC$246</f>
        <v>924.15</v>
      </c>
      <c r="AX246">
        <f>$H$246*$AD$246</f>
        <v>924.15</v>
      </c>
      <c r="AY246">
        <f>$H$246*$AE$246</f>
        <v>924.15</v>
      </c>
      <c r="AZ246">
        <f>$H$246*$AF$246</f>
        <v>924.15</v>
      </c>
    </row>
    <row r="247" spans="1:52" x14ac:dyDescent="0.25">
      <c r="A247">
        <v>290</v>
      </c>
      <c r="B247" t="s">
        <v>266</v>
      </c>
      <c r="C247" t="s">
        <v>438</v>
      </c>
      <c r="D247">
        <v>38.89</v>
      </c>
      <c r="E247">
        <v>33.83</v>
      </c>
      <c r="F247" t="s">
        <v>308</v>
      </c>
      <c r="G247">
        <v>0.87</v>
      </c>
      <c r="H247">
        <v>40.590000000000003</v>
      </c>
      <c r="I247" t="s">
        <v>331</v>
      </c>
      <c r="J247" t="s">
        <v>439</v>
      </c>
      <c r="K247" t="s">
        <v>562</v>
      </c>
      <c r="L247" t="s">
        <v>203</v>
      </c>
      <c r="M247" t="s">
        <v>266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266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40.590000000000003</v>
      </c>
      <c r="AN247">
        <f>$H$247*$T$247</f>
        <v>40.590000000000003</v>
      </c>
      <c r="AO247">
        <f>$H$247*$U$247</f>
        <v>40.590000000000003</v>
      </c>
      <c r="AP247">
        <f>$H$247*$V$247</f>
        <v>40.590000000000003</v>
      </c>
      <c r="AQ247">
        <f>$H$247*$W$247</f>
        <v>40.590000000000003</v>
      </c>
      <c r="AR247">
        <f>$H$247*$X$247</f>
        <v>40.590000000000003</v>
      </c>
      <c r="AS247">
        <f>$H$247*$Y$247</f>
        <v>40.590000000000003</v>
      </c>
      <c r="AT247">
        <f>$H$247*$Z$247</f>
        <v>40.590000000000003</v>
      </c>
      <c r="AU247">
        <f>$H$247*$AA$247</f>
        <v>40.590000000000003</v>
      </c>
      <c r="AV247">
        <f>$H$247*$AB$247</f>
        <v>40.590000000000003</v>
      </c>
      <c r="AW247">
        <f>$H$247*$AC$247</f>
        <v>40.590000000000003</v>
      </c>
      <c r="AX247">
        <f>$H$247*$AD$247</f>
        <v>40.590000000000003</v>
      </c>
      <c r="AY247">
        <f>$H$247*$AE$247</f>
        <v>40.590000000000003</v>
      </c>
      <c r="AZ247">
        <f>$H$247*$AF$247</f>
        <v>40.590000000000003</v>
      </c>
    </row>
    <row r="248" spans="1:52" x14ac:dyDescent="0.25">
      <c r="A248">
        <v>291</v>
      </c>
      <c r="B248" t="s">
        <v>266</v>
      </c>
      <c r="C248" t="s">
        <v>440</v>
      </c>
      <c r="D248">
        <v>38.89</v>
      </c>
      <c r="E248">
        <v>274.95</v>
      </c>
      <c r="F248" t="s">
        <v>308</v>
      </c>
      <c r="G248">
        <v>7.07</v>
      </c>
      <c r="H248">
        <v>329.95</v>
      </c>
      <c r="I248" t="s">
        <v>331</v>
      </c>
      <c r="J248" t="s">
        <v>326</v>
      </c>
      <c r="K248" t="s">
        <v>563</v>
      </c>
      <c r="L248" t="s">
        <v>203</v>
      </c>
      <c r="M248" t="s">
        <v>266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266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329.95</v>
      </c>
      <c r="AN248">
        <f>$H$248*$T$248</f>
        <v>329.95</v>
      </c>
      <c r="AO248">
        <f>$H$248*$U$248</f>
        <v>329.95</v>
      </c>
      <c r="AP248">
        <f>$H$248*$V$248</f>
        <v>329.95</v>
      </c>
      <c r="AQ248">
        <f>$H$248*$W$248</f>
        <v>329.95</v>
      </c>
      <c r="AR248">
        <f>$H$248*$X$248</f>
        <v>329.95</v>
      </c>
      <c r="AS248">
        <f>$H$248*$Y$248</f>
        <v>329.95</v>
      </c>
      <c r="AT248">
        <f>$H$248*$Z$248</f>
        <v>329.95</v>
      </c>
      <c r="AU248">
        <f>$H$248*$AA$248</f>
        <v>329.95</v>
      </c>
      <c r="AV248">
        <f>$H$248*$AB$248</f>
        <v>329.95</v>
      </c>
      <c r="AW248">
        <f>$H$248*$AC$248</f>
        <v>329.95</v>
      </c>
      <c r="AX248">
        <f>$H$248*$AD$248</f>
        <v>329.95</v>
      </c>
      <c r="AY248">
        <f>$H$248*$AE$248</f>
        <v>329.95</v>
      </c>
      <c r="AZ248">
        <f>$H$248*$AF$248</f>
        <v>329.95</v>
      </c>
    </row>
    <row r="249" spans="1:52" x14ac:dyDescent="0.25">
      <c r="A249">
        <v>292</v>
      </c>
      <c r="B249" t="s">
        <v>4</v>
      </c>
      <c r="C249" t="s">
        <v>444</v>
      </c>
      <c r="D249">
        <v>1</v>
      </c>
      <c r="E249">
        <v>67.459999999999994</v>
      </c>
      <c r="F249" t="s">
        <v>294</v>
      </c>
      <c r="G249">
        <v>67.459999999999994</v>
      </c>
      <c r="H249">
        <v>80.959999999999994</v>
      </c>
      <c r="I249" t="s">
        <v>296</v>
      </c>
      <c r="J249" t="s">
        <v>445</v>
      </c>
      <c r="K249" t="s">
        <v>566</v>
      </c>
      <c r="L249" t="s">
        <v>203</v>
      </c>
      <c r="M249" t="s">
        <v>4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4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80.959999999999994</v>
      </c>
      <c r="AY249">
        <f>$H$249*$AE$249</f>
        <v>80.959999999999994</v>
      </c>
      <c r="AZ249">
        <f>$H$249*$AF$249</f>
        <v>80.959999999999994</v>
      </c>
    </row>
    <row r="250" spans="1:52" x14ac:dyDescent="0.25">
      <c r="A250">
        <v>293</v>
      </c>
      <c r="B250" t="s">
        <v>4</v>
      </c>
      <c r="C250" t="s">
        <v>312</v>
      </c>
      <c r="D250">
        <v>5</v>
      </c>
      <c r="E250">
        <v>38.75</v>
      </c>
      <c r="F250" t="s">
        <v>288</v>
      </c>
      <c r="G250">
        <v>7.75</v>
      </c>
      <c r="H250">
        <v>46.51</v>
      </c>
      <c r="I250" t="s">
        <v>289</v>
      </c>
      <c r="J250" t="s">
        <v>313</v>
      </c>
      <c r="K250" t="s">
        <v>502</v>
      </c>
      <c r="L250" t="s">
        <v>203</v>
      </c>
      <c r="M250" t="s">
        <v>4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4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46.51</v>
      </c>
      <c r="AV250">
        <f>$H$250*$AB$250</f>
        <v>46.51</v>
      </c>
      <c r="AW250">
        <f>$H$250*$AC$250</f>
        <v>46.51</v>
      </c>
      <c r="AX250">
        <f>$H$250*$AD$250</f>
        <v>46.51</v>
      </c>
      <c r="AY250">
        <f>$H$250*$AE$250</f>
        <v>46.51</v>
      </c>
      <c r="AZ250">
        <f>$H$250*$AF$250</f>
        <v>46.51</v>
      </c>
    </row>
    <row r="251" spans="1:52" x14ac:dyDescent="0.25">
      <c r="A251">
        <v>294</v>
      </c>
      <c r="B251" t="s">
        <v>4</v>
      </c>
      <c r="C251" t="s">
        <v>314</v>
      </c>
      <c r="D251">
        <v>5</v>
      </c>
      <c r="E251">
        <v>65.7</v>
      </c>
      <c r="F251" t="s">
        <v>288</v>
      </c>
      <c r="G251">
        <v>13.14</v>
      </c>
      <c r="H251">
        <v>78.84</v>
      </c>
      <c r="I251" t="s">
        <v>292</v>
      </c>
      <c r="J251" t="s">
        <v>315</v>
      </c>
      <c r="K251" t="s">
        <v>503</v>
      </c>
      <c r="L251" t="s">
        <v>203</v>
      </c>
      <c r="M251" t="s">
        <v>4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4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78.84</v>
      </c>
      <c r="AV251">
        <f>$H$251*$AB$251</f>
        <v>78.84</v>
      </c>
      <c r="AW251">
        <f>$H$251*$AC$251</f>
        <v>78.84</v>
      </c>
      <c r="AX251">
        <f>$H$251*$AD$251</f>
        <v>78.84</v>
      </c>
      <c r="AY251">
        <f>$H$251*$AE$251</f>
        <v>78.84</v>
      </c>
      <c r="AZ251">
        <f>$H$251*$AF$251</f>
        <v>78.84</v>
      </c>
    </row>
    <row r="252" spans="1:52" x14ac:dyDescent="0.25">
      <c r="A252">
        <v>295</v>
      </c>
      <c r="B252" t="s">
        <v>4</v>
      </c>
      <c r="C252" t="s">
        <v>367</v>
      </c>
      <c r="D252">
        <v>5</v>
      </c>
      <c r="E252">
        <v>27.6</v>
      </c>
      <c r="F252" t="s">
        <v>288</v>
      </c>
      <c r="G252">
        <v>5.52</v>
      </c>
      <c r="H252">
        <v>33.119999999999997</v>
      </c>
      <c r="I252" t="s">
        <v>292</v>
      </c>
      <c r="J252" t="s">
        <v>368</v>
      </c>
      <c r="K252" t="s">
        <v>528</v>
      </c>
      <c r="L252" t="s">
        <v>203</v>
      </c>
      <c r="M252" t="s">
        <v>4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</v>
      </c>
      <c r="AF252">
        <v>1</v>
      </c>
      <c r="AG252" t="s">
        <v>4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0</v>
      </c>
      <c r="AV252">
        <f>$H$252*$AB$252</f>
        <v>0</v>
      </c>
      <c r="AW252">
        <f>$H$252*$AC$252</f>
        <v>33.119999999999997</v>
      </c>
      <c r="AX252">
        <f>$H$252*$AD$252</f>
        <v>33.119999999999997</v>
      </c>
      <c r="AY252">
        <f>$H$252*$AE$252</f>
        <v>33.119999999999997</v>
      </c>
      <c r="AZ252">
        <f>$H$252*$AF$252</f>
        <v>33.119999999999997</v>
      </c>
    </row>
    <row r="253" spans="1:52" x14ac:dyDescent="0.25">
      <c r="A253">
        <v>296</v>
      </c>
      <c r="B253" t="s">
        <v>4</v>
      </c>
      <c r="C253" t="s">
        <v>386</v>
      </c>
      <c r="D253">
        <v>6</v>
      </c>
      <c r="E253">
        <v>96.84</v>
      </c>
      <c r="F253" t="s">
        <v>294</v>
      </c>
      <c r="G253">
        <v>16.14</v>
      </c>
      <c r="H253">
        <v>116.2</v>
      </c>
      <c r="I253" t="s">
        <v>296</v>
      </c>
      <c r="J253" t="s">
        <v>387</v>
      </c>
      <c r="K253" t="s">
        <v>537</v>
      </c>
      <c r="L253" t="s">
        <v>203</v>
      </c>
      <c r="M253" t="s">
        <v>4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4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116.2</v>
      </c>
      <c r="AS253">
        <f>$H$253*$Y$253</f>
        <v>116.2</v>
      </c>
      <c r="AT253">
        <f>$H$253*$Z$253</f>
        <v>116.2</v>
      </c>
      <c r="AU253">
        <f>$H$253*$AA$253</f>
        <v>116.2</v>
      </c>
      <c r="AV253">
        <f>$H$253*$AB$253</f>
        <v>116.2</v>
      </c>
      <c r="AW253">
        <f>$H$253*$AC$253</f>
        <v>116.2</v>
      </c>
      <c r="AX253">
        <f>$H$253*$AD$253</f>
        <v>116.2</v>
      </c>
      <c r="AY253">
        <f>$H$253*$AE$253</f>
        <v>116.2</v>
      </c>
      <c r="AZ253">
        <f>$H$253*$AF$253</f>
        <v>116.2</v>
      </c>
    </row>
    <row r="254" spans="1:52" x14ac:dyDescent="0.25">
      <c r="A254">
        <v>297</v>
      </c>
      <c r="B254" t="s">
        <v>4</v>
      </c>
      <c r="C254" t="s">
        <v>446</v>
      </c>
      <c r="D254">
        <v>1</v>
      </c>
      <c r="E254">
        <v>71.34</v>
      </c>
      <c r="F254" t="s">
        <v>294</v>
      </c>
      <c r="G254">
        <v>71.34</v>
      </c>
      <c r="H254">
        <v>85.6</v>
      </c>
      <c r="I254" t="s">
        <v>299</v>
      </c>
      <c r="J254" t="s">
        <v>356</v>
      </c>
      <c r="K254" t="s">
        <v>567</v>
      </c>
      <c r="L254" t="s">
        <v>203</v>
      </c>
      <c r="M254" t="s">
        <v>4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1</v>
      </c>
      <c r="AF254">
        <v>1</v>
      </c>
      <c r="AG254" t="s">
        <v>4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0</v>
      </c>
      <c r="AX254">
        <f>$H$254*$AD$254</f>
        <v>85.6</v>
      </c>
      <c r="AY254">
        <f>$H$254*$AE$254</f>
        <v>85.6</v>
      </c>
      <c r="AZ254">
        <f>$H$254*$AF$254</f>
        <v>85.6</v>
      </c>
    </row>
    <row r="255" spans="1:52" x14ac:dyDescent="0.25">
      <c r="A255">
        <v>298</v>
      </c>
      <c r="B255" t="s">
        <v>4</v>
      </c>
      <c r="C255" t="s">
        <v>371</v>
      </c>
      <c r="D255">
        <v>1</v>
      </c>
      <c r="E255">
        <v>49.16</v>
      </c>
      <c r="F255" t="s">
        <v>294</v>
      </c>
      <c r="G255">
        <v>49.16</v>
      </c>
      <c r="H255">
        <v>59</v>
      </c>
      <c r="I255" t="s">
        <v>322</v>
      </c>
      <c r="J255" t="s">
        <v>372</v>
      </c>
      <c r="K255" t="s">
        <v>530</v>
      </c>
      <c r="L255" t="s">
        <v>203</v>
      </c>
      <c r="M255" t="s">
        <v>4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59</v>
      </c>
      <c r="AV255">
        <f>$H$255*$AB$255</f>
        <v>59</v>
      </c>
      <c r="AW255">
        <f>$H$255*$AC$255</f>
        <v>59</v>
      </c>
      <c r="AX255">
        <f>$H$255*$AD$255</f>
        <v>59</v>
      </c>
      <c r="AY255">
        <f>$H$255*$AE$255</f>
        <v>59</v>
      </c>
      <c r="AZ255">
        <f>$H$255*$AF$255</f>
        <v>59</v>
      </c>
    </row>
    <row r="256" spans="1:52" x14ac:dyDescent="0.25">
      <c r="A256">
        <v>299</v>
      </c>
      <c r="B256" t="s">
        <v>4</v>
      </c>
      <c r="C256" t="s">
        <v>447</v>
      </c>
      <c r="D256">
        <v>2</v>
      </c>
      <c r="E256">
        <v>166.94</v>
      </c>
      <c r="F256" t="s">
        <v>294</v>
      </c>
      <c r="G256">
        <v>83.47</v>
      </c>
      <c r="H256">
        <v>200.32</v>
      </c>
      <c r="I256" t="s">
        <v>289</v>
      </c>
      <c r="J256" t="s">
        <v>448</v>
      </c>
      <c r="K256" t="s">
        <v>568</v>
      </c>
      <c r="L256" t="s">
        <v>203</v>
      </c>
      <c r="M256" t="s">
        <v>4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200.32</v>
      </c>
      <c r="AN256">
        <f>$H$256*$T$256</f>
        <v>200.32</v>
      </c>
      <c r="AO256">
        <f>$H$256*$U$256</f>
        <v>200.32</v>
      </c>
      <c r="AP256">
        <f>$H$256*$V$256</f>
        <v>200.32</v>
      </c>
      <c r="AQ256">
        <f>$H$256*$W$256</f>
        <v>200.32</v>
      </c>
      <c r="AR256">
        <f>$H$256*$X$256</f>
        <v>200.32</v>
      </c>
      <c r="AS256">
        <f>$H$256*$Y$256</f>
        <v>200.32</v>
      </c>
      <c r="AT256">
        <f>$H$256*$Z$256</f>
        <v>200.32</v>
      </c>
      <c r="AU256">
        <f>$H$256*$AA$256</f>
        <v>200.32</v>
      </c>
      <c r="AV256">
        <f>$H$256*$AB$256</f>
        <v>200.32</v>
      </c>
      <c r="AW256">
        <f>$H$256*$AC$256</f>
        <v>200.32</v>
      </c>
      <c r="AX256">
        <f>$H$256*$AD$256</f>
        <v>200.32</v>
      </c>
      <c r="AY256">
        <f>$H$256*$AE$256</f>
        <v>200.32</v>
      </c>
      <c r="AZ256">
        <f>$H$256*$AF$256</f>
        <v>200.32</v>
      </c>
    </row>
    <row r="257" spans="1:52" x14ac:dyDescent="0.25">
      <c r="A257">
        <v>300</v>
      </c>
      <c r="B257" t="s">
        <v>4</v>
      </c>
      <c r="C257" t="s">
        <v>449</v>
      </c>
      <c r="D257">
        <v>1</v>
      </c>
      <c r="E257">
        <v>443.83</v>
      </c>
      <c r="F257" t="s">
        <v>294</v>
      </c>
      <c r="G257">
        <v>443.83</v>
      </c>
      <c r="H257">
        <v>532.59</v>
      </c>
      <c r="I257" t="s">
        <v>325</v>
      </c>
      <c r="J257" t="s">
        <v>448</v>
      </c>
      <c r="K257" t="s">
        <v>569</v>
      </c>
      <c r="L257" t="s">
        <v>203</v>
      </c>
      <c r="M257" t="s">
        <v>4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4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532.59</v>
      </c>
      <c r="AO257">
        <f>$H$257*$U$257</f>
        <v>532.59</v>
      </c>
      <c r="AP257">
        <f>$H$257*$V$257</f>
        <v>532.59</v>
      </c>
      <c r="AQ257">
        <f>$H$257*$W$257</f>
        <v>532.59</v>
      </c>
      <c r="AR257">
        <f>$H$257*$X$257</f>
        <v>532.59</v>
      </c>
      <c r="AS257">
        <f>$H$257*$Y$257</f>
        <v>532.59</v>
      </c>
      <c r="AT257">
        <f>$H$257*$Z$257</f>
        <v>532.59</v>
      </c>
      <c r="AU257">
        <f>$H$257*$AA$257</f>
        <v>532.59</v>
      </c>
      <c r="AV257">
        <f>$H$257*$AB$257</f>
        <v>532.59</v>
      </c>
      <c r="AW257">
        <f>$H$257*$AC$257</f>
        <v>532.59</v>
      </c>
      <c r="AX257">
        <f>$H$257*$AD$257</f>
        <v>532.59</v>
      </c>
      <c r="AY257">
        <f>$H$257*$AE$257</f>
        <v>532.59</v>
      </c>
      <c r="AZ257">
        <f>$H$257*$AF$257</f>
        <v>532.59</v>
      </c>
    </row>
    <row r="258" spans="1:52" x14ac:dyDescent="0.25">
      <c r="A258">
        <v>301</v>
      </c>
      <c r="B258" t="s">
        <v>4</v>
      </c>
      <c r="C258" t="s">
        <v>329</v>
      </c>
      <c r="D258">
        <v>2</v>
      </c>
      <c r="E258">
        <v>126.46</v>
      </c>
      <c r="F258" t="s">
        <v>294</v>
      </c>
      <c r="G258">
        <v>63.23</v>
      </c>
      <c r="H258">
        <v>151.76</v>
      </c>
      <c r="I258" t="s">
        <v>289</v>
      </c>
      <c r="J258" t="s">
        <v>325</v>
      </c>
      <c r="K258" t="s">
        <v>509</v>
      </c>
      <c r="L258" t="s">
        <v>203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151.76</v>
      </c>
      <c r="AN258">
        <f>$H$258*$T$258</f>
        <v>151.76</v>
      </c>
      <c r="AO258">
        <f>$H$258*$U$258</f>
        <v>151.76</v>
      </c>
      <c r="AP258">
        <f>$H$258*$V$258</f>
        <v>151.76</v>
      </c>
      <c r="AQ258">
        <f>$H$258*$W$258</f>
        <v>151.76</v>
      </c>
      <c r="AR258">
        <f>$H$258*$X$258</f>
        <v>151.76</v>
      </c>
      <c r="AS258">
        <f>$H$258*$Y$258</f>
        <v>151.76</v>
      </c>
      <c r="AT258">
        <f>$H$258*$Z$258</f>
        <v>151.76</v>
      </c>
      <c r="AU258">
        <f>$H$258*$AA$258</f>
        <v>151.76</v>
      </c>
      <c r="AV258">
        <f>$H$258*$AB$258</f>
        <v>151.76</v>
      </c>
      <c r="AW258">
        <f>$H$258*$AC$258</f>
        <v>151.76</v>
      </c>
      <c r="AX258">
        <f>$H$258*$AD$258</f>
        <v>151.76</v>
      </c>
      <c r="AY258">
        <f>$H$258*$AE$258</f>
        <v>151.76</v>
      </c>
      <c r="AZ258">
        <f>$H$258*$AF$258</f>
        <v>151.76</v>
      </c>
    </row>
    <row r="259" spans="1:52" x14ac:dyDescent="0.25">
      <c r="A259">
        <v>302</v>
      </c>
      <c r="B259" t="s">
        <v>4</v>
      </c>
      <c r="C259" t="s">
        <v>327</v>
      </c>
      <c r="D259">
        <v>2</v>
      </c>
      <c r="E259">
        <v>106.5</v>
      </c>
      <c r="F259" t="s">
        <v>294</v>
      </c>
      <c r="G259">
        <v>53.25</v>
      </c>
      <c r="H259">
        <v>127.8</v>
      </c>
      <c r="I259" t="s">
        <v>289</v>
      </c>
      <c r="J259" t="s">
        <v>328</v>
      </c>
      <c r="K259" t="s">
        <v>508</v>
      </c>
      <c r="L259" t="s">
        <v>203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127.8</v>
      </c>
      <c r="AN259">
        <f>$H$259*$T$259</f>
        <v>127.8</v>
      </c>
      <c r="AO259">
        <f>$H$259*$U$259</f>
        <v>127.8</v>
      </c>
      <c r="AP259">
        <f>$H$259*$V$259</f>
        <v>127.8</v>
      </c>
      <c r="AQ259">
        <f>$H$259*$W$259</f>
        <v>127.8</v>
      </c>
      <c r="AR259">
        <f>$H$259*$X$259</f>
        <v>127.8</v>
      </c>
      <c r="AS259">
        <f>$H$259*$Y$259</f>
        <v>127.8</v>
      </c>
      <c r="AT259">
        <f>$H$259*$Z$259</f>
        <v>127.8</v>
      </c>
      <c r="AU259">
        <f>$H$259*$AA$259</f>
        <v>127.8</v>
      </c>
      <c r="AV259">
        <f>$H$259*$AB$259</f>
        <v>127.8</v>
      </c>
      <c r="AW259">
        <f>$H$259*$AC$259</f>
        <v>127.8</v>
      </c>
      <c r="AX259">
        <f>$H$259*$AD$259</f>
        <v>127.8</v>
      </c>
      <c r="AY259">
        <f>$H$259*$AE$259</f>
        <v>127.8</v>
      </c>
      <c r="AZ259">
        <f>$H$259*$AF$259</f>
        <v>127.8</v>
      </c>
    </row>
    <row r="260" spans="1:52" x14ac:dyDescent="0.25">
      <c r="A260">
        <v>303</v>
      </c>
      <c r="B260" t="s">
        <v>4</v>
      </c>
      <c r="C260" t="s">
        <v>373</v>
      </c>
      <c r="D260">
        <v>1</v>
      </c>
      <c r="E260">
        <v>411.33</v>
      </c>
      <c r="F260" t="s">
        <v>294</v>
      </c>
      <c r="G260">
        <v>411.33</v>
      </c>
      <c r="H260">
        <v>493.59</v>
      </c>
      <c r="I260" t="s">
        <v>325</v>
      </c>
      <c r="J260" t="s">
        <v>356</v>
      </c>
      <c r="K260" t="s">
        <v>531</v>
      </c>
      <c r="L260" t="s">
        <v>203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493.59</v>
      </c>
      <c r="AO260">
        <f>$H$260*$U$260</f>
        <v>493.59</v>
      </c>
      <c r="AP260">
        <f>$H$260*$V$260</f>
        <v>493.59</v>
      </c>
      <c r="AQ260">
        <f>$H$260*$W$260</f>
        <v>493.59</v>
      </c>
      <c r="AR260">
        <f>$H$260*$X$260</f>
        <v>493.59</v>
      </c>
      <c r="AS260">
        <f>$H$260*$Y$260</f>
        <v>493.59</v>
      </c>
      <c r="AT260">
        <f>$H$260*$Z$260</f>
        <v>493.59</v>
      </c>
      <c r="AU260">
        <f>$H$260*$AA$260</f>
        <v>493.59</v>
      </c>
      <c r="AV260">
        <f>$H$260*$AB$260</f>
        <v>493.59</v>
      </c>
      <c r="AW260">
        <f>$H$260*$AC$260</f>
        <v>493.59</v>
      </c>
      <c r="AX260">
        <f>$H$260*$AD$260</f>
        <v>493.59</v>
      </c>
      <c r="AY260">
        <f>$H$260*$AE$260</f>
        <v>493.59</v>
      </c>
      <c r="AZ260">
        <f>$H$260*$AF$260</f>
        <v>493.59</v>
      </c>
    </row>
    <row r="261" spans="1:52" x14ac:dyDescent="0.25">
      <c r="A261">
        <v>304</v>
      </c>
      <c r="B261" t="s">
        <v>4</v>
      </c>
      <c r="C261" t="s">
        <v>419</v>
      </c>
      <c r="D261">
        <v>9</v>
      </c>
      <c r="E261">
        <v>34.56</v>
      </c>
      <c r="F261" t="s">
        <v>288</v>
      </c>
      <c r="G261">
        <v>3.84</v>
      </c>
      <c r="H261">
        <v>41.48</v>
      </c>
      <c r="I261" t="s">
        <v>420</v>
      </c>
      <c r="J261" t="s">
        <v>421</v>
      </c>
      <c r="K261" t="s">
        <v>553</v>
      </c>
      <c r="L261" t="s">
        <v>203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41.48</v>
      </c>
      <c r="AV261">
        <f>$H$261*$AB$261</f>
        <v>41.48</v>
      </c>
      <c r="AW261">
        <f>$H$261*$AC$261</f>
        <v>41.48</v>
      </c>
      <c r="AX261">
        <f>$H$261*$AD$261</f>
        <v>41.48</v>
      </c>
      <c r="AY261">
        <f>$H$261*$AE$261</f>
        <v>41.48</v>
      </c>
      <c r="AZ261">
        <f>$H$261*$AF$261</f>
        <v>41.48</v>
      </c>
    </row>
    <row r="262" spans="1:52" x14ac:dyDescent="0.25">
      <c r="A262">
        <v>305</v>
      </c>
      <c r="B262" t="s">
        <v>4</v>
      </c>
      <c r="C262" t="s">
        <v>422</v>
      </c>
      <c r="D262">
        <v>72</v>
      </c>
      <c r="E262">
        <v>238.32</v>
      </c>
      <c r="F262" t="s">
        <v>308</v>
      </c>
      <c r="G262">
        <v>3.31</v>
      </c>
      <c r="H262">
        <v>285.98</v>
      </c>
      <c r="I262" t="s">
        <v>420</v>
      </c>
      <c r="J262" t="s">
        <v>423</v>
      </c>
      <c r="K262" t="s">
        <v>554</v>
      </c>
      <c r="L262" t="s">
        <v>203</v>
      </c>
      <c r="M262" t="s">
        <v>4</v>
      </c>
      <c r="N262" t="s">
        <v>51</v>
      </c>
      <c r="O262" t="s">
        <v>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51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285.98</v>
      </c>
      <c r="AN262">
        <f>$H$262*$T$262</f>
        <v>285.98</v>
      </c>
      <c r="AO262">
        <f>$H$262*$U$262</f>
        <v>285.98</v>
      </c>
      <c r="AP262">
        <f>$H$262*$V$262</f>
        <v>285.98</v>
      </c>
      <c r="AQ262">
        <f>$H$262*$W$262</f>
        <v>285.98</v>
      </c>
      <c r="AR262">
        <f>$H$262*$X$262</f>
        <v>285.98</v>
      </c>
      <c r="AS262">
        <f>$H$262*$Y$262</f>
        <v>285.98</v>
      </c>
      <c r="AT262">
        <f>$H$262*$Z$262</f>
        <v>285.98</v>
      </c>
      <c r="AU262">
        <f>$H$262*$AA$262</f>
        <v>285.98</v>
      </c>
      <c r="AV262">
        <f>$H$262*$AB$262</f>
        <v>285.98</v>
      </c>
      <c r="AW262">
        <f>$H$262*$AC$262</f>
        <v>285.98</v>
      </c>
      <c r="AX262">
        <f>$H$262*$AD$262</f>
        <v>285.98</v>
      </c>
      <c r="AY262">
        <f>$H$262*$AE$262</f>
        <v>285.98</v>
      </c>
      <c r="AZ262">
        <f>$H$262*$AF$262</f>
        <v>285.98</v>
      </c>
    </row>
    <row r="263" spans="1:52" x14ac:dyDescent="0.25">
      <c r="A263">
        <v>306</v>
      </c>
      <c r="B263" t="s">
        <v>4</v>
      </c>
      <c r="C263" t="s">
        <v>424</v>
      </c>
      <c r="D263">
        <v>72</v>
      </c>
      <c r="E263">
        <v>77.040000000000006</v>
      </c>
      <c r="F263" t="s">
        <v>308</v>
      </c>
      <c r="G263">
        <v>1.07</v>
      </c>
      <c r="H263">
        <v>92.44</v>
      </c>
      <c r="I263" t="s">
        <v>289</v>
      </c>
      <c r="J263" t="s">
        <v>425</v>
      </c>
      <c r="K263" t="s">
        <v>555</v>
      </c>
      <c r="L263" t="s">
        <v>203</v>
      </c>
      <c r="M263" t="s">
        <v>4</v>
      </c>
      <c r="N263" t="s">
        <v>51</v>
      </c>
      <c r="O263" t="s">
        <v>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4</v>
      </c>
      <c r="AH263" t="s">
        <v>51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92.44</v>
      </c>
      <c r="AY263">
        <f>$H$263*$AE$263</f>
        <v>92.44</v>
      </c>
      <c r="AZ263">
        <f>$H$263*$AF$263</f>
        <v>92.44</v>
      </c>
    </row>
    <row r="264" spans="1:52" x14ac:dyDescent="0.25">
      <c r="A264">
        <v>307</v>
      </c>
      <c r="B264" t="s">
        <v>4</v>
      </c>
      <c r="C264" t="s">
        <v>316</v>
      </c>
      <c r="D264">
        <v>216</v>
      </c>
      <c r="E264">
        <v>349.92</v>
      </c>
      <c r="F264" t="s">
        <v>308</v>
      </c>
      <c r="G264">
        <v>1.62</v>
      </c>
      <c r="H264">
        <v>419.9</v>
      </c>
      <c r="I264" t="s">
        <v>289</v>
      </c>
      <c r="J264" t="s">
        <v>317</v>
      </c>
      <c r="K264" t="s">
        <v>504</v>
      </c>
      <c r="L264" t="s">
        <v>203</v>
      </c>
      <c r="M264" t="s">
        <v>4</v>
      </c>
      <c r="N264" t="s">
        <v>51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51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419.9</v>
      </c>
      <c r="AO264">
        <f>$H$264*$U$264</f>
        <v>419.9</v>
      </c>
      <c r="AP264">
        <f>$H$264*$V$264</f>
        <v>419.9</v>
      </c>
      <c r="AQ264">
        <f>$H$264*$W$264</f>
        <v>419.9</v>
      </c>
      <c r="AR264">
        <f>$H$264*$X$264</f>
        <v>419.9</v>
      </c>
      <c r="AS264">
        <f>$H$264*$Y$264</f>
        <v>419.9</v>
      </c>
      <c r="AT264">
        <f>$H$264*$Z$264</f>
        <v>419.9</v>
      </c>
      <c r="AU264">
        <f>$H$264*$AA$264</f>
        <v>419.9</v>
      </c>
      <c r="AV264">
        <f>$H$264*$AB$264</f>
        <v>419.9</v>
      </c>
      <c r="AW264">
        <f>$H$264*$AC$264</f>
        <v>419.9</v>
      </c>
      <c r="AX264">
        <f>$H$264*$AD$264</f>
        <v>419.9</v>
      </c>
      <c r="AY264">
        <f>$H$264*$AE$264</f>
        <v>419.9</v>
      </c>
      <c r="AZ264">
        <f>$H$264*$AF$264</f>
        <v>419.9</v>
      </c>
    </row>
    <row r="265" spans="1:52" x14ac:dyDescent="0.25">
      <c r="A265">
        <v>308</v>
      </c>
      <c r="B265" t="s">
        <v>4</v>
      </c>
      <c r="C265" t="s">
        <v>318</v>
      </c>
      <c r="D265">
        <v>288</v>
      </c>
      <c r="E265">
        <v>1189.44</v>
      </c>
      <c r="F265" t="s">
        <v>308</v>
      </c>
      <c r="G265">
        <v>4.13</v>
      </c>
      <c r="H265">
        <v>1427.32</v>
      </c>
      <c r="I265" t="s">
        <v>319</v>
      </c>
      <c r="J265" t="s">
        <v>320</v>
      </c>
      <c r="K265" t="s">
        <v>505</v>
      </c>
      <c r="L265" t="s">
        <v>203</v>
      </c>
      <c r="M265" t="s">
        <v>4</v>
      </c>
      <c r="N265" t="s">
        <v>51</v>
      </c>
      <c r="O265" t="s">
        <v>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51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356.83</v>
      </c>
      <c r="AN265">
        <f>$H$265*$T$265</f>
        <v>356.83</v>
      </c>
      <c r="AO265">
        <f>$H$265*$U$265</f>
        <v>356.83</v>
      </c>
      <c r="AP265">
        <f>$H$265*$V$265</f>
        <v>356.83</v>
      </c>
      <c r="AQ265">
        <f>$H$265*$W$265</f>
        <v>713.66</v>
      </c>
      <c r="AR265">
        <f>$H$265*$X$265</f>
        <v>713.66</v>
      </c>
      <c r="AS265">
        <f>$H$265*$Y$265</f>
        <v>713.66</v>
      </c>
      <c r="AT265">
        <f>$H$265*$Z$265</f>
        <v>713.66</v>
      </c>
      <c r="AU265">
        <f>$H$265*$AA$265</f>
        <v>1427.32</v>
      </c>
      <c r="AV265">
        <f>$H$265*$AB$265</f>
        <v>1427.32</v>
      </c>
      <c r="AW265">
        <f>$H$265*$AC$265</f>
        <v>1427.32</v>
      </c>
      <c r="AX265">
        <f>$H$265*$AD$265</f>
        <v>1427.32</v>
      </c>
      <c r="AY265">
        <f>$H$265*$AE$265</f>
        <v>1427.32</v>
      </c>
      <c r="AZ265">
        <f>$H$265*$AF$265</f>
        <v>1427.32</v>
      </c>
    </row>
    <row r="266" spans="1:52" x14ac:dyDescent="0.25">
      <c r="A266">
        <v>309</v>
      </c>
      <c r="B266" t="s">
        <v>4</v>
      </c>
      <c r="C266" t="s">
        <v>426</v>
      </c>
      <c r="D266">
        <v>36</v>
      </c>
      <c r="E266">
        <v>94.68</v>
      </c>
      <c r="F266" t="s">
        <v>288</v>
      </c>
      <c r="G266">
        <v>2.63</v>
      </c>
      <c r="H266">
        <v>113.62</v>
      </c>
      <c r="I266" t="s">
        <v>289</v>
      </c>
      <c r="J266" t="s">
        <v>427</v>
      </c>
      <c r="K266" t="s">
        <v>556</v>
      </c>
      <c r="L266" t="s">
        <v>203</v>
      </c>
      <c r="M266" t="s">
        <v>4</v>
      </c>
      <c r="N266" t="s">
        <v>51</v>
      </c>
      <c r="O266" t="s">
        <v>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51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113.62</v>
      </c>
      <c r="AN266">
        <f>$H$266*$T$266</f>
        <v>113.62</v>
      </c>
      <c r="AO266">
        <f>$H$266*$U$266</f>
        <v>113.62</v>
      </c>
      <c r="AP266">
        <f>$H$266*$V$266</f>
        <v>113.62</v>
      </c>
      <c r="AQ266">
        <f>$H$266*$W$266</f>
        <v>113.62</v>
      </c>
      <c r="AR266">
        <f>$H$266*$X$266</f>
        <v>113.62</v>
      </c>
      <c r="AS266">
        <f>$H$266*$Y$266</f>
        <v>113.62</v>
      </c>
      <c r="AT266">
        <f>$H$266*$Z$266</f>
        <v>113.62</v>
      </c>
      <c r="AU266">
        <f>$H$266*$AA$266</f>
        <v>113.62</v>
      </c>
      <c r="AV266">
        <f>$H$266*$AB$266</f>
        <v>113.62</v>
      </c>
      <c r="AW266">
        <f>$H$266*$AC$266</f>
        <v>113.62</v>
      </c>
      <c r="AX266">
        <f>$H$266*$AD$266</f>
        <v>113.62</v>
      </c>
      <c r="AY266">
        <f>$H$266*$AE$266</f>
        <v>113.62</v>
      </c>
      <c r="AZ266">
        <f>$H$266*$AF$266</f>
        <v>113.62</v>
      </c>
    </row>
    <row r="267" spans="1:52" x14ac:dyDescent="0.25">
      <c r="A267">
        <v>310</v>
      </c>
      <c r="B267" t="s">
        <v>4</v>
      </c>
      <c r="C267" t="s">
        <v>428</v>
      </c>
      <c r="D267">
        <v>36</v>
      </c>
      <c r="E267">
        <v>222.84</v>
      </c>
      <c r="F267" t="s">
        <v>288</v>
      </c>
      <c r="G267">
        <v>6.19</v>
      </c>
      <c r="H267">
        <v>267.39999999999998</v>
      </c>
      <c r="I267" t="s">
        <v>292</v>
      </c>
      <c r="J267" t="s">
        <v>429</v>
      </c>
      <c r="K267" t="s">
        <v>557</v>
      </c>
      <c r="L267" t="s">
        <v>203</v>
      </c>
      <c r="M267" t="s">
        <v>4</v>
      </c>
      <c r="N267" t="s">
        <v>51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51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267.39999999999998</v>
      </c>
      <c r="AN267">
        <f>$H$267*$T$267</f>
        <v>267.39999999999998</v>
      </c>
      <c r="AO267">
        <f>$H$267*$U$267</f>
        <v>267.39999999999998</v>
      </c>
      <c r="AP267">
        <f>$H$267*$V$267</f>
        <v>267.39999999999998</v>
      </c>
      <c r="AQ267">
        <f>$H$267*$W$267</f>
        <v>267.39999999999998</v>
      </c>
      <c r="AR267">
        <f>$H$267*$X$267</f>
        <v>267.39999999999998</v>
      </c>
      <c r="AS267">
        <f>$H$267*$Y$267</f>
        <v>267.39999999999998</v>
      </c>
      <c r="AT267">
        <f>$H$267*$Z$267</f>
        <v>267.39999999999998</v>
      </c>
      <c r="AU267">
        <f>$H$267*$AA$267</f>
        <v>267.39999999999998</v>
      </c>
      <c r="AV267">
        <f>$H$267*$AB$267</f>
        <v>267.39999999999998</v>
      </c>
      <c r="AW267">
        <f>$H$267*$AC$267</f>
        <v>267.39999999999998</v>
      </c>
      <c r="AX267">
        <f>$H$267*$AD$267</f>
        <v>267.39999999999998</v>
      </c>
      <c r="AY267">
        <f>$H$267*$AE$267</f>
        <v>267.39999999999998</v>
      </c>
      <c r="AZ267">
        <f>$H$267*$AF$267</f>
        <v>267.39999999999998</v>
      </c>
    </row>
    <row r="268" spans="1:52" x14ac:dyDescent="0.25">
      <c r="A268">
        <v>311</v>
      </c>
      <c r="B268" t="s">
        <v>4</v>
      </c>
      <c r="C268" t="s">
        <v>318</v>
      </c>
      <c r="D268">
        <v>81</v>
      </c>
      <c r="E268">
        <v>334.53</v>
      </c>
      <c r="F268" t="s">
        <v>308</v>
      </c>
      <c r="G268">
        <v>4.13</v>
      </c>
      <c r="H268">
        <v>401.43</v>
      </c>
      <c r="I268" t="s">
        <v>319</v>
      </c>
      <c r="J268" t="s">
        <v>320</v>
      </c>
      <c r="K268" t="s">
        <v>505</v>
      </c>
      <c r="L268" t="s">
        <v>203</v>
      </c>
      <c r="M268" t="s">
        <v>4</v>
      </c>
      <c r="N268" t="s">
        <v>51</v>
      </c>
      <c r="O268" t="s">
        <v>4</v>
      </c>
      <c r="P268">
        <v>0</v>
      </c>
      <c r="Q268">
        <v>0</v>
      </c>
      <c r="R268">
        <v>0</v>
      </c>
      <c r="S268">
        <v>0.25</v>
      </c>
      <c r="T268">
        <v>0.25</v>
      </c>
      <c r="U268">
        <v>0.25</v>
      </c>
      <c r="V268">
        <v>0.25</v>
      </c>
      <c r="W268">
        <v>0.5</v>
      </c>
      <c r="X268">
        <v>0.5</v>
      </c>
      <c r="Y268">
        <v>0.5</v>
      </c>
      <c r="Z268">
        <v>0.5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51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100.3575</v>
      </c>
      <c r="AN268">
        <f>$H$268*$T$268</f>
        <v>100.3575</v>
      </c>
      <c r="AO268">
        <f>$H$268*$U$268</f>
        <v>100.3575</v>
      </c>
      <c r="AP268">
        <f>$H$268*$V$268</f>
        <v>100.3575</v>
      </c>
      <c r="AQ268">
        <f>$H$268*$W$268</f>
        <v>200.715</v>
      </c>
      <c r="AR268">
        <f>$H$268*$X$268</f>
        <v>200.715</v>
      </c>
      <c r="AS268">
        <f>$H$268*$Y$268</f>
        <v>200.715</v>
      </c>
      <c r="AT268">
        <f>$H$268*$Z$268</f>
        <v>200.715</v>
      </c>
      <c r="AU268">
        <f>$H$268*$AA$268</f>
        <v>401.43</v>
      </c>
      <c r="AV268">
        <f>$H$268*$AB$268</f>
        <v>401.43</v>
      </c>
      <c r="AW268">
        <f>$H$268*$AC$268</f>
        <v>401.43</v>
      </c>
      <c r="AX268">
        <f>$H$268*$AD$268</f>
        <v>401.43</v>
      </c>
      <c r="AY268">
        <f>$H$268*$AE$268</f>
        <v>401.43</v>
      </c>
      <c r="AZ268">
        <f>$H$268*$AF$268</f>
        <v>401.43</v>
      </c>
    </row>
    <row r="269" spans="1:52" x14ac:dyDescent="0.25">
      <c r="A269">
        <v>312</v>
      </c>
      <c r="B269" t="s">
        <v>4</v>
      </c>
      <c r="C269" t="s">
        <v>424</v>
      </c>
      <c r="D269">
        <v>81</v>
      </c>
      <c r="E269">
        <v>86.67</v>
      </c>
      <c r="F269" t="s">
        <v>308</v>
      </c>
      <c r="G269">
        <v>1.07</v>
      </c>
      <c r="H269">
        <v>104.01</v>
      </c>
      <c r="I269" t="s">
        <v>289</v>
      </c>
      <c r="J269" t="s">
        <v>425</v>
      </c>
      <c r="K269" t="s">
        <v>555</v>
      </c>
      <c r="L269" t="s">
        <v>203</v>
      </c>
      <c r="M269" t="s">
        <v>4</v>
      </c>
      <c r="N269" t="s">
        <v>51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4</v>
      </c>
      <c r="AH269" t="s">
        <v>51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104.01</v>
      </c>
      <c r="AY269">
        <f>$H$269*$AE$269</f>
        <v>104.01</v>
      </c>
      <c r="AZ269">
        <f>$H$269*$AF$269</f>
        <v>104.01</v>
      </c>
    </row>
    <row r="270" spans="1:52" x14ac:dyDescent="0.25">
      <c r="A270">
        <v>313</v>
      </c>
      <c r="B270" t="s">
        <v>4</v>
      </c>
      <c r="C270" t="s">
        <v>430</v>
      </c>
      <c r="D270">
        <v>81</v>
      </c>
      <c r="E270">
        <v>91.53</v>
      </c>
      <c r="F270" t="s">
        <v>308</v>
      </c>
      <c r="G270">
        <v>1.1299999999999999</v>
      </c>
      <c r="H270">
        <v>109.83</v>
      </c>
      <c r="I270" t="s">
        <v>289</v>
      </c>
      <c r="J270" t="s">
        <v>431</v>
      </c>
      <c r="K270" t="s">
        <v>558</v>
      </c>
      <c r="L270" t="s">
        <v>203</v>
      </c>
      <c r="M270" t="s">
        <v>4</v>
      </c>
      <c r="N270" t="s">
        <v>51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51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109.83</v>
      </c>
      <c r="AN270">
        <f>$H$270*$T$270</f>
        <v>109.83</v>
      </c>
      <c r="AO270">
        <f>$H$270*$U$270</f>
        <v>109.83</v>
      </c>
      <c r="AP270">
        <f>$H$270*$V$270</f>
        <v>109.83</v>
      </c>
      <c r="AQ270">
        <f>$H$270*$W$270</f>
        <v>109.83</v>
      </c>
      <c r="AR270">
        <f>$H$270*$X$270</f>
        <v>109.83</v>
      </c>
      <c r="AS270">
        <f>$H$270*$Y$270</f>
        <v>109.83</v>
      </c>
      <c r="AT270">
        <f>$H$270*$Z$270</f>
        <v>109.83</v>
      </c>
      <c r="AU270">
        <f>$H$270*$AA$270</f>
        <v>109.83</v>
      </c>
      <c r="AV270">
        <f>$H$270*$AB$270</f>
        <v>109.83</v>
      </c>
      <c r="AW270">
        <f>$H$270*$AC$270</f>
        <v>109.83</v>
      </c>
      <c r="AX270">
        <f>$H$270*$AD$270</f>
        <v>109.83</v>
      </c>
      <c r="AY270">
        <f>$H$270*$AE$270</f>
        <v>109.83</v>
      </c>
      <c r="AZ270">
        <f>$H$270*$AF$270</f>
        <v>109.83</v>
      </c>
    </row>
    <row r="271" spans="1:52" x14ac:dyDescent="0.25">
      <c r="A271">
        <v>314</v>
      </c>
      <c r="B271" t="s">
        <v>4</v>
      </c>
      <c r="C271" t="s">
        <v>432</v>
      </c>
      <c r="D271">
        <v>22.25</v>
      </c>
      <c r="E271">
        <v>364.9</v>
      </c>
      <c r="F271" t="s">
        <v>308</v>
      </c>
      <c r="G271">
        <v>16.399999999999999</v>
      </c>
      <c r="H271">
        <v>437.88</v>
      </c>
      <c r="I271" t="s">
        <v>433</v>
      </c>
      <c r="J271" t="s">
        <v>326</v>
      </c>
      <c r="K271" t="s">
        <v>559</v>
      </c>
      <c r="L271" t="s">
        <v>203</v>
      </c>
      <c r="M271" t="s">
        <v>4</v>
      </c>
      <c r="N271" t="s">
        <v>51</v>
      </c>
      <c r="O271" t="s">
        <v>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51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437.88</v>
      </c>
      <c r="AQ271">
        <f>$H$271*$W$271</f>
        <v>437.88</v>
      </c>
      <c r="AR271">
        <f>$H$271*$X$271</f>
        <v>437.88</v>
      </c>
      <c r="AS271">
        <f>$H$271*$Y$271</f>
        <v>437.88</v>
      </c>
      <c r="AT271">
        <f>$H$271*$Z$271</f>
        <v>437.88</v>
      </c>
      <c r="AU271">
        <f>$H$271*$AA$271</f>
        <v>437.88</v>
      </c>
      <c r="AV271">
        <f>$H$271*$AB$271</f>
        <v>437.88</v>
      </c>
      <c r="AW271">
        <f>$H$271*$AC$271</f>
        <v>437.88</v>
      </c>
      <c r="AX271">
        <f>$H$271*$AD$271</f>
        <v>437.88</v>
      </c>
      <c r="AY271">
        <f>$H$271*$AE$271</f>
        <v>437.88</v>
      </c>
      <c r="AZ271">
        <f>$H$271*$AF$271</f>
        <v>437.88</v>
      </c>
    </row>
    <row r="272" spans="1:52" x14ac:dyDescent="0.25">
      <c r="A272">
        <v>315</v>
      </c>
      <c r="B272" t="s">
        <v>4</v>
      </c>
      <c r="C272" t="s">
        <v>434</v>
      </c>
      <c r="D272">
        <v>44.5</v>
      </c>
      <c r="E272">
        <v>190.02</v>
      </c>
      <c r="F272" t="s">
        <v>308</v>
      </c>
      <c r="G272">
        <v>4.2699999999999996</v>
      </c>
      <c r="H272">
        <v>228.02</v>
      </c>
      <c r="I272" t="s">
        <v>435</v>
      </c>
      <c r="J272" t="s">
        <v>436</v>
      </c>
      <c r="K272" t="s">
        <v>560</v>
      </c>
      <c r="L272" t="s">
        <v>203</v>
      </c>
      <c r="M272" t="s">
        <v>4</v>
      </c>
      <c r="N272" t="s">
        <v>51</v>
      </c>
      <c r="O272" t="s">
        <v>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4</v>
      </c>
      <c r="AH272" t="s">
        <v>51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228.02</v>
      </c>
      <c r="AN272">
        <f>$H$272*$T$272</f>
        <v>228.02</v>
      </c>
      <c r="AO272">
        <f>$H$272*$U$272</f>
        <v>228.02</v>
      </c>
      <c r="AP272">
        <f>$H$272*$V$272</f>
        <v>228.02</v>
      </c>
      <c r="AQ272">
        <f>$H$272*$W$272</f>
        <v>228.02</v>
      </c>
      <c r="AR272">
        <f>$H$272*$X$272</f>
        <v>228.02</v>
      </c>
      <c r="AS272">
        <f>$H$272*$Y$272</f>
        <v>228.02</v>
      </c>
      <c r="AT272">
        <f>$H$272*$Z$272</f>
        <v>228.02</v>
      </c>
      <c r="AU272">
        <f>$H$272*$AA$272</f>
        <v>228.02</v>
      </c>
      <c r="AV272">
        <f>$H$272*$AB$272</f>
        <v>228.02</v>
      </c>
      <c r="AW272">
        <f>$H$272*$AC$272</f>
        <v>228.02</v>
      </c>
      <c r="AX272">
        <f>$H$272*$AD$272</f>
        <v>228.02</v>
      </c>
      <c r="AY272">
        <f>$H$272*$AE$272</f>
        <v>228.02</v>
      </c>
      <c r="AZ272">
        <f>$H$272*$AF$272</f>
        <v>228.02</v>
      </c>
    </row>
    <row r="273" spans="1:52" x14ac:dyDescent="0.25">
      <c r="A273">
        <v>316</v>
      </c>
      <c r="B273" t="s">
        <v>4</v>
      </c>
      <c r="C273" t="s">
        <v>437</v>
      </c>
      <c r="D273">
        <v>44.5</v>
      </c>
      <c r="E273">
        <v>478.38</v>
      </c>
      <c r="F273" t="s">
        <v>308</v>
      </c>
      <c r="G273">
        <v>10.75</v>
      </c>
      <c r="H273">
        <v>574.05999999999995</v>
      </c>
      <c r="I273" t="s">
        <v>435</v>
      </c>
      <c r="J273" t="s">
        <v>326</v>
      </c>
      <c r="K273" t="s">
        <v>561</v>
      </c>
      <c r="L273" t="s">
        <v>203</v>
      </c>
      <c r="M273" t="s">
        <v>4</v>
      </c>
      <c r="N273" t="s">
        <v>51</v>
      </c>
      <c r="O273" t="s">
        <v>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51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574.05999999999995</v>
      </c>
      <c r="AN273">
        <f>$H$273*$T$273</f>
        <v>574.05999999999995</v>
      </c>
      <c r="AO273">
        <f>$H$273*$U$273</f>
        <v>574.05999999999995</v>
      </c>
      <c r="AP273">
        <f>$H$273*$V$273</f>
        <v>574.05999999999995</v>
      </c>
      <c r="AQ273">
        <f>$H$273*$W$273</f>
        <v>574.05999999999995</v>
      </c>
      <c r="AR273">
        <f>$H$273*$X$273</f>
        <v>574.05999999999995</v>
      </c>
      <c r="AS273">
        <f>$H$273*$Y$273</f>
        <v>574.05999999999995</v>
      </c>
      <c r="AT273">
        <f>$H$273*$Z$273</f>
        <v>574.05999999999995</v>
      </c>
      <c r="AU273">
        <f>$H$273*$AA$273</f>
        <v>574.05999999999995</v>
      </c>
      <c r="AV273">
        <f>$H$273*$AB$273</f>
        <v>574.05999999999995</v>
      </c>
      <c r="AW273">
        <f>$H$273*$AC$273</f>
        <v>574.05999999999995</v>
      </c>
      <c r="AX273">
        <f>$H$273*$AD$273</f>
        <v>574.05999999999995</v>
      </c>
      <c r="AY273">
        <f>$H$273*$AE$273</f>
        <v>574.05999999999995</v>
      </c>
      <c r="AZ273">
        <f>$H$273*$AF$273</f>
        <v>574.05999999999995</v>
      </c>
    </row>
    <row r="274" spans="1:52" x14ac:dyDescent="0.25">
      <c r="A274">
        <v>317</v>
      </c>
      <c r="B274" t="s">
        <v>4</v>
      </c>
      <c r="C274" t="s">
        <v>438</v>
      </c>
      <c r="D274">
        <v>23.29</v>
      </c>
      <c r="E274">
        <v>20.260000000000002</v>
      </c>
      <c r="F274" t="s">
        <v>308</v>
      </c>
      <c r="G274">
        <v>0.87</v>
      </c>
      <c r="H274">
        <v>24.32</v>
      </c>
      <c r="I274" t="s">
        <v>331</v>
      </c>
      <c r="J274" t="s">
        <v>439</v>
      </c>
      <c r="K274" t="s">
        <v>562</v>
      </c>
      <c r="L274" t="s">
        <v>203</v>
      </c>
      <c r="M274" t="s">
        <v>4</v>
      </c>
      <c r="N274" t="s">
        <v>51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51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24.32</v>
      </c>
      <c r="AN274">
        <f>$H$274*$T$274</f>
        <v>24.32</v>
      </c>
      <c r="AO274">
        <f>$H$274*$U$274</f>
        <v>24.32</v>
      </c>
      <c r="AP274">
        <f>$H$274*$V$274</f>
        <v>24.32</v>
      </c>
      <c r="AQ274">
        <f>$H$274*$W$274</f>
        <v>24.32</v>
      </c>
      <c r="AR274">
        <f>$H$274*$X$274</f>
        <v>24.32</v>
      </c>
      <c r="AS274">
        <f>$H$274*$Y$274</f>
        <v>24.32</v>
      </c>
      <c r="AT274">
        <f>$H$274*$Z$274</f>
        <v>24.32</v>
      </c>
      <c r="AU274">
        <f>$H$274*$AA$274</f>
        <v>24.32</v>
      </c>
      <c r="AV274">
        <f>$H$274*$AB$274</f>
        <v>24.32</v>
      </c>
      <c r="AW274">
        <f>$H$274*$AC$274</f>
        <v>24.32</v>
      </c>
      <c r="AX274">
        <f>$H$274*$AD$274</f>
        <v>24.32</v>
      </c>
      <c r="AY274">
        <f>$H$274*$AE$274</f>
        <v>24.32</v>
      </c>
      <c r="AZ274">
        <f>$H$274*$AF$274</f>
        <v>24.32</v>
      </c>
    </row>
    <row r="275" spans="1:52" x14ac:dyDescent="0.25">
      <c r="A275">
        <v>318</v>
      </c>
      <c r="B275" t="s">
        <v>4</v>
      </c>
      <c r="C275" t="s">
        <v>440</v>
      </c>
      <c r="D275">
        <v>23.29</v>
      </c>
      <c r="E275">
        <v>164.66</v>
      </c>
      <c r="F275" t="s">
        <v>308</v>
      </c>
      <c r="G275">
        <v>7.07</v>
      </c>
      <c r="H275">
        <v>197.6</v>
      </c>
      <c r="I275" t="s">
        <v>331</v>
      </c>
      <c r="J275" t="s">
        <v>326</v>
      </c>
      <c r="K275" t="s">
        <v>563</v>
      </c>
      <c r="L275" t="s">
        <v>203</v>
      </c>
      <c r="M275" t="s">
        <v>4</v>
      </c>
      <c r="N275" t="s">
        <v>51</v>
      </c>
      <c r="O275" t="s">
        <v>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51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197.6</v>
      </c>
      <c r="AN275">
        <f>$H$275*$T$275</f>
        <v>197.6</v>
      </c>
      <c r="AO275">
        <f>$H$275*$U$275</f>
        <v>197.6</v>
      </c>
      <c r="AP275">
        <f>$H$275*$V$275</f>
        <v>197.6</v>
      </c>
      <c r="AQ275">
        <f>$H$275*$W$275</f>
        <v>197.6</v>
      </c>
      <c r="AR275">
        <f>$H$275*$X$275</f>
        <v>197.6</v>
      </c>
      <c r="AS275">
        <f>$H$275*$Y$275</f>
        <v>197.6</v>
      </c>
      <c r="AT275">
        <f>$H$275*$Z$275</f>
        <v>197.6</v>
      </c>
      <c r="AU275">
        <f>$H$275*$AA$275</f>
        <v>197.6</v>
      </c>
      <c r="AV275">
        <f>$H$275*$AB$275</f>
        <v>197.6</v>
      </c>
      <c r="AW275">
        <f>$H$275*$AC$275</f>
        <v>197.6</v>
      </c>
      <c r="AX275">
        <f>$H$275*$AD$275</f>
        <v>197.6</v>
      </c>
      <c r="AY275">
        <f>$H$275*$AE$275</f>
        <v>197.6</v>
      </c>
      <c r="AZ275">
        <f>$H$275*$AF$275</f>
        <v>197.6</v>
      </c>
    </row>
    <row r="276" spans="1:52" x14ac:dyDescent="0.25">
      <c r="A276">
        <v>319</v>
      </c>
      <c r="B276" t="s">
        <v>5</v>
      </c>
      <c r="C276" t="s">
        <v>386</v>
      </c>
      <c r="D276">
        <v>4</v>
      </c>
      <c r="E276">
        <v>64.56</v>
      </c>
      <c r="F276" t="s">
        <v>294</v>
      </c>
      <c r="G276">
        <v>16.14</v>
      </c>
      <c r="H276">
        <v>77.48</v>
      </c>
      <c r="I276" t="s">
        <v>296</v>
      </c>
      <c r="J276" t="s">
        <v>387</v>
      </c>
      <c r="K276" t="s">
        <v>537</v>
      </c>
      <c r="L276" t="s">
        <v>203</v>
      </c>
      <c r="M276" t="s">
        <v>5</v>
      </c>
      <c r="N276" t="s">
        <v>12</v>
      </c>
      <c r="O276" t="s">
        <v>5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5</v>
      </c>
      <c r="AH276" t="s">
        <v>12</v>
      </c>
      <c r="AI276" t="s">
        <v>5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77.48</v>
      </c>
      <c r="AS276">
        <f>$H$276*$Y$276</f>
        <v>77.48</v>
      </c>
      <c r="AT276">
        <f>$H$276*$Z$276</f>
        <v>77.48</v>
      </c>
      <c r="AU276">
        <f>$H$276*$AA$276</f>
        <v>77.48</v>
      </c>
      <c r="AV276">
        <f>$H$276*$AB$276</f>
        <v>77.48</v>
      </c>
      <c r="AW276">
        <f>$H$276*$AC$276</f>
        <v>77.48</v>
      </c>
      <c r="AX276">
        <f>$H$276*$AD$276</f>
        <v>77.48</v>
      </c>
      <c r="AY276">
        <f>$H$276*$AE$276</f>
        <v>77.48</v>
      </c>
      <c r="AZ276">
        <f>$H$276*$AF$276</f>
        <v>77.48</v>
      </c>
    </row>
    <row r="277" spans="1:52" x14ac:dyDescent="0.25">
      <c r="A277">
        <v>320</v>
      </c>
      <c r="B277" t="s">
        <v>5</v>
      </c>
      <c r="C277" t="s">
        <v>443</v>
      </c>
      <c r="D277">
        <v>1</v>
      </c>
      <c r="E277">
        <v>55.89</v>
      </c>
      <c r="F277" t="s">
        <v>294</v>
      </c>
      <c r="G277">
        <v>55.89</v>
      </c>
      <c r="H277">
        <v>67.069999999999993</v>
      </c>
      <c r="I277" t="s">
        <v>299</v>
      </c>
      <c r="J277" t="s">
        <v>423</v>
      </c>
      <c r="K277" t="s">
        <v>565</v>
      </c>
      <c r="L277" t="s">
        <v>203</v>
      </c>
      <c r="M277" t="s">
        <v>5</v>
      </c>
      <c r="N277" t="s">
        <v>12</v>
      </c>
      <c r="O277" t="s">
        <v>5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5</v>
      </c>
      <c r="AH277" t="s">
        <v>12</v>
      </c>
      <c r="AI277" t="s">
        <v>5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67.069999999999993</v>
      </c>
      <c r="AY277">
        <f>$H$277*$AE$277</f>
        <v>67.069999999999993</v>
      </c>
      <c r="AZ277">
        <f>$H$277*$AF$277</f>
        <v>67.069999999999993</v>
      </c>
    </row>
    <row r="278" spans="1:52" x14ac:dyDescent="0.25">
      <c r="A278">
        <v>321</v>
      </c>
      <c r="B278" t="s">
        <v>5</v>
      </c>
      <c r="C278" t="s">
        <v>419</v>
      </c>
      <c r="D278">
        <v>6.29</v>
      </c>
      <c r="E278">
        <v>24.15</v>
      </c>
      <c r="F278" t="s">
        <v>288</v>
      </c>
      <c r="G278">
        <v>3.84</v>
      </c>
      <c r="H278">
        <v>28.99</v>
      </c>
      <c r="I278" t="s">
        <v>420</v>
      </c>
      <c r="J278" t="s">
        <v>421</v>
      </c>
      <c r="K278" t="s">
        <v>553</v>
      </c>
      <c r="L278" t="s">
        <v>203</v>
      </c>
      <c r="M278" t="s">
        <v>5</v>
      </c>
      <c r="N278" t="s">
        <v>12</v>
      </c>
      <c r="O278" t="s">
        <v>5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5</v>
      </c>
      <c r="AH278" t="s">
        <v>12</v>
      </c>
      <c r="AI278" t="s">
        <v>5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28.99</v>
      </c>
      <c r="AV278">
        <f>$H$278*$AB$278</f>
        <v>28.99</v>
      </c>
      <c r="AW278">
        <f>$H$278*$AC$278</f>
        <v>28.99</v>
      </c>
      <c r="AX278">
        <f>$H$278*$AD$278</f>
        <v>28.99</v>
      </c>
      <c r="AY278">
        <f>$H$278*$AE$278</f>
        <v>28.99</v>
      </c>
      <c r="AZ278">
        <f>$H$278*$AF$278</f>
        <v>28.99</v>
      </c>
    </row>
    <row r="279" spans="1:52" x14ac:dyDescent="0.25">
      <c r="A279">
        <v>322</v>
      </c>
      <c r="B279" t="s">
        <v>5</v>
      </c>
      <c r="C279" t="s">
        <v>422</v>
      </c>
      <c r="D279">
        <v>50.33</v>
      </c>
      <c r="E279">
        <v>166.59</v>
      </c>
      <c r="F279" t="s">
        <v>308</v>
      </c>
      <c r="G279">
        <v>3.31</v>
      </c>
      <c r="H279">
        <v>199.91</v>
      </c>
      <c r="I279" t="s">
        <v>420</v>
      </c>
      <c r="J279" t="s">
        <v>423</v>
      </c>
      <c r="K279" t="s">
        <v>554</v>
      </c>
      <c r="L279" t="s">
        <v>203</v>
      </c>
      <c r="M279" t="s">
        <v>5</v>
      </c>
      <c r="N279" t="s">
        <v>12</v>
      </c>
      <c r="O279" t="s">
        <v>5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5</v>
      </c>
      <c r="AH279" t="s">
        <v>12</v>
      </c>
      <c r="AI279" t="s">
        <v>5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199.91</v>
      </c>
      <c r="AN279">
        <f>$H$279*$T$279</f>
        <v>199.91</v>
      </c>
      <c r="AO279">
        <f>$H$279*$U$279</f>
        <v>199.91</v>
      </c>
      <c r="AP279">
        <f>$H$279*$V$279</f>
        <v>199.91</v>
      </c>
      <c r="AQ279">
        <f>$H$279*$W$279</f>
        <v>199.91</v>
      </c>
      <c r="AR279">
        <f>$H$279*$X$279</f>
        <v>199.91</v>
      </c>
      <c r="AS279">
        <f>$H$279*$Y$279</f>
        <v>199.91</v>
      </c>
      <c r="AT279">
        <f>$H$279*$Z$279</f>
        <v>199.91</v>
      </c>
      <c r="AU279">
        <f>$H$279*$AA$279</f>
        <v>199.91</v>
      </c>
      <c r="AV279">
        <f>$H$279*$AB$279</f>
        <v>199.91</v>
      </c>
      <c r="AW279">
        <f>$H$279*$AC$279</f>
        <v>199.91</v>
      </c>
      <c r="AX279">
        <f>$H$279*$AD$279</f>
        <v>199.91</v>
      </c>
      <c r="AY279">
        <f>$H$279*$AE$279</f>
        <v>199.91</v>
      </c>
      <c r="AZ279">
        <f>$H$279*$AF$279</f>
        <v>199.91</v>
      </c>
    </row>
    <row r="280" spans="1:52" x14ac:dyDescent="0.25">
      <c r="A280">
        <v>323</v>
      </c>
      <c r="B280" t="s">
        <v>5</v>
      </c>
      <c r="C280" t="s">
        <v>424</v>
      </c>
      <c r="D280">
        <v>50.33</v>
      </c>
      <c r="E280">
        <v>53.85</v>
      </c>
      <c r="F280" t="s">
        <v>308</v>
      </c>
      <c r="G280">
        <v>1.07</v>
      </c>
      <c r="H280">
        <v>64.63</v>
      </c>
      <c r="I280" t="s">
        <v>289</v>
      </c>
      <c r="J280" t="s">
        <v>425</v>
      </c>
      <c r="K280" t="s">
        <v>555</v>
      </c>
      <c r="L280" t="s">
        <v>203</v>
      </c>
      <c r="M280" t="s">
        <v>5</v>
      </c>
      <c r="N280" t="s">
        <v>12</v>
      </c>
      <c r="O280" t="s">
        <v>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5</v>
      </c>
      <c r="AH280" t="s">
        <v>12</v>
      </c>
      <c r="AI280" t="s">
        <v>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64.63</v>
      </c>
      <c r="AY280">
        <f>$H$280*$AE$280</f>
        <v>64.63</v>
      </c>
      <c r="AZ280">
        <f>$H$280*$AF$280</f>
        <v>64.63</v>
      </c>
    </row>
    <row r="281" spans="1:52" x14ac:dyDescent="0.25">
      <c r="A281">
        <v>324</v>
      </c>
      <c r="B281" t="s">
        <v>5</v>
      </c>
      <c r="C281" t="s">
        <v>316</v>
      </c>
      <c r="D281">
        <v>151</v>
      </c>
      <c r="E281">
        <v>244.62</v>
      </c>
      <c r="F281" t="s">
        <v>308</v>
      </c>
      <c r="G281">
        <v>1.62</v>
      </c>
      <c r="H281">
        <v>293.54000000000002</v>
      </c>
      <c r="I281" t="s">
        <v>289</v>
      </c>
      <c r="J281" t="s">
        <v>317</v>
      </c>
      <c r="K281" t="s">
        <v>504</v>
      </c>
      <c r="L281" t="s">
        <v>203</v>
      </c>
      <c r="M281" t="s">
        <v>5</v>
      </c>
      <c r="N281" t="s">
        <v>12</v>
      </c>
      <c r="O281" t="s">
        <v>5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5</v>
      </c>
      <c r="AH281" t="s">
        <v>12</v>
      </c>
      <c r="AI281" t="s">
        <v>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293.54000000000002</v>
      </c>
      <c r="AO281">
        <f>$H$281*$U$281</f>
        <v>293.54000000000002</v>
      </c>
      <c r="AP281">
        <f>$H$281*$V$281</f>
        <v>293.54000000000002</v>
      </c>
      <c r="AQ281">
        <f>$H$281*$W$281</f>
        <v>293.54000000000002</v>
      </c>
      <c r="AR281">
        <f>$H$281*$X$281</f>
        <v>293.54000000000002</v>
      </c>
      <c r="AS281">
        <f>$H$281*$Y$281</f>
        <v>293.54000000000002</v>
      </c>
      <c r="AT281">
        <f>$H$281*$Z$281</f>
        <v>293.54000000000002</v>
      </c>
      <c r="AU281">
        <f>$H$281*$AA$281</f>
        <v>293.54000000000002</v>
      </c>
      <c r="AV281">
        <f>$H$281*$AB$281</f>
        <v>293.54000000000002</v>
      </c>
      <c r="AW281">
        <f>$H$281*$AC$281</f>
        <v>293.54000000000002</v>
      </c>
      <c r="AX281">
        <f>$H$281*$AD$281</f>
        <v>293.54000000000002</v>
      </c>
      <c r="AY281">
        <f>$H$281*$AE$281</f>
        <v>293.54000000000002</v>
      </c>
      <c r="AZ281">
        <f>$H$281*$AF$281</f>
        <v>293.54000000000002</v>
      </c>
    </row>
    <row r="282" spans="1:52" x14ac:dyDescent="0.25">
      <c r="A282">
        <v>325</v>
      </c>
      <c r="B282" t="s">
        <v>5</v>
      </c>
      <c r="C282" t="s">
        <v>318</v>
      </c>
      <c r="D282">
        <v>201.33</v>
      </c>
      <c r="E282">
        <v>831.49</v>
      </c>
      <c r="F282" t="s">
        <v>308</v>
      </c>
      <c r="G282">
        <v>4.13</v>
      </c>
      <c r="H282">
        <v>997.79</v>
      </c>
      <c r="I282" t="s">
        <v>319</v>
      </c>
      <c r="J282" t="s">
        <v>320</v>
      </c>
      <c r="K282" t="s">
        <v>505</v>
      </c>
      <c r="L282" t="s">
        <v>203</v>
      </c>
      <c r="M282" t="s">
        <v>5</v>
      </c>
      <c r="N282" t="s">
        <v>12</v>
      </c>
      <c r="O282" t="s">
        <v>5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5</v>
      </c>
      <c r="AH282" t="s">
        <v>12</v>
      </c>
      <c r="AI282" t="s">
        <v>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249.44749999999999</v>
      </c>
      <c r="AN282">
        <f>$H$282*$T$282</f>
        <v>249.44749999999999</v>
      </c>
      <c r="AO282">
        <f>$H$282*$U$282</f>
        <v>249.44749999999999</v>
      </c>
      <c r="AP282">
        <f>$H$282*$V$282</f>
        <v>249.44749999999999</v>
      </c>
      <c r="AQ282">
        <f>$H$282*$W$282</f>
        <v>498.89499999999998</v>
      </c>
      <c r="AR282">
        <f>$H$282*$X$282</f>
        <v>498.89499999999998</v>
      </c>
      <c r="AS282">
        <f>$H$282*$Y$282</f>
        <v>498.89499999999998</v>
      </c>
      <c r="AT282">
        <f>$H$282*$Z$282</f>
        <v>498.89499999999998</v>
      </c>
      <c r="AU282">
        <f>$H$282*$AA$282</f>
        <v>997.79</v>
      </c>
      <c r="AV282">
        <f>$H$282*$AB$282</f>
        <v>997.79</v>
      </c>
      <c r="AW282">
        <f>$H$282*$AC$282</f>
        <v>997.79</v>
      </c>
      <c r="AX282">
        <f>$H$282*$AD$282</f>
        <v>997.79</v>
      </c>
      <c r="AY282">
        <f>$H$282*$AE$282</f>
        <v>997.79</v>
      </c>
      <c r="AZ282">
        <f>$H$282*$AF$282</f>
        <v>997.79</v>
      </c>
    </row>
    <row r="283" spans="1:52" x14ac:dyDescent="0.25">
      <c r="A283">
        <v>326</v>
      </c>
      <c r="B283" t="s">
        <v>5</v>
      </c>
      <c r="C283" t="s">
        <v>426</v>
      </c>
      <c r="D283">
        <v>25.17</v>
      </c>
      <c r="E283">
        <v>66.2</v>
      </c>
      <c r="F283" t="s">
        <v>288</v>
      </c>
      <c r="G283">
        <v>2.63</v>
      </c>
      <c r="H283">
        <v>79.44</v>
      </c>
      <c r="I283" t="s">
        <v>289</v>
      </c>
      <c r="J283" t="s">
        <v>427</v>
      </c>
      <c r="K283" t="s">
        <v>556</v>
      </c>
      <c r="L283" t="s">
        <v>203</v>
      </c>
      <c r="M283" t="s">
        <v>5</v>
      </c>
      <c r="N283" t="s">
        <v>12</v>
      </c>
      <c r="O283" t="s">
        <v>5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5</v>
      </c>
      <c r="AH283" t="s">
        <v>12</v>
      </c>
      <c r="AI283" t="s">
        <v>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79.44</v>
      </c>
      <c r="AN283">
        <f>$H$283*$T$283</f>
        <v>79.44</v>
      </c>
      <c r="AO283">
        <f>$H$283*$U$283</f>
        <v>79.44</v>
      </c>
      <c r="AP283">
        <f>$H$283*$V$283</f>
        <v>79.44</v>
      </c>
      <c r="AQ283">
        <f>$H$283*$W$283</f>
        <v>79.44</v>
      </c>
      <c r="AR283">
        <f>$H$283*$X$283</f>
        <v>79.44</v>
      </c>
      <c r="AS283">
        <f>$H$283*$Y$283</f>
        <v>79.44</v>
      </c>
      <c r="AT283">
        <f>$H$283*$Z$283</f>
        <v>79.44</v>
      </c>
      <c r="AU283">
        <f>$H$283*$AA$283</f>
        <v>79.44</v>
      </c>
      <c r="AV283">
        <f>$H$283*$AB$283</f>
        <v>79.44</v>
      </c>
      <c r="AW283">
        <f>$H$283*$AC$283</f>
        <v>79.44</v>
      </c>
      <c r="AX283">
        <f>$H$283*$AD$283</f>
        <v>79.44</v>
      </c>
      <c r="AY283">
        <f>$H$283*$AE$283</f>
        <v>79.44</v>
      </c>
      <c r="AZ283">
        <f>$H$283*$AF$283</f>
        <v>79.44</v>
      </c>
    </row>
    <row r="284" spans="1:52" x14ac:dyDescent="0.25">
      <c r="A284">
        <v>327</v>
      </c>
      <c r="B284" t="s">
        <v>5</v>
      </c>
      <c r="C284" t="s">
        <v>428</v>
      </c>
      <c r="D284">
        <v>25.17</v>
      </c>
      <c r="E284">
        <v>155.80000000000001</v>
      </c>
      <c r="F284" t="s">
        <v>288</v>
      </c>
      <c r="G284">
        <v>6.19</v>
      </c>
      <c r="H284">
        <v>186.96</v>
      </c>
      <c r="I284" t="s">
        <v>292</v>
      </c>
      <c r="J284" t="s">
        <v>429</v>
      </c>
      <c r="K284" t="s">
        <v>557</v>
      </c>
      <c r="L284" t="s">
        <v>203</v>
      </c>
      <c r="M284" t="s">
        <v>5</v>
      </c>
      <c r="N284" t="s">
        <v>12</v>
      </c>
      <c r="O284" t="s">
        <v>5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5</v>
      </c>
      <c r="AH284" t="s">
        <v>12</v>
      </c>
      <c r="AI284" t="s">
        <v>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186.96</v>
      </c>
      <c r="AN284">
        <f>$H$284*$T$284</f>
        <v>186.96</v>
      </c>
      <c r="AO284">
        <f>$H$284*$U$284</f>
        <v>186.96</v>
      </c>
      <c r="AP284">
        <f>$H$284*$V$284</f>
        <v>186.96</v>
      </c>
      <c r="AQ284">
        <f>$H$284*$W$284</f>
        <v>186.96</v>
      </c>
      <c r="AR284">
        <f>$H$284*$X$284</f>
        <v>186.96</v>
      </c>
      <c r="AS284">
        <f>$H$284*$Y$284</f>
        <v>186.96</v>
      </c>
      <c r="AT284">
        <f>$H$284*$Z$284</f>
        <v>186.96</v>
      </c>
      <c r="AU284">
        <f>$H$284*$AA$284</f>
        <v>186.96</v>
      </c>
      <c r="AV284">
        <f>$H$284*$AB$284</f>
        <v>186.96</v>
      </c>
      <c r="AW284">
        <f>$H$284*$AC$284</f>
        <v>186.96</v>
      </c>
      <c r="AX284">
        <f>$H$284*$AD$284</f>
        <v>186.96</v>
      </c>
      <c r="AY284">
        <f>$H$284*$AE$284</f>
        <v>186.96</v>
      </c>
      <c r="AZ284">
        <f>$H$284*$AF$284</f>
        <v>186.96</v>
      </c>
    </row>
    <row r="285" spans="1:52" x14ac:dyDescent="0.25">
      <c r="A285">
        <v>328</v>
      </c>
      <c r="B285" t="s">
        <v>5</v>
      </c>
      <c r="C285" t="s">
        <v>318</v>
      </c>
      <c r="D285">
        <v>38.82</v>
      </c>
      <c r="E285">
        <v>160.33000000000001</v>
      </c>
      <c r="F285" t="s">
        <v>308</v>
      </c>
      <c r="G285">
        <v>4.13</v>
      </c>
      <c r="H285">
        <v>192.39</v>
      </c>
      <c r="I285" t="s">
        <v>319</v>
      </c>
      <c r="J285" t="s">
        <v>320</v>
      </c>
      <c r="K285" t="s">
        <v>505</v>
      </c>
      <c r="L285" t="s">
        <v>203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48.097499999999997</v>
      </c>
      <c r="AN285">
        <f>$H$285*$T$285</f>
        <v>48.097499999999997</v>
      </c>
      <c r="AO285">
        <f>$H$285*$U$285</f>
        <v>48.097499999999997</v>
      </c>
      <c r="AP285">
        <f>$H$285*$V$285</f>
        <v>48.097499999999997</v>
      </c>
      <c r="AQ285">
        <f>$H$285*$W$285</f>
        <v>96.194999999999993</v>
      </c>
      <c r="AR285">
        <f>$H$285*$X$285</f>
        <v>96.194999999999993</v>
      </c>
      <c r="AS285">
        <f>$H$285*$Y$285</f>
        <v>96.194999999999993</v>
      </c>
      <c r="AT285">
        <f>$H$285*$Z$285</f>
        <v>96.194999999999993</v>
      </c>
      <c r="AU285">
        <f>$H$285*$AA$285</f>
        <v>192.39</v>
      </c>
      <c r="AV285">
        <f>$H$285*$AB$285</f>
        <v>192.39</v>
      </c>
      <c r="AW285">
        <f>$H$285*$AC$285</f>
        <v>192.39</v>
      </c>
      <c r="AX285">
        <f>$H$285*$AD$285</f>
        <v>192.39</v>
      </c>
      <c r="AY285">
        <f>$H$285*$AE$285</f>
        <v>192.39</v>
      </c>
      <c r="AZ285">
        <f>$H$285*$AF$285</f>
        <v>192.39</v>
      </c>
    </row>
    <row r="286" spans="1:52" x14ac:dyDescent="0.25">
      <c r="A286">
        <v>329</v>
      </c>
      <c r="B286" t="s">
        <v>5</v>
      </c>
      <c r="C286" t="s">
        <v>424</v>
      </c>
      <c r="D286">
        <v>38.82</v>
      </c>
      <c r="E286">
        <v>41.54</v>
      </c>
      <c r="F286" t="s">
        <v>308</v>
      </c>
      <c r="G286">
        <v>1.07</v>
      </c>
      <c r="H286">
        <v>49.84</v>
      </c>
      <c r="I286" t="s">
        <v>289</v>
      </c>
      <c r="J286" t="s">
        <v>425</v>
      </c>
      <c r="K286" t="s">
        <v>555</v>
      </c>
      <c r="L286" t="s">
        <v>203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49.84</v>
      </c>
      <c r="AY286">
        <f>$H$286*$AE$286</f>
        <v>49.84</v>
      </c>
      <c r="AZ286">
        <f>$H$286*$AF$286</f>
        <v>49.84</v>
      </c>
    </row>
    <row r="287" spans="1:52" x14ac:dyDescent="0.25">
      <c r="A287">
        <v>330</v>
      </c>
      <c r="B287" t="s">
        <v>5</v>
      </c>
      <c r="C287" t="s">
        <v>430</v>
      </c>
      <c r="D287">
        <v>38.82</v>
      </c>
      <c r="E287">
        <v>43.87</v>
      </c>
      <c r="F287" t="s">
        <v>308</v>
      </c>
      <c r="G287">
        <v>1.1299999999999999</v>
      </c>
      <c r="H287">
        <v>52.65</v>
      </c>
      <c r="I287" t="s">
        <v>289</v>
      </c>
      <c r="J287" t="s">
        <v>431</v>
      </c>
      <c r="K287" t="s">
        <v>558</v>
      </c>
      <c r="L287" t="s">
        <v>203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52.65</v>
      </c>
      <c r="AN287">
        <f>$H$287*$T$287</f>
        <v>52.65</v>
      </c>
      <c r="AO287">
        <f>$H$287*$U$287</f>
        <v>52.65</v>
      </c>
      <c r="AP287">
        <f>$H$287*$V$287</f>
        <v>52.65</v>
      </c>
      <c r="AQ287">
        <f>$H$287*$W$287</f>
        <v>52.65</v>
      </c>
      <c r="AR287">
        <f>$H$287*$X$287</f>
        <v>52.65</v>
      </c>
      <c r="AS287">
        <f>$H$287*$Y$287</f>
        <v>52.65</v>
      </c>
      <c r="AT287">
        <f>$H$287*$Z$287</f>
        <v>52.65</v>
      </c>
      <c r="AU287">
        <f>$H$287*$AA$287</f>
        <v>52.65</v>
      </c>
      <c r="AV287">
        <f>$H$287*$AB$287</f>
        <v>52.65</v>
      </c>
      <c r="AW287">
        <f>$H$287*$AC$287</f>
        <v>52.65</v>
      </c>
      <c r="AX287">
        <f>$H$287*$AD$287</f>
        <v>52.65</v>
      </c>
      <c r="AY287">
        <f>$H$287*$AE$287</f>
        <v>52.65</v>
      </c>
      <c r="AZ287">
        <f>$H$287*$AF$287</f>
        <v>52.65</v>
      </c>
    </row>
    <row r="288" spans="1:52" x14ac:dyDescent="0.25">
      <c r="A288">
        <v>331</v>
      </c>
      <c r="B288" t="s">
        <v>5</v>
      </c>
      <c r="C288" t="s">
        <v>432</v>
      </c>
      <c r="D288">
        <v>11.7</v>
      </c>
      <c r="E288">
        <v>191.88</v>
      </c>
      <c r="F288" t="s">
        <v>308</v>
      </c>
      <c r="G288">
        <v>16.399999999999999</v>
      </c>
      <c r="H288">
        <v>230.26</v>
      </c>
      <c r="I288" t="s">
        <v>433</v>
      </c>
      <c r="J288" t="s">
        <v>326</v>
      </c>
      <c r="K288" t="s">
        <v>559</v>
      </c>
      <c r="L288" t="s">
        <v>203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230.26</v>
      </c>
      <c r="AQ288">
        <f>$H$288*$W$288</f>
        <v>230.26</v>
      </c>
      <c r="AR288">
        <f>$H$288*$X$288</f>
        <v>230.26</v>
      </c>
      <c r="AS288">
        <f>$H$288*$Y$288</f>
        <v>230.26</v>
      </c>
      <c r="AT288">
        <f>$H$288*$Z$288</f>
        <v>230.26</v>
      </c>
      <c r="AU288">
        <f>$H$288*$AA$288</f>
        <v>230.26</v>
      </c>
      <c r="AV288">
        <f>$H$288*$AB$288</f>
        <v>230.26</v>
      </c>
      <c r="AW288">
        <f>$H$288*$AC$288</f>
        <v>230.26</v>
      </c>
      <c r="AX288">
        <f>$H$288*$AD$288</f>
        <v>230.26</v>
      </c>
      <c r="AY288">
        <f>$H$288*$AE$288</f>
        <v>230.26</v>
      </c>
      <c r="AZ288">
        <f>$H$288*$AF$288</f>
        <v>230.26</v>
      </c>
    </row>
    <row r="289" spans="1:52" x14ac:dyDescent="0.25">
      <c r="A289">
        <v>332</v>
      </c>
      <c r="B289" t="s">
        <v>5</v>
      </c>
      <c r="C289" t="s">
        <v>434</v>
      </c>
      <c r="D289">
        <v>23.41</v>
      </c>
      <c r="E289">
        <v>99.96</v>
      </c>
      <c r="F289" t="s">
        <v>308</v>
      </c>
      <c r="G289">
        <v>4.2699999999999996</v>
      </c>
      <c r="H289">
        <v>119.96</v>
      </c>
      <c r="I289" t="s">
        <v>435</v>
      </c>
      <c r="J289" t="s">
        <v>436</v>
      </c>
      <c r="K289" t="s">
        <v>560</v>
      </c>
      <c r="L289" t="s">
        <v>203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119.96</v>
      </c>
      <c r="AN289">
        <f>$H$289*$T$289</f>
        <v>119.96</v>
      </c>
      <c r="AO289">
        <f>$H$289*$U$289</f>
        <v>119.96</v>
      </c>
      <c r="AP289">
        <f>$H$289*$V$289</f>
        <v>119.96</v>
      </c>
      <c r="AQ289">
        <f>$H$289*$W$289</f>
        <v>119.96</v>
      </c>
      <c r="AR289">
        <f>$H$289*$X$289</f>
        <v>119.96</v>
      </c>
      <c r="AS289">
        <f>$H$289*$Y$289</f>
        <v>119.96</v>
      </c>
      <c r="AT289">
        <f>$H$289*$Z$289</f>
        <v>119.96</v>
      </c>
      <c r="AU289">
        <f>$H$289*$AA$289</f>
        <v>119.96</v>
      </c>
      <c r="AV289">
        <f>$H$289*$AB$289</f>
        <v>119.96</v>
      </c>
      <c r="AW289">
        <f>$H$289*$AC$289</f>
        <v>119.96</v>
      </c>
      <c r="AX289">
        <f>$H$289*$AD$289</f>
        <v>119.96</v>
      </c>
      <c r="AY289">
        <f>$H$289*$AE$289</f>
        <v>119.96</v>
      </c>
      <c r="AZ289">
        <f>$H$289*$AF$289</f>
        <v>119.96</v>
      </c>
    </row>
    <row r="290" spans="1:52" x14ac:dyDescent="0.25">
      <c r="A290">
        <v>333</v>
      </c>
      <c r="B290" t="s">
        <v>5</v>
      </c>
      <c r="C290" t="s">
        <v>437</v>
      </c>
      <c r="D290">
        <v>23.41</v>
      </c>
      <c r="E290">
        <v>251.66</v>
      </c>
      <c r="F290" t="s">
        <v>308</v>
      </c>
      <c r="G290">
        <v>10.75</v>
      </c>
      <c r="H290">
        <v>302</v>
      </c>
      <c r="I290" t="s">
        <v>435</v>
      </c>
      <c r="J290" t="s">
        <v>326</v>
      </c>
      <c r="K290" t="s">
        <v>561</v>
      </c>
      <c r="L290" t="s">
        <v>203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302</v>
      </c>
      <c r="AN290">
        <f>$H$290*$T$290</f>
        <v>302</v>
      </c>
      <c r="AO290">
        <f>$H$290*$U$290</f>
        <v>302</v>
      </c>
      <c r="AP290">
        <f>$H$290*$V$290</f>
        <v>302</v>
      </c>
      <c r="AQ290">
        <f>$H$290*$W$290</f>
        <v>302</v>
      </c>
      <c r="AR290">
        <f>$H$290*$X$290</f>
        <v>302</v>
      </c>
      <c r="AS290">
        <f>$H$290*$Y$290</f>
        <v>302</v>
      </c>
      <c r="AT290">
        <f>$H$290*$Z$290</f>
        <v>302</v>
      </c>
      <c r="AU290">
        <f>$H$290*$AA$290</f>
        <v>302</v>
      </c>
      <c r="AV290">
        <f>$H$290*$AB$290</f>
        <v>302</v>
      </c>
      <c r="AW290">
        <f>$H$290*$AC$290</f>
        <v>302</v>
      </c>
      <c r="AX290">
        <f>$H$290*$AD$290</f>
        <v>302</v>
      </c>
      <c r="AY290">
        <f>$H$290*$AE$290</f>
        <v>302</v>
      </c>
      <c r="AZ290">
        <f>$H$290*$AF$290</f>
        <v>302</v>
      </c>
    </row>
    <row r="291" spans="1:52" x14ac:dyDescent="0.25">
      <c r="A291">
        <v>334</v>
      </c>
      <c r="B291" t="s">
        <v>5</v>
      </c>
      <c r="C291" t="s">
        <v>438</v>
      </c>
      <c r="D291">
        <v>11.16</v>
      </c>
      <c r="E291">
        <v>9.7100000000000009</v>
      </c>
      <c r="F291" t="s">
        <v>308</v>
      </c>
      <c r="G291">
        <v>0.87</v>
      </c>
      <c r="H291">
        <v>11.65</v>
      </c>
      <c r="I291" t="s">
        <v>331</v>
      </c>
      <c r="J291" t="s">
        <v>439</v>
      </c>
      <c r="K291" t="s">
        <v>562</v>
      </c>
      <c r="L291" t="s">
        <v>203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11.65</v>
      </c>
      <c r="AN291">
        <f>$H$291*$T$291</f>
        <v>11.65</v>
      </c>
      <c r="AO291">
        <f>$H$291*$U$291</f>
        <v>11.65</v>
      </c>
      <c r="AP291">
        <f>$H$291*$V$291</f>
        <v>11.65</v>
      </c>
      <c r="AQ291">
        <f>$H$291*$W$291</f>
        <v>11.65</v>
      </c>
      <c r="AR291">
        <f>$H$291*$X$291</f>
        <v>11.65</v>
      </c>
      <c r="AS291">
        <f>$H$291*$Y$291</f>
        <v>11.65</v>
      </c>
      <c r="AT291">
        <f>$H$291*$Z$291</f>
        <v>11.65</v>
      </c>
      <c r="AU291">
        <f>$H$291*$AA$291</f>
        <v>11.65</v>
      </c>
      <c r="AV291">
        <f>$H$291*$AB$291</f>
        <v>11.65</v>
      </c>
      <c r="AW291">
        <f>$H$291*$AC$291</f>
        <v>11.65</v>
      </c>
      <c r="AX291">
        <f>$H$291*$AD$291</f>
        <v>11.65</v>
      </c>
      <c r="AY291">
        <f>$H$291*$AE$291</f>
        <v>11.65</v>
      </c>
      <c r="AZ291">
        <f>$H$291*$AF$291</f>
        <v>11.65</v>
      </c>
    </row>
    <row r="292" spans="1:52" x14ac:dyDescent="0.25">
      <c r="A292">
        <v>335</v>
      </c>
      <c r="B292" t="s">
        <v>5</v>
      </c>
      <c r="C292" t="s">
        <v>440</v>
      </c>
      <c r="D292">
        <v>11.16</v>
      </c>
      <c r="E292">
        <v>78.900000000000006</v>
      </c>
      <c r="F292" t="s">
        <v>308</v>
      </c>
      <c r="G292">
        <v>7.07</v>
      </c>
      <c r="H292">
        <v>94.68</v>
      </c>
      <c r="I292" t="s">
        <v>331</v>
      </c>
      <c r="J292" t="s">
        <v>326</v>
      </c>
      <c r="K292" t="s">
        <v>563</v>
      </c>
      <c r="L292" t="s">
        <v>203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94.68</v>
      </c>
      <c r="AN292">
        <f>$H$292*$T$292</f>
        <v>94.68</v>
      </c>
      <c r="AO292">
        <f>$H$292*$U$292</f>
        <v>94.68</v>
      </c>
      <c r="AP292">
        <f>$H$292*$V$292</f>
        <v>94.68</v>
      </c>
      <c r="AQ292">
        <f>$H$292*$W$292</f>
        <v>94.68</v>
      </c>
      <c r="AR292">
        <f>$H$292*$X$292</f>
        <v>94.68</v>
      </c>
      <c r="AS292">
        <f>$H$292*$Y$292</f>
        <v>94.68</v>
      </c>
      <c r="AT292">
        <f>$H$292*$Z$292</f>
        <v>94.68</v>
      </c>
      <c r="AU292">
        <f>$H$292*$AA$292</f>
        <v>94.68</v>
      </c>
      <c r="AV292">
        <f>$H$292*$AB$292</f>
        <v>94.68</v>
      </c>
      <c r="AW292">
        <f>$H$292*$AC$292</f>
        <v>94.68</v>
      </c>
      <c r="AX292">
        <f>$H$292*$AD$292</f>
        <v>94.68</v>
      </c>
      <c r="AY292">
        <f>$H$292*$AE$292</f>
        <v>94.68</v>
      </c>
      <c r="AZ292">
        <f>$H$292*$AF$292</f>
        <v>94.68</v>
      </c>
    </row>
    <row r="293" spans="1:52" x14ac:dyDescent="0.25">
      <c r="A293">
        <v>336</v>
      </c>
      <c r="B293" t="s">
        <v>268</v>
      </c>
      <c r="C293" t="s">
        <v>386</v>
      </c>
      <c r="D293">
        <v>8</v>
      </c>
      <c r="E293">
        <v>129.12</v>
      </c>
      <c r="F293" t="s">
        <v>294</v>
      </c>
      <c r="G293">
        <v>16.14</v>
      </c>
      <c r="H293">
        <v>154.94</v>
      </c>
      <c r="I293" t="s">
        <v>296</v>
      </c>
      <c r="J293" t="s">
        <v>387</v>
      </c>
      <c r="K293" t="s">
        <v>537</v>
      </c>
      <c r="L293" t="s">
        <v>203</v>
      </c>
      <c r="M293" t="s">
        <v>268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268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154.94</v>
      </c>
      <c r="AS293">
        <f>$H$293*$Y$293</f>
        <v>154.94</v>
      </c>
      <c r="AT293">
        <f>$H$293*$Z$293</f>
        <v>154.94</v>
      </c>
      <c r="AU293">
        <f>$H$293*$AA$293</f>
        <v>154.94</v>
      </c>
      <c r="AV293">
        <f>$H$293*$AB$293</f>
        <v>154.94</v>
      </c>
      <c r="AW293">
        <f>$H$293*$AC$293</f>
        <v>154.94</v>
      </c>
      <c r="AX293">
        <f>$H$293*$AD$293</f>
        <v>154.94</v>
      </c>
      <c r="AY293">
        <f>$H$293*$AE$293</f>
        <v>154.94</v>
      </c>
      <c r="AZ293">
        <f>$H$293*$AF$293</f>
        <v>154.94</v>
      </c>
    </row>
    <row r="294" spans="1:52" x14ac:dyDescent="0.25">
      <c r="A294">
        <v>337</v>
      </c>
      <c r="B294" t="s">
        <v>268</v>
      </c>
      <c r="C294" t="s">
        <v>446</v>
      </c>
      <c r="D294">
        <v>1</v>
      </c>
      <c r="E294">
        <v>71.34</v>
      </c>
      <c r="F294" t="s">
        <v>294</v>
      </c>
      <c r="G294">
        <v>71.34</v>
      </c>
      <c r="H294">
        <v>85.6</v>
      </c>
      <c r="I294" t="s">
        <v>299</v>
      </c>
      <c r="J294" t="s">
        <v>356</v>
      </c>
      <c r="K294" t="s">
        <v>567</v>
      </c>
      <c r="L294" t="s">
        <v>203</v>
      </c>
      <c r="M294" t="s">
        <v>268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268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85.6</v>
      </c>
      <c r="AY294">
        <f>$H$294*$AE$294</f>
        <v>85.6</v>
      </c>
      <c r="AZ294">
        <f>$H$294*$AF$294</f>
        <v>85.6</v>
      </c>
    </row>
    <row r="295" spans="1:52" x14ac:dyDescent="0.25">
      <c r="A295">
        <v>338</v>
      </c>
      <c r="B295" t="s">
        <v>268</v>
      </c>
      <c r="C295" t="s">
        <v>419</v>
      </c>
      <c r="D295">
        <v>15.25</v>
      </c>
      <c r="E295">
        <v>58.56</v>
      </c>
      <c r="F295" t="s">
        <v>288</v>
      </c>
      <c r="G295">
        <v>3.84</v>
      </c>
      <c r="H295">
        <v>70.28</v>
      </c>
      <c r="I295" t="s">
        <v>420</v>
      </c>
      <c r="J295" t="s">
        <v>421</v>
      </c>
      <c r="K295" t="s">
        <v>553</v>
      </c>
      <c r="L295" t="s">
        <v>203</v>
      </c>
      <c r="M295" t="s">
        <v>268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268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70.28</v>
      </c>
      <c r="AV295">
        <f>$H$295*$AB$295</f>
        <v>70.28</v>
      </c>
      <c r="AW295">
        <f>$H$295*$AC$295</f>
        <v>70.28</v>
      </c>
      <c r="AX295">
        <f>$H$295*$AD$295</f>
        <v>70.28</v>
      </c>
      <c r="AY295">
        <f>$H$295*$AE$295</f>
        <v>70.28</v>
      </c>
      <c r="AZ295">
        <f>$H$295*$AF$295</f>
        <v>70.28</v>
      </c>
    </row>
    <row r="296" spans="1:52" x14ac:dyDescent="0.25">
      <c r="A296">
        <v>339</v>
      </c>
      <c r="B296" t="s">
        <v>268</v>
      </c>
      <c r="C296" t="s">
        <v>422</v>
      </c>
      <c r="D296">
        <v>122</v>
      </c>
      <c r="E296">
        <v>403.82</v>
      </c>
      <c r="F296" t="s">
        <v>308</v>
      </c>
      <c r="G296">
        <v>3.31</v>
      </c>
      <c r="H296">
        <v>484.58</v>
      </c>
      <c r="I296" t="s">
        <v>420</v>
      </c>
      <c r="J296" t="s">
        <v>423</v>
      </c>
      <c r="K296" t="s">
        <v>554</v>
      </c>
      <c r="L296" t="s">
        <v>203</v>
      </c>
      <c r="M296" t="s">
        <v>268</v>
      </c>
      <c r="N296" t="s">
        <v>12</v>
      </c>
      <c r="O296" t="s">
        <v>14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268</v>
      </c>
      <c r="AH296" t="s">
        <v>12</v>
      </c>
      <c r="AI296" t="s">
        <v>14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484.58</v>
      </c>
      <c r="AN296">
        <f>$H$296*$T$296</f>
        <v>484.58</v>
      </c>
      <c r="AO296">
        <f>$H$296*$U$296</f>
        <v>484.58</v>
      </c>
      <c r="AP296">
        <f>$H$296*$V$296</f>
        <v>484.58</v>
      </c>
      <c r="AQ296">
        <f>$H$296*$W$296</f>
        <v>484.58</v>
      </c>
      <c r="AR296">
        <f>$H$296*$X$296</f>
        <v>484.58</v>
      </c>
      <c r="AS296">
        <f>$H$296*$Y$296</f>
        <v>484.58</v>
      </c>
      <c r="AT296">
        <f>$H$296*$Z$296</f>
        <v>484.58</v>
      </c>
      <c r="AU296">
        <f>$H$296*$AA$296</f>
        <v>484.58</v>
      </c>
      <c r="AV296">
        <f>$H$296*$AB$296</f>
        <v>484.58</v>
      </c>
      <c r="AW296">
        <f>$H$296*$AC$296</f>
        <v>484.58</v>
      </c>
      <c r="AX296">
        <f>$H$296*$AD$296</f>
        <v>484.58</v>
      </c>
      <c r="AY296">
        <f>$H$296*$AE$296</f>
        <v>484.58</v>
      </c>
      <c r="AZ296">
        <f>$H$296*$AF$296</f>
        <v>484.58</v>
      </c>
    </row>
    <row r="297" spans="1:52" x14ac:dyDescent="0.25">
      <c r="A297">
        <v>340</v>
      </c>
      <c r="B297" t="s">
        <v>268</v>
      </c>
      <c r="C297" t="s">
        <v>424</v>
      </c>
      <c r="D297">
        <v>122</v>
      </c>
      <c r="E297">
        <v>130.54</v>
      </c>
      <c r="F297" t="s">
        <v>308</v>
      </c>
      <c r="G297">
        <v>1.07</v>
      </c>
      <c r="H297">
        <v>156.63999999999999</v>
      </c>
      <c r="I297" t="s">
        <v>289</v>
      </c>
      <c r="J297" t="s">
        <v>425</v>
      </c>
      <c r="K297" t="s">
        <v>555</v>
      </c>
      <c r="L297" t="s">
        <v>203</v>
      </c>
      <c r="M297" t="s">
        <v>268</v>
      </c>
      <c r="N297" t="s">
        <v>12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268</v>
      </c>
      <c r="AH297" t="s">
        <v>12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156.63999999999999</v>
      </c>
      <c r="AY297">
        <f>$H$297*$AE$297</f>
        <v>156.63999999999999</v>
      </c>
      <c r="AZ297">
        <f>$H$297*$AF$297</f>
        <v>156.63999999999999</v>
      </c>
    </row>
    <row r="298" spans="1:52" x14ac:dyDescent="0.25">
      <c r="A298">
        <v>341</v>
      </c>
      <c r="B298" t="s">
        <v>268</v>
      </c>
      <c r="C298" t="s">
        <v>316</v>
      </c>
      <c r="D298">
        <v>366</v>
      </c>
      <c r="E298">
        <v>592.91999999999996</v>
      </c>
      <c r="F298" t="s">
        <v>308</v>
      </c>
      <c r="G298">
        <v>1.62</v>
      </c>
      <c r="H298">
        <v>711.5</v>
      </c>
      <c r="I298" t="s">
        <v>289</v>
      </c>
      <c r="J298" t="s">
        <v>317</v>
      </c>
      <c r="K298" t="s">
        <v>504</v>
      </c>
      <c r="L298" t="s">
        <v>203</v>
      </c>
      <c r="M298" t="s">
        <v>268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268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711.5</v>
      </c>
      <c r="AO298">
        <f>$H$298*$U$298</f>
        <v>711.5</v>
      </c>
      <c r="AP298">
        <f>$H$298*$V$298</f>
        <v>711.5</v>
      </c>
      <c r="AQ298">
        <f>$H$298*$W$298</f>
        <v>711.5</v>
      </c>
      <c r="AR298">
        <f>$H$298*$X$298</f>
        <v>711.5</v>
      </c>
      <c r="AS298">
        <f>$H$298*$Y$298</f>
        <v>711.5</v>
      </c>
      <c r="AT298">
        <f>$H$298*$Z$298</f>
        <v>711.5</v>
      </c>
      <c r="AU298">
        <f>$H$298*$AA$298</f>
        <v>711.5</v>
      </c>
      <c r="AV298">
        <f>$H$298*$AB$298</f>
        <v>711.5</v>
      </c>
      <c r="AW298">
        <f>$H$298*$AC$298</f>
        <v>711.5</v>
      </c>
      <c r="AX298">
        <f>$H$298*$AD$298</f>
        <v>711.5</v>
      </c>
      <c r="AY298">
        <f>$H$298*$AE$298</f>
        <v>711.5</v>
      </c>
      <c r="AZ298">
        <f>$H$298*$AF$298</f>
        <v>711.5</v>
      </c>
    </row>
    <row r="299" spans="1:52" x14ac:dyDescent="0.25">
      <c r="A299">
        <v>342</v>
      </c>
      <c r="B299" t="s">
        <v>268</v>
      </c>
      <c r="C299" t="s">
        <v>318</v>
      </c>
      <c r="D299">
        <v>488</v>
      </c>
      <c r="E299">
        <v>2015.44</v>
      </c>
      <c r="F299" t="s">
        <v>308</v>
      </c>
      <c r="G299">
        <v>4.13</v>
      </c>
      <c r="H299">
        <v>2418.52</v>
      </c>
      <c r="I299" t="s">
        <v>319</v>
      </c>
      <c r="J299" t="s">
        <v>320</v>
      </c>
      <c r="K299" t="s">
        <v>505</v>
      </c>
      <c r="L299" t="s">
        <v>203</v>
      </c>
      <c r="M299" t="s">
        <v>268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268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604.63</v>
      </c>
      <c r="AN299">
        <f>$H$299*$T$299</f>
        <v>604.63</v>
      </c>
      <c r="AO299">
        <f>$H$299*$U$299</f>
        <v>604.63</v>
      </c>
      <c r="AP299">
        <f>$H$299*$V$299</f>
        <v>604.63</v>
      </c>
      <c r="AQ299">
        <f>$H$299*$W$299</f>
        <v>1209.26</v>
      </c>
      <c r="AR299">
        <f>$H$299*$X$299</f>
        <v>1209.26</v>
      </c>
      <c r="AS299">
        <f>$H$299*$Y$299</f>
        <v>1209.26</v>
      </c>
      <c r="AT299">
        <f>$H$299*$Z$299</f>
        <v>1209.26</v>
      </c>
      <c r="AU299">
        <f>$H$299*$AA$299</f>
        <v>2418.52</v>
      </c>
      <c r="AV299">
        <f>$H$299*$AB$299</f>
        <v>2418.52</v>
      </c>
      <c r="AW299">
        <f>$H$299*$AC$299</f>
        <v>2418.52</v>
      </c>
      <c r="AX299">
        <f>$H$299*$AD$299</f>
        <v>2418.52</v>
      </c>
      <c r="AY299">
        <f>$H$299*$AE$299</f>
        <v>2418.52</v>
      </c>
      <c r="AZ299">
        <f>$H$299*$AF$299</f>
        <v>2418.52</v>
      </c>
    </row>
    <row r="300" spans="1:52" x14ac:dyDescent="0.25">
      <c r="A300">
        <v>343</v>
      </c>
      <c r="B300" t="s">
        <v>268</v>
      </c>
      <c r="C300" t="s">
        <v>481</v>
      </c>
      <c r="D300">
        <v>61</v>
      </c>
      <c r="E300">
        <v>111.63</v>
      </c>
      <c r="F300" t="s">
        <v>288</v>
      </c>
      <c r="G300">
        <v>1.83</v>
      </c>
      <c r="H300">
        <v>133.94999999999999</v>
      </c>
      <c r="I300" t="s">
        <v>289</v>
      </c>
      <c r="J300" t="s">
        <v>482</v>
      </c>
      <c r="K300" t="s">
        <v>585</v>
      </c>
      <c r="L300" t="s">
        <v>203</v>
      </c>
      <c r="M300" t="s">
        <v>268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268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133.94999999999999</v>
      </c>
      <c r="AV300">
        <f>$H$300*$AB$300</f>
        <v>133.94999999999999</v>
      </c>
      <c r="AW300">
        <f>$H$300*$AC$300</f>
        <v>133.94999999999999</v>
      </c>
      <c r="AX300">
        <f>$H$300*$AD$300</f>
        <v>133.94999999999999</v>
      </c>
      <c r="AY300">
        <f>$H$300*$AE$300</f>
        <v>133.94999999999999</v>
      </c>
      <c r="AZ300">
        <f>$H$300*$AF$300</f>
        <v>133.94999999999999</v>
      </c>
    </row>
    <row r="301" spans="1:52" x14ac:dyDescent="0.25">
      <c r="A301">
        <v>344</v>
      </c>
      <c r="B301" t="s">
        <v>268</v>
      </c>
      <c r="C301" t="s">
        <v>483</v>
      </c>
      <c r="D301">
        <v>61</v>
      </c>
      <c r="E301">
        <v>534.36</v>
      </c>
      <c r="F301" t="s">
        <v>288</v>
      </c>
      <c r="G301">
        <v>8.76</v>
      </c>
      <c r="H301">
        <v>641.24</v>
      </c>
      <c r="I301" t="s">
        <v>292</v>
      </c>
      <c r="J301" t="s">
        <v>484</v>
      </c>
      <c r="K301" t="s">
        <v>586</v>
      </c>
      <c r="L301" t="s">
        <v>203</v>
      </c>
      <c r="M301" t="s">
        <v>268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268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641.24</v>
      </c>
      <c r="AV301">
        <f>$H$301*$AB$301</f>
        <v>641.24</v>
      </c>
      <c r="AW301">
        <f>$H$301*$AC$301</f>
        <v>641.24</v>
      </c>
      <c r="AX301">
        <f>$H$301*$AD$301</f>
        <v>641.24</v>
      </c>
      <c r="AY301">
        <f>$H$301*$AE$301</f>
        <v>641.24</v>
      </c>
      <c r="AZ301">
        <f>$H$301*$AF$301</f>
        <v>641.24</v>
      </c>
    </row>
    <row r="302" spans="1:52" x14ac:dyDescent="0.25">
      <c r="A302">
        <v>345</v>
      </c>
      <c r="B302" t="s">
        <v>268</v>
      </c>
      <c r="C302" t="s">
        <v>426</v>
      </c>
      <c r="D302">
        <v>61</v>
      </c>
      <c r="E302">
        <v>160.43</v>
      </c>
      <c r="F302" t="s">
        <v>288</v>
      </c>
      <c r="G302">
        <v>2.63</v>
      </c>
      <c r="H302">
        <v>192.51</v>
      </c>
      <c r="I302" t="s">
        <v>289</v>
      </c>
      <c r="J302" t="s">
        <v>427</v>
      </c>
      <c r="K302" t="s">
        <v>556</v>
      </c>
      <c r="L302" t="s">
        <v>203</v>
      </c>
      <c r="M302" t="s">
        <v>268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268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192.51</v>
      </c>
      <c r="AN302">
        <f>$H$302*$T$302</f>
        <v>192.51</v>
      </c>
      <c r="AO302">
        <f>$H$302*$U$302</f>
        <v>192.51</v>
      </c>
      <c r="AP302">
        <f>$H$302*$V$302</f>
        <v>192.51</v>
      </c>
      <c r="AQ302">
        <f>$H$302*$W$302</f>
        <v>192.51</v>
      </c>
      <c r="AR302">
        <f>$H$302*$X$302</f>
        <v>192.51</v>
      </c>
      <c r="AS302">
        <f>$H$302*$Y$302</f>
        <v>192.51</v>
      </c>
      <c r="AT302">
        <f>$H$302*$Z$302</f>
        <v>192.51</v>
      </c>
      <c r="AU302">
        <f>$H$302*$AA$302</f>
        <v>192.51</v>
      </c>
      <c r="AV302">
        <f>$H$302*$AB$302</f>
        <v>192.51</v>
      </c>
      <c r="AW302">
        <f>$H$302*$AC$302</f>
        <v>192.51</v>
      </c>
      <c r="AX302">
        <f>$H$302*$AD$302</f>
        <v>192.51</v>
      </c>
      <c r="AY302">
        <f>$H$302*$AE$302</f>
        <v>192.51</v>
      </c>
      <c r="AZ302">
        <f>$H$302*$AF$302</f>
        <v>192.51</v>
      </c>
    </row>
    <row r="303" spans="1:52" x14ac:dyDescent="0.25">
      <c r="A303">
        <v>346</v>
      </c>
      <c r="B303" t="s">
        <v>268</v>
      </c>
      <c r="C303" t="s">
        <v>428</v>
      </c>
      <c r="D303">
        <v>61</v>
      </c>
      <c r="E303">
        <v>377.59</v>
      </c>
      <c r="F303" t="s">
        <v>288</v>
      </c>
      <c r="G303">
        <v>6.19</v>
      </c>
      <c r="H303">
        <v>453.11</v>
      </c>
      <c r="I303" t="s">
        <v>292</v>
      </c>
      <c r="J303" t="s">
        <v>429</v>
      </c>
      <c r="K303" t="s">
        <v>557</v>
      </c>
      <c r="L303" t="s">
        <v>203</v>
      </c>
      <c r="M303" t="s">
        <v>268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268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453.11</v>
      </c>
      <c r="AN303">
        <f>$H$303*$T$303</f>
        <v>453.11</v>
      </c>
      <c r="AO303">
        <f>$H$303*$U$303</f>
        <v>453.11</v>
      </c>
      <c r="AP303">
        <f>$H$303*$V$303</f>
        <v>453.11</v>
      </c>
      <c r="AQ303">
        <f>$H$303*$W$303</f>
        <v>453.11</v>
      </c>
      <c r="AR303">
        <f>$H$303*$X$303</f>
        <v>453.11</v>
      </c>
      <c r="AS303">
        <f>$H$303*$Y$303</f>
        <v>453.11</v>
      </c>
      <c r="AT303">
        <f>$H$303*$Z$303</f>
        <v>453.11</v>
      </c>
      <c r="AU303">
        <f>$H$303*$AA$303</f>
        <v>453.11</v>
      </c>
      <c r="AV303">
        <f>$H$303*$AB$303</f>
        <v>453.11</v>
      </c>
      <c r="AW303">
        <f>$H$303*$AC$303</f>
        <v>453.11</v>
      </c>
      <c r="AX303">
        <f>$H$303*$AD$303</f>
        <v>453.11</v>
      </c>
      <c r="AY303">
        <f>$H$303*$AE$303</f>
        <v>453.11</v>
      </c>
      <c r="AZ303">
        <f>$H$303*$AF$303</f>
        <v>453.11</v>
      </c>
    </row>
    <row r="304" spans="1:52" x14ac:dyDescent="0.25">
      <c r="A304">
        <v>347</v>
      </c>
      <c r="B304" t="s">
        <v>268</v>
      </c>
      <c r="C304" t="s">
        <v>318</v>
      </c>
      <c r="D304">
        <v>225.45</v>
      </c>
      <c r="E304">
        <v>931.11</v>
      </c>
      <c r="F304" t="s">
        <v>308</v>
      </c>
      <c r="G304">
        <v>4.13</v>
      </c>
      <c r="H304">
        <v>1117.33</v>
      </c>
      <c r="I304" t="s">
        <v>319</v>
      </c>
      <c r="J304" t="s">
        <v>320</v>
      </c>
      <c r="K304" t="s">
        <v>505</v>
      </c>
      <c r="L304" t="s">
        <v>203</v>
      </c>
      <c r="M304" t="s">
        <v>268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268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279.33249999999998</v>
      </c>
      <c r="AN304">
        <f>$H$304*$T$304</f>
        <v>279.33249999999998</v>
      </c>
      <c r="AO304">
        <f>$H$304*$U$304</f>
        <v>279.33249999999998</v>
      </c>
      <c r="AP304">
        <f>$H$304*$V$304</f>
        <v>279.33249999999998</v>
      </c>
      <c r="AQ304">
        <f>$H$304*$W$304</f>
        <v>558.66499999999996</v>
      </c>
      <c r="AR304">
        <f>$H$304*$X$304</f>
        <v>558.66499999999996</v>
      </c>
      <c r="AS304">
        <f>$H$304*$Y$304</f>
        <v>558.66499999999996</v>
      </c>
      <c r="AT304">
        <f>$H$304*$Z$304</f>
        <v>558.66499999999996</v>
      </c>
      <c r="AU304">
        <f>$H$304*$AA$304</f>
        <v>1117.33</v>
      </c>
      <c r="AV304">
        <f>$H$304*$AB$304</f>
        <v>1117.33</v>
      </c>
      <c r="AW304">
        <f>$H$304*$AC$304</f>
        <v>1117.33</v>
      </c>
      <c r="AX304">
        <f>$H$304*$AD$304</f>
        <v>1117.33</v>
      </c>
      <c r="AY304">
        <f>$H$304*$AE$304</f>
        <v>1117.33</v>
      </c>
      <c r="AZ304">
        <f>$H$304*$AF$304</f>
        <v>1117.33</v>
      </c>
    </row>
    <row r="305" spans="1:52" x14ac:dyDescent="0.25">
      <c r="A305">
        <v>348</v>
      </c>
      <c r="B305" t="s">
        <v>268</v>
      </c>
      <c r="C305" t="s">
        <v>424</v>
      </c>
      <c r="D305">
        <v>225.45</v>
      </c>
      <c r="E305">
        <v>241.23</v>
      </c>
      <c r="F305" t="s">
        <v>308</v>
      </c>
      <c r="G305">
        <v>1.07</v>
      </c>
      <c r="H305">
        <v>289.47000000000003</v>
      </c>
      <c r="I305" t="s">
        <v>289</v>
      </c>
      <c r="J305" t="s">
        <v>425</v>
      </c>
      <c r="K305" t="s">
        <v>555</v>
      </c>
      <c r="L305" t="s">
        <v>203</v>
      </c>
      <c r="M305" t="s">
        <v>268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1</v>
      </c>
      <c r="AF305">
        <v>1</v>
      </c>
      <c r="AG305" t="s">
        <v>268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0</v>
      </c>
      <c r="AV305">
        <f>$H$305*$AB$305</f>
        <v>0</v>
      </c>
      <c r="AW305">
        <f>$H$305*$AC$305</f>
        <v>0</v>
      </c>
      <c r="AX305">
        <f>$H$305*$AD$305</f>
        <v>289.47000000000003</v>
      </c>
      <c r="AY305">
        <f>$H$305*$AE$305</f>
        <v>289.47000000000003</v>
      </c>
      <c r="AZ305">
        <f>$H$305*$AF$305</f>
        <v>289.47000000000003</v>
      </c>
    </row>
    <row r="306" spans="1:52" x14ac:dyDescent="0.25">
      <c r="A306">
        <v>349</v>
      </c>
      <c r="B306" t="s">
        <v>268</v>
      </c>
      <c r="C306" t="s">
        <v>430</v>
      </c>
      <c r="D306">
        <v>225.45</v>
      </c>
      <c r="E306">
        <v>254.76</v>
      </c>
      <c r="F306" t="s">
        <v>308</v>
      </c>
      <c r="G306">
        <v>1.1299999999999999</v>
      </c>
      <c r="H306">
        <v>305.72000000000003</v>
      </c>
      <c r="I306" t="s">
        <v>289</v>
      </c>
      <c r="J306" t="s">
        <v>431</v>
      </c>
      <c r="K306" t="s">
        <v>558</v>
      </c>
      <c r="L306" t="s">
        <v>203</v>
      </c>
      <c r="M306" t="s">
        <v>268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268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305.72000000000003</v>
      </c>
      <c r="AN306">
        <f>$H$306*$T$306</f>
        <v>305.72000000000003</v>
      </c>
      <c r="AO306">
        <f>$H$306*$U$306</f>
        <v>305.72000000000003</v>
      </c>
      <c r="AP306">
        <f>$H$306*$V$306</f>
        <v>305.72000000000003</v>
      </c>
      <c r="AQ306">
        <f>$H$306*$W$306</f>
        <v>305.72000000000003</v>
      </c>
      <c r="AR306">
        <f>$H$306*$X$306</f>
        <v>305.72000000000003</v>
      </c>
      <c r="AS306">
        <f>$H$306*$Y$306</f>
        <v>305.72000000000003</v>
      </c>
      <c r="AT306">
        <f>$H$306*$Z$306</f>
        <v>305.72000000000003</v>
      </c>
      <c r="AU306">
        <f>$H$306*$AA$306</f>
        <v>305.72000000000003</v>
      </c>
      <c r="AV306">
        <f>$H$306*$AB$306</f>
        <v>305.72000000000003</v>
      </c>
      <c r="AW306">
        <f>$H$306*$AC$306</f>
        <v>305.72000000000003</v>
      </c>
      <c r="AX306">
        <f>$H$306*$AD$306</f>
        <v>305.72000000000003</v>
      </c>
      <c r="AY306">
        <f>$H$306*$AE$306</f>
        <v>305.72000000000003</v>
      </c>
      <c r="AZ306">
        <f>$H$306*$AF$306</f>
        <v>305.72000000000003</v>
      </c>
    </row>
    <row r="307" spans="1:52" x14ac:dyDescent="0.25">
      <c r="A307">
        <v>350</v>
      </c>
      <c r="B307" t="s">
        <v>268</v>
      </c>
      <c r="C307" t="s">
        <v>432</v>
      </c>
      <c r="D307">
        <v>58.36</v>
      </c>
      <c r="E307">
        <v>957.1</v>
      </c>
      <c r="F307" t="s">
        <v>308</v>
      </c>
      <c r="G307">
        <v>16.399999999999999</v>
      </c>
      <c r="H307">
        <v>1148.52</v>
      </c>
      <c r="I307" t="s">
        <v>433</v>
      </c>
      <c r="J307" t="s">
        <v>326</v>
      </c>
      <c r="K307" t="s">
        <v>559</v>
      </c>
      <c r="L307" t="s">
        <v>203</v>
      </c>
      <c r="M307" t="s">
        <v>268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268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1148.52</v>
      </c>
      <c r="AQ307">
        <f>$H$307*$W$307</f>
        <v>1148.52</v>
      </c>
      <c r="AR307">
        <f>$H$307*$X$307</f>
        <v>1148.52</v>
      </c>
      <c r="AS307">
        <f>$H$307*$Y$307</f>
        <v>1148.52</v>
      </c>
      <c r="AT307">
        <f>$H$307*$Z$307</f>
        <v>1148.52</v>
      </c>
      <c r="AU307">
        <f>$H$307*$AA$307</f>
        <v>1148.52</v>
      </c>
      <c r="AV307">
        <f>$H$307*$AB$307</f>
        <v>1148.52</v>
      </c>
      <c r="AW307">
        <f>$H$307*$AC$307</f>
        <v>1148.52</v>
      </c>
      <c r="AX307">
        <f>$H$307*$AD$307</f>
        <v>1148.52</v>
      </c>
      <c r="AY307">
        <f>$H$307*$AE$307</f>
        <v>1148.52</v>
      </c>
      <c r="AZ307">
        <f>$H$307*$AF$307</f>
        <v>1148.52</v>
      </c>
    </row>
    <row r="308" spans="1:52" x14ac:dyDescent="0.25">
      <c r="A308">
        <v>351</v>
      </c>
      <c r="B308" t="s">
        <v>268</v>
      </c>
      <c r="C308" t="s">
        <v>434</v>
      </c>
      <c r="D308">
        <v>116.73</v>
      </c>
      <c r="E308">
        <v>498.44</v>
      </c>
      <c r="F308" t="s">
        <v>308</v>
      </c>
      <c r="G308">
        <v>4.2699999999999996</v>
      </c>
      <c r="H308">
        <v>598.12</v>
      </c>
      <c r="I308" t="s">
        <v>435</v>
      </c>
      <c r="J308" t="s">
        <v>436</v>
      </c>
      <c r="K308" t="s">
        <v>560</v>
      </c>
      <c r="L308" t="s">
        <v>203</v>
      </c>
      <c r="M308" t="s">
        <v>268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268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598.12</v>
      </c>
      <c r="AN308">
        <f>$H$308*$T$308</f>
        <v>598.12</v>
      </c>
      <c r="AO308">
        <f>$H$308*$U$308</f>
        <v>598.12</v>
      </c>
      <c r="AP308">
        <f>$H$308*$V$308</f>
        <v>598.12</v>
      </c>
      <c r="AQ308">
        <f>$H$308*$W$308</f>
        <v>598.12</v>
      </c>
      <c r="AR308">
        <f>$H$308*$X$308</f>
        <v>598.12</v>
      </c>
      <c r="AS308">
        <f>$H$308*$Y$308</f>
        <v>598.12</v>
      </c>
      <c r="AT308">
        <f>$H$308*$Z$308</f>
        <v>598.12</v>
      </c>
      <c r="AU308">
        <f>$H$308*$AA$308</f>
        <v>598.12</v>
      </c>
      <c r="AV308">
        <f>$H$308*$AB$308</f>
        <v>598.12</v>
      </c>
      <c r="AW308">
        <f>$H$308*$AC$308</f>
        <v>598.12</v>
      </c>
      <c r="AX308">
        <f>$H$308*$AD$308</f>
        <v>598.12</v>
      </c>
      <c r="AY308">
        <f>$H$308*$AE$308</f>
        <v>598.12</v>
      </c>
      <c r="AZ308">
        <f>$H$308*$AF$308</f>
        <v>598.12</v>
      </c>
    </row>
    <row r="309" spans="1:52" x14ac:dyDescent="0.25">
      <c r="A309">
        <v>352</v>
      </c>
      <c r="B309" t="s">
        <v>268</v>
      </c>
      <c r="C309" t="s">
        <v>437</v>
      </c>
      <c r="D309">
        <v>116.73</v>
      </c>
      <c r="E309">
        <v>1254.8499999999999</v>
      </c>
      <c r="F309" t="s">
        <v>308</v>
      </c>
      <c r="G309">
        <v>10.75</v>
      </c>
      <c r="H309">
        <v>1505.83</v>
      </c>
      <c r="I309" t="s">
        <v>435</v>
      </c>
      <c r="J309" t="s">
        <v>326</v>
      </c>
      <c r="K309" t="s">
        <v>561</v>
      </c>
      <c r="L309" t="s">
        <v>203</v>
      </c>
      <c r="M309" t="s">
        <v>268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268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1505.83</v>
      </c>
      <c r="AN309">
        <f>$H$309*$T$309</f>
        <v>1505.83</v>
      </c>
      <c r="AO309">
        <f>$H$309*$U$309</f>
        <v>1505.83</v>
      </c>
      <c r="AP309">
        <f>$H$309*$V$309</f>
        <v>1505.83</v>
      </c>
      <c r="AQ309">
        <f>$H$309*$W$309</f>
        <v>1505.83</v>
      </c>
      <c r="AR309">
        <f>$H$309*$X$309</f>
        <v>1505.83</v>
      </c>
      <c r="AS309">
        <f>$H$309*$Y$309</f>
        <v>1505.83</v>
      </c>
      <c r="AT309">
        <f>$H$309*$Z$309</f>
        <v>1505.83</v>
      </c>
      <c r="AU309">
        <f>$H$309*$AA$309</f>
        <v>1505.83</v>
      </c>
      <c r="AV309">
        <f>$H$309*$AB$309</f>
        <v>1505.83</v>
      </c>
      <c r="AW309">
        <f>$H$309*$AC$309</f>
        <v>1505.83</v>
      </c>
      <c r="AX309">
        <f>$H$309*$AD$309</f>
        <v>1505.83</v>
      </c>
      <c r="AY309">
        <f>$H$309*$AE$309</f>
        <v>1505.83</v>
      </c>
      <c r="AZ309">
        <f>$H$309*$AF$309</f>
        <v>1505.83</v>
      </c>
    </row>
    <row r="310" spans="1:52" x14ac:dyDescent="0.25">
      <c r="A310">
        <v>353</v>
      </c>
      <c r="B310" t="s">
        <v>268</v>
      </c>
      <c r="C310" t="s">
        <v>438</v>
      </c>
      <c r="D310">
        <v>64.819999999999993</v>
      </c>
      <c r="E310">
        <v>56.39</v>
      </c>
      <c r="F310" t="s">
        <v>308</v>
      </c>
      <c r="G310">
        <v>0.87</v>
      </c>
      <c r="H310">
        <v>67.67</v>
      </c>
      <c r="I310" t="s">
        <v>331</v>
      </c>
      <c r="J310" t="s">
        <v>439</v>
      </c>
      <c r="K310" t="s">
        <v>562</v>
      </c>
      <c r="L310" t="s">
        <v>203</v>
      </c>
      <c r="M310" t="s">
        <v>268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268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67.67</v>
      </c>
      <c r="AN310">
        <f>$H$310*$T$310</f>
        <v>67.67</v>
      </c>
      <c r="AO310">
        <f>$H$310*$U$310</f>
        <v>67.67</v>
      </c>
      <c r="AP310">
        <f>$H$310*$V$310</f>
        <v>67.67</v>
      </c>
      <c r="AQ310">
        <f>$H$310*$W$310</f>
        <v>67.67</v>
      </c>
      <c r="AR310">
        <f>$H$310*$X$310</f>
        <v>67.67</v>
      </c>
      <c r="AS310">
        <f>$H$310*$Y$310</f>
        <v>67.67</v>
      </c>
      <c r="AT310">
        <f>$H$310*$Z$310</f>
        <v>67.67</v>
      </c>
      <c r="AU310">
        <f>$H$310*$AA$310</f>
        <v>67.67</v>
      </c>
      <c r="AV310">
        <f>$H$310*$AB$310</f>
        <v>67.67</v>
      </c>
      <c r="AW310">
        <f>$H$310*$AC$310</f>
        <v>67.67</v>
      </c>
      <c r="AX310">
        <f>$H$310*$AD$310</f>
        <v>67.67</v>
      </c>
      <c r="AY310">
        <f>$H$310*$AE$310</f>
        <v>67.67</v>
      </c>
      <c r="AZ310">
        <f>$H$310*$AF$310</f>
        <v>67.67</v>
      </c>
    </row>
    <row r="311" spans="1:52" x14ac:dyDescent="0.25">
      <c r="A311">
        <v>354</v>
      </c>
      <c r="B311" t="s">
        <v>268</v>
      </c>
      <c r="C311" t="s">
        <v>440</v>
      </c>
      <c r="D311">
        <v>64.819999999999993</v>
      </c>
      <c r="E311">
        <v>458.28</v>
      </c>
      <c r="F311" t="s">
        <v>308</v>
      </c>
      <c r="G311">
        <v>7.07</v>
      </c>
      <c r="H311">
        <v>549.94000000000005</v>
      </c>
      <c r="I311" t="s">
        <v>331</v>
      </c>
      <c r="J311" t="s">
        <v>326</v>
      </c>
      <c r="K311" t="s">
        <v>563</v>
      </c>
      <c r="L311" t="s">
        <v>203</v>
      </c>
      <c r="M311" t="s">
        <v>268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268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549.94000000000005</v>
      </c>
      <c r="AN311">
        <f>$H$311*$T$311</f>
        <v>549.94000000000005</v>
      </c>
      <c r="AO311">
        <f>$H$311*$U$311</f>
        <v>549.94000000000005</v>
      </c>
      <c r="AP311">
        <f>$H$311*$V$311</f>
        <v>549.94000000000005</v>
      </c>
      <c r="AQ311">
        <f>$H$311*$W$311</f>
        <v>549.94000000000005</v>
      </c>
      <c r="AR311">
        <f>$H$311*$X$311</f>
        <v>549.94000000000005</v>
      </c>
      <c r="AS311">
        <f>$H$311*$Y$311</f>
        <v>549.94000000000005</v>
      </c>
      <c r="AT311">
        <f>$H$311*$Z$311</f>
        <v>549.94000000000005</v>
      </c>
      <c r="AU311">
        <f>$H$311*$AA$311</f>
        <v>549.94000000000005</v>
      </c>
      <c r="AV311">
        <f>$H$311*$AB$311</f>
        <v>549.94000000000005</v>
      </c>
      <c r="AW311">
        <f>$H$311*$AC$311</f>
        <v>549.94000000000005</v>
      </c>
      <c r="AX311">
        <f>$H$311*$AD$311</f>
        <v>549.94000000000005</v>
      </c>
      <c r="AY311">
        <f>$H$311*$AE$311</f>
        <v>549.94000000000005</v>
      </c>
      <c r="AZ311">
        <f>$H$311*$AF$311</f>
        <v>549.94000000000005</v>
      </c>
    </row>
    <row r="312" spans="1:52" x14ac:dyDescent="0.25">
      <c r="A312">
        <v>357</v>
      </c>
      <c r="B312" t="s">
        <v>485</v>
      </c>
      <c r="C312" t="s">
        <v>486</v>
      </c>
      <c r="D312">
        <v>1</v>
      </c>
      <c r="E312">
        <v>388.07</v>
      </c>
      <c r="F312" t="s">
        <v>294</v>
      </c>
      <c r="G312">
        <v>388.07</v>
      </c>
      <c r="H312">
        <v>465.69</v>
      </c>
      <c r="I312" t="s">
        <v>325</v>
      </c>
      <c r="J312" t="s">
        <v>487</v>
      </c>
      <c r="K312" t="s">
        <v>587</v>
      </c>
      <c r="L312" t="s">
        <v>203</v>
      </c>
      <c r="M312" t="s">
        <v>512</v>
      </c>
      <c r="N312" t="s">
        <v>12</v>
      </c>
      <c r="O312" t="s">
        <v>68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512</v>
      </c>
      <c r="AH312" t="s">
        <v>12</v>
      </c>
      <c r="AI312" t="s">
        <v>68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465.69</v>
      </c>
      <c r="AO312">
        <f>$H$312*$U$312</f>
        <v>465.69</v>
      </c>
      <c r="AP312">
        <f>$H$312*$V$312</f>
        <v>465.69</v>
      </c>
      <c r="AQ312">
        <f>$H$312*$W$312</f>
        <v>465.69</v>
      </c>
      <c r="AR312">
        <f>$H$312*$X$312</f>
        <v>465.69</v>
      </c>
      <c r="AS312">
        <f>$H$312*$Y$312</f>
        <v>465.69</v>
      </c>
      <c r="AT312">
        <f>$H$312*$Z$312</f>
        <v>465.69</v>
      </c>
      <c r="AU312">
        <f>$H$312*$AA$312</f>
        <v>465.69</v>
      </c>
      <c r="AV312">
        <f>$H$312*$AB$312</f>
        <v>465.69</v>
      </c>
      <c r="AW312">
        <f>$H$312*$AC$312</f>
        <v>465.69</v>
      </c>
      <c r="AX312">
        <f>$H$312*$AD$312</f>
        <v>465.69</v>
      </c>
      <c r="AY312">
        <f>$H$312*$AE$312</f>
        <v>465.69</v>
      </c>
      <c r="AZ312">
        <f>$H$312*$AF$312</f>
        <v>465.69</v>
      </c>
    </row>
    <row r="313" spans="1:52" x14ac:dyDescent="0.25">
      <c r="A313">
        <v>364</v>
      </c>
      <c r="B313" t="s">
        <v>485</v>
      </c>
      <c r="C313" t="s">
        <v>386</v>
      </c>
      <c r="D313">
        <v>1</v>
      </c>
      <c r="E313">
        <v>16.14</v>
      </c>
      <c r="F313" t="s">
        <v>294</v>
      </c>
      <c r="G313">
        <v>16.14</v>
      </c>
      <c r="H313">
        <v>19.36</v>
      </c>
      <c r="I313" t="s">
        <v>296</v>
      </c>
      <c r="J313" t="s">
        <v>387</v>
      </c>
      <c r="K313" t="s">
        <v>537</v>
      </c>
      <c r="L313" t="s">
        <v>203</v>
      </c>
      <c r="M313" t="s">
        <v>512</v>
      </c>
      <c r="N313" t="s">
        <v>12</v>
      </c>
      <c r="O313" t="s">
        <v>68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512</v>
      </c>
      <c r="AH313" t="s">
        <v>12</v>
      </c>
      <c r="AI313" t="s">
        <v>68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19.36</v>
      </c>
      <c r="AS313">
        <f>$H$313*$Y$313</f>
        <v>19.36</v>
      </c>
      <c r="AT313">
        <f>$H$313*$Z$313</f>
        <v>19.36</v>
      </c>
      <c r="AU313">
        <f>$H$313*$AA$313</f>
        <v>19.36</v>
      </c>
      <c r="AV313">
        <f>$H$313*$AB$313</f>
        <v>19.36</v>
      </c>
      <c r="AW313">
        <f>$H$313*$AC$313</f>
        <v>19.36</v>
      </c>
      <c r="AX313">
        <f>$H$313*$AD$313</f>
        <v>19.36</v>
      </c>
      <c r="AY313">
        <f>$H$313*$AE$313</f>
        <v>19.36</v>
      </c>
      <c r="AZ313">
        <f>$H$313*$AF$313</f>
        <v>19.36</v>
      </c>
    </row>
    <row r="314" spans="1:52" x14ac:dyDescent="0.25">
      <c r="A314">
        <v>365</v>
      </c>
      <c r="B314" t="s">
        <v>485</v>
      </c>
      <c r="C314" t="s">
        <v>408</v>
      </c>
      <c r="D314">
        <v>1</v>
      </c>
      <c r="E314">
        <v>37.340000000000003</v>
      </c>
      <c r="F314" t="s">
        <v>294</v>
      </c>
      <c r="G314">
        <v>37.340000000000003</v>
      </c>
      <c r="H314">
        <v>44.8</v>
      </c>
      <c r="I314" t="s">
        <v>296</v>
      </c>
      <c r="J314" t="s">
        <v>409</v>
      </c>
      <c r="K314" t="s">
        <v>548</v>
      </c>
      <c r="L314" t="s">
        <v>203</v>
      </c>
      <c r="M314" t="s">
        <v>512</v>
      </c>
      <c r="N314" t="s">
        <v>12</v>
      </c>
      <c r="O314" t="s">
        <v>68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0.6</v>
      </c>
      <c r="Y314">
        <v>0.6</v>
      </c>
      <c r="Z314">
        <v>0.6</v>
      </c>
      <c r="AA314">
        <v>0.6</v>
      </c>
      <c r="AB314">
        <v>0.6</v>
      </c>
      <c r="AC314">
        <v>0.6</v>
      </c>
      <c r="AD314">
        <v>1</v>
      </c>
      <c r="AE314">
        <v>1</v>
      </c>
      <c r="AF314">
        <v>1</v>
      </c>
      <c r="AG314" t="s">
        <v>512</v>
      </c>
      <c r="AH314" t="s">
        <v>12</v>
      </c>
      <c r="AI314" t="s">
        <v>68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26.88</v>
      </c>
      <c r="AS314">
        <f>$H$314*$Y$314</f>
        <v>26.88</v>
      </c>
      <c r="AT314">
        <f>$H$314*$Z$314</f>
        <v>26.88</v>
      </c>
      <c r="AU314">
        <f>$H$314*$AA$314</f>
        <v>26.88</v>
      </c>
      <c r="AV314">
        <f>$H$314*$AB$314</f>
        <v>26.88</v>
      </c>
      <c r="AW314">
        <f>$H$314*$AC$314</f>
        <v>26.88</v>
      </c>
      <c r="AX314">
        <f>$H$314*$AD$314</f>
        <v>44.8</v>
      </c>
      <c r="AY314">
        <f>$H$314*$AE$314</f>
        <v>44.8</v>
      </c>
      <c r="AZ314">
        <f>$H$314*$AF$314</f>
        <v>44.8</v>
      </c>
    </row>
    <row r="315" spans="1:52" x14ac:dyDescent="0.25">
      <c r="A315">
        <v>366</v>
      </c>
      <c r="B315" t="s">
        <v>485</v>
      </c>
      <c r="C315" t="s">
        <v>488</v>
      </c>
      <c r="D315">
        <v>1</v>
      </c>
      <c r="E315">
        <v>76.33</v>
      </c>
      <c r="F315" t="s">
        <v>294</v>
      </c>
      <c r="G315">
        <v>76.33</v>
      </c>
      <c r="H315">
        <v>91.59</v>
      </c>
      <c r="I315" t="s">
        <v>299</v>
      </c>
      <c r="J315" t="s">
        <v>489</v>
      </c>
      <c r="K315" t="s">
        <v>588</v>
      </c>
      <c r="L315" t="s">
        <v>203</v>
      </c>
      <c r="M315" t="s">
        <v>512</v>
      </c>
      <c r="N315" t="s">
        <v>12</v>
      </c>
      <c r="O315" t="s">
        <v>68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512</v>
      </c>
      <c r="AH315" t="s">
        <v>12</v>
      </c>
      <c r="AI315" t="s">
        <v>68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91.59</v>
      </c>
      <c r="AY315">
        <f>$H$315*$AE$315</f>
        <v>91.59</v>
      </c>
      <c r="AZ315">
        <f>$H$315*$AF$315</f>
        <v>91.59</v>
      </c>
    </row>
    <row r="316" spans="1:52" x14ac:dyDescent="0.25">
      <c r="A316">
        <v>375</v>
      </c>
      <c r="B316" t="s">
        <v>6</v>
      </c>
      <c r="C316" t="s">
        <v>444</v>
      </c>
      <c r="D316">
        <v>1</v>
      </c>
      <c r="E316">
        <v>67.459999999999994</v>
      </c>
      <c r="F316" t="s">
        <v>294</v>
      </c>
      <c r="G316">
        <v>67.459999999999994</v>
      </c>
      <c r="H316">
        <v>80.959999999999994</v>
      </c>
      <c r="I316" t="s">
        <v>296</v>
      </c>
      <c r="J316" t="s">
        <v>445</v>
      </c>
      <c r="K316" t="s">
        <v>566</v>
      </c>
      <c r="L316" t="s">
        <v>203</v>
      </c>
      <c r="M316" t="s">
        <v>6</v>
      </c>
      <c r="N316" t="s">
        <v>51</v>
      </c>
      <c r="O316" t="s">
        <v>6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6</v>
      </c>
      <c r="AH316" t="s">
        <v>51</v>
      </c>
      <c r="AI316" t="s">
        <v>6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80.959999999999994</v>
      </c>
      <c r="AY316">
        <f>$H$316*$AE$316</f>
        <v>80.959999999999994</v>
      </c>
      <c r="AZ316">
        <f>$H$316*$AF$316</f>
        <v>80.959999999999994</v>
      </c>
    </row>
    <row r="317" spans="1:52" x14ac:dyDescent="0.25">
      <c r="A317">
        <v>376</v>
      </c>
      <c r="B317" t="s">
        <v>6</v>
      </c>
      <c r="C317" t="s">
        <v>386</v>
      </c>
      <c r="D317">
        <v>2</v>
      </c>
      <c r="E317">
        <v>32.28</v>
      </c>
      <c r="F317" t="s">
        <v>294</v>
      </c>
      <c r="G317">
        <v>16.14</v>
      </c>
      <c r="H317">
        <v>38.74</v>
      </c>
      <c r="I317" t="s">
        <v>296</v>
      </c>
      <c r="J317" t="s">
        <v>387</v>
      </c>
      <c r="K317" t="s">
        <v>537</v>
      </c>
      <c r="L317" t="s">
        <v>203</v>
      </c>
      <c r="M317" t="s">
        <v>6</v>
      </c>
      <c r="N317" t="s">
        <v>51</v>
      </c>
      <c r="O317" t="s">
        <v>6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6</v>
      </c>
      <c r="AH317" t="s">
        <v>51</v>
      </c>
      <c r="AI317" t="s">
        <v>6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38.74</v>
      </c>
      <c r="AS317">
        <f>$H$317*$Y$317</f>
        <v>38.74</v>
      </c>
      <c r="AT317">
        <f>$H$317*$Z$317</f>
        <v>38.74</v>
      </c>
      <c r="AU317">
        <f>$H$317*$AA$317</f>
        <v>38.74</v>
      </c>
      <c r="AV317">
        <f>$H$317*$AB$317</f>
        <v>38.74</v>
      </c>
      <c r="AW317">
        <f>$H$317*$AC$317</f>
        <v>38.74</v>
      </c>
      <c r="AX317">
        <f>$H$317*$AD$317</f>
        <v>38.74</v>
      </c>
      <c r="AY317">
        <f>$H$317*$AE$317</f>
        <v>38.74</v>
      </c>
      <c r="AZ317">
        <f>$H$317*$AF$317</f>
        <v>38.74</v>
      </c>
    </row>
    <row r="318" spans="1:52" x14ac:dyDescent="0.25">
      <c r="A318">
        <v>377</v>
      </c>
      <c r="B318" t="s">
        <v>6</v>
      </c>
      <c r="C318" t="s">
        <v>446</v>
      </c>
      <c r="D318">
        <v>1</v>
      </c>
      <c r="E318">
        <v>71.34</v>
      </c>
      <c r="F318" t="s">
        <v>294</v>
      </c>
      <c r="G318">
        <v>71.34</v>
      </c>
      <c r="H318">
        <v>85.6</v>
      </c>
      <c r="I318" t="s">
        <v>299</v>
      </c>
      <c r="J318" t="s">
        <v>356</v>
      </c>
      <c r="K318" t="s">
        <v>567</v>
      </c>
      <c r="L318" t="s">
        <v>203</v>
      </c>
      <c r="M318" t="s">
        <v>6</v>
      </c>
      <c r="N318" t="s">
        <v>51</v>
      </c>
      <c r="O318" t="s">
        <v>6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1</v>
      </c>
      <c r="AF318">
        <v>1</v>
      </c>
      <c r="AG318" t="s">
        <v>6</v>
      </c>
      <c r="AH318" t="s">
        <v>51</v>
      </c>
      <c r="AI318" t="s">
        <v>6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0</v>
      </c>
      <c r="AX318">
        <f>$H$318*$AD$318</f>
        <v>85.6</v>
      </c>
      <c r="AY318">
        <f>$H$318*$AE$318</f>
        <v>85.6</v>
      </c>
      <c r="AZ318">
        <f>$H$318*$AF$318</f>
        <v>85.6</v>
      </c>
    </row>
    <row r="319" spans="1:52" x14ac:dyDescent="0.25">
      <c r="A319">
        <v>378</v>
      </c>
      <c r="B319" t="s">
        <v>6</v>
      </c>
      <c r="C319" t="s">
        <v>419</v>
      </c>
      <c r="D319">
        <v>5.83</v>
      </c>
      <c r="E319">
        <v>22.39</v>
      </c>
      <c r="F319" t="s">
        <v>288</v>
      </c>
      <c r="G319">
        <v>3.84</v>
      </c>
      <c r="H319">
        <v>26.87</v>
      </c>
      <c r="I319" t="s">
        <v>420</v>
      </c>
      <c r="J319" t="s">
        <v>421</v>
      </c>
      <c r="K319" t="s">
        <v>553</v>
      </c>
      <c r="L319" t="s">
        <v>203</v>
      </c>
      <c r="M319" t="s">
        <v>6</v>
      </c>
      <c r="N319" t="s">
        <v>51</v>
      </c>
      <c r="O319" t="s">
        <v>6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6</v>
      </c>
      <c r="AH319" t="s">
        <v>51</v>
      </c>
      <c r="AI319" t="s">
        <v>6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26.87</v>
      </c>
      <c r="AV319">
        <f>$H$319*$AB$319</f>
        <v>26.87</v>
      </c>
      <c r="AW319">
        <f>$H$319*$AC$319</f>
        <v>26.87</v>
      </c>
      <c r="AX319">
        <f>$H$319*$AD$319</f>
        <v>26.87</v>
      </c>
      <c r="AY319">
        <f>$H$319*$AE$319</f>
        <v>26.87</v>
      </c>
      <c r="AZ319">
        <f>$H$319*$AF$319</f>
        <v>26.87</v>
      </c>
    </row>
    <row r="320" spans="1:52" x14ac:dyDescent="0.25">
      <c r="A320">
        <v>379</v>
      </c>
      <c r="B320" t="s">
        <v>6</v>
      </c>
      <c r="C320" t="s">
        <v>422</v>
      </c>
      <c r="D320">
        <v>46.67</v>
      </c>
      <c r="E320">
        <v>154.47999999999999</v>
      </c>
      <c r="F320" t="s">
        <v>308</v>
      </c>
      <c r="G320">
        <v>3.31</v>
      </c>
      <c r="H320">
        <v>185.38</v>
      </c>
      <c r="I320" t="s">
        <v>420</v>
      </c>
      <c r="J320" t="s">
        <v>423</v>
      </c>
      <c r="K320" t="s">
        <v>554</v>
      </c>
      <c r="L320" t="s">
        <v>203</v>
      </c>
      <c r="M320" t="s">
        <v>6</v>
      </c>
      <c r="N320" t="s">
        <v>51</v>
      </c>
      <c r="O320" t="s">
        <v>6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6</v>
      </c>
      <c r="AH320" t="s">
        <v>51</v>
      </c>
      <c r="AI320" t="s">
        <v>6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185.38</v>
      </c>
      <c r="AN320">
        <f>$H$320*$T$320</f>
        <v>185.38</v>
      </c>
      <c r="AO320">
        <f>$H$320*$U$320</f>
        <v>185.38</v>
      </c>
      <c r="AP320">
        <f>$H$320*$V$320</f>
        <v>185.38</v>
      </c>
      <c r="AQ320">
        <f>$H$320*$W$320</f>
        <v>185.38</v>
      </c>
      <c r="AR320">
        <f>$H$320*$X$320</f>
        <v>185.38</v>
      </c>
      <c r="AS320">
        <f>$H$320*$Y$320</f>
        <v>185.38</v>
      </c>
      <c r="AT320">
        <f>$H$320*$Z$320</f>
        <v>185.38</v>
      </c>
      <c r="AU320">
        <f>$H$320*$AA$320</f>
        <v>185.38</v>
      </c>
      <c r="AV320">
        <f>$H$320*$AB$320</f>
        <v>185.38</v>
      </c>
      <c r="AW320">
        <f>$H$320*$AC$320</f>
        <v>185.38</v>
      </c>
      <c r="AX320">
        <f>$H$320*$AD$320</f>
        <v>185.38</v>
      </c>
      <c r="AY320">
        <f>$H$320*$AE$320</f>
        <v>185.38</v>
      </c>
      <c r="AZ320">
        <f>$H$320*$AF$320</f>
        <v>185.38</v>
      </c>
    </row>
    <row r="321" spans="1:52" x14ac:dyDescent="0.25">
      <c r="A321">
        <v>380</v>
      </c>
      <c r="B321" t="s">
        <v>6</v>
      </c>
      <c r="C321" t="s">
        <v>424</v>
      </c>
      <c r="D321">
        <v>46.67</v>
      </c>
      <c r="E321">
        <v>49.94</v>
      </c>
      <c r="F321" t="s">
        <v>308</v>
      </c>
      <c r="G321">
        <v>1.07</v>
      </c>
      <c r="H321">
        <v>59.92</v>
      </c>
      <c r="I321" t="s">
        <v>289</v>
      </c>
      <c r="J321" t="s">
        <v>425</v>
      </c>
      <c r="K321" t="s">
        <v>555</v>
      </c>
      <c r="L321" t="s">
        <v>203</v>
      </c>
      <c r="M321" t="s">
        <v>6</v>
      </c>
      <c r="N321" t="s">
        <v>51</v>
      </c>
      <c r="O321" t="s">
        <v>6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6</v>
      </c>
      <c r="AH321" t="s">
        <v>51</v>
      </c>
      <c r="AI321" t="s">
        <v>6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59.92</v>
      </c>
      <c r="AY321">
        <f>$H$321*$AE$321</f>
        <v>59.92</v>
      </c>
      <c r="AZ321">
        <f>$H$321*$AF$321</f>
        <v>59.92</v>
      </c>
    </row>
    <row r="322" spans="1:52" x14ac:dyDescent="0.25">
      <c r="A322">
        <v>381</v>
      </c>
      <c r="B322" t="s">
        <v>6</v>
      </c>
      <c r="C322" t="s">
        <v>316</v>
      </c>
      <c r="D322">
        <v>140</v>
      </c>
      <c r="E322">
        <v>226.8</v>
      </c>
      <c r="F322" t="s">
        <v>308</v>
      </c>
      <c r="G322">
        <v>1.62</v>
      </c>
      <c r="H322">
        <v>272.16000000000003</v>
      </c>
      <c r="I322" t="s">
        <v>289</v>
      </c>
      <c r="J322" t="s">
        <v>317</v>
      </c>
      <c r="K322" t="s">
        <v>504</v>
      </c>
      <c r="L322" t="s">
        <v>203</v>
      </c>
      <c r="M322" t="s">
        <v>6</v>
      </c>
      <c r="N322" t="s">
        <v>51</v>
      </c>
      <c r="O322" t="s">
        <v>6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6</v>
      </c>
      <c r="AH322" t="s">
        <v>51</v>
      </c>
      <c r="AI322" t="s">
        <v>6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272.16000000000003</v>
      </c>
      <c r="AO322">
        <f>$H$322*$U$322</f>
        <v>272.16000000000003</v>
      </c>
      <c r="AP322">
        <f>$H$322*$V$322</f>
        <v>272.16000000000003</v>
      </c>
      <c r="AQ322">
        <f>$H$322*$W$322</f>
        <v>272.16000000000003</v>
      </c>
      <c r="AR322">
        <f>$H$322*$X$322</f>
        <v>272.16000000000003</v>
      </c>
      <c r="AS322">
        <f>$H$322*$Y$322</f>
        <v>272.16000000000003</v>
      </c>
      <c r="AT322">
        <f>$H$322*$Z$322</f>
        <v>272.16000000000003</v>
      </c>
      <c r="AU322">
        <f>$H$322*$AA$322</f>
        <v>272.16000000000003</v>
      </c>
      <c r="AV322">
        <f>$H$322*$AB$322</f>
        <v>272.16000000000003</v>
      </c>
      <c r="AW322">
        <f>$H$322*$AC$322</f>
        <v>272.16000000000003</v>
      </c>
      <c r="AX322">
        <f>$H$322*$AD$322</f>
        <v>272.16000000000003</v>
      </c>
      <c r="AY322">
        <f>$H$322*$AE$322</f>
        <v>272.16000000000003</v>
      </c>
      <c r="AZ322">
        <f>$H$322*$AF$322</f>
        <v>272.16000000000003</v>
      </c>
    </row>
    <row r="323" spans="1:52" x14ac:dyDescent="0.25">
      <c r="A323">
        <v>382</v>
      </c>
      <c r="B323" t="s">
        <v>6</v>
      </c>
      <c r="C323" t="s">
        <v>318</v>
      </c>
      <c r="D323">
        <v>186.67</v>
      </c>
      <c r="E323">
        <v>770.95</v>
      </c>
      <c r="F323" t="s">
        <v>308</v>
      </c>
      <c r="G323">
        <v>4.13</v>
      </c>
      <c r="H323">
        <v>925.15</v>
      </c>
      <c r="I323" t="s">
        <v>319</v>
      </c>
      <c r="J323" t="s">
        <v>320</v>
      </c>
      <c r="K323" t="s">
        <v>505</v>
      </c>
      <c r="L323" t="s">
        <v>203</v>
      </c>
      <c r="M323" t="s">
        <v>6</v>
      </c>
      <c r="N323" t="s">
        <v>51</v>
      </c>
      <c r="O323" t="s">
        <v>6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6</v>
      </c>
      <c r="AH323" t="s">
        <v>51</v>
      </c>
      <c r="AI323" t="s">
        <v>6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231.28749999999999</v>
      </c>
      <c r="AN323">
        <f>$H$323*$T$323</f>
        <v>231.28749999999999</v>
      </c>
      <c r="AO323">
        <f>$H$323*$U$323</f>
        <v>231.28749999999999</v>
      </c>
      <c r="AP323">
        <f>$H$323*$V$323</f>
        <v>231.28749999999999</v>
      </c>
      <c r="AQ323">
        <f>$H$323*$W$323</f>
        <v>462.57499999999999</v>
      </c>
      <c r="AR323">
        <f>$H$323*$X$323</f>
        <v>462.57499999999999</v>
      </c>
      <c r="AS323">
        <f>$H$323*$Y$323</f>
        <v>462.57499999999999</v>
      </c>
      <c r="AT323">
        <f>$H$323*$Z$323</f>
        <v>462.57499999999999</v>
      </c>
      <c r="AU323">
        <f>$H$323*$AA$323</f>
        <v>925.15</v>
      </c>
      <c r="AV323">
        <f>$H$323*$AB$323</f>
        <v>925.15</v>
      </c>
      <c r="AW323">
        <f>$H$323*$AC$323</f>
        <v>925.15</v>
      </c>
      <c r="AX323">
        <f>$H$323*$AD$323</f>
        <v>925.15</v>
      </c>
      <c r="AY323">
        <f>$H$323*$AE$323</f>
        <v>925.15</v>
      </c>
      <c r="AZ323">
        <f>$H$323*$AF$323</f>
        <v>925.15</v>
      </c>
    </row>
    <row r="324" spans="1:52" x14ac:dyDescent="0.25">
      <c r="A324">
        <v>383</v>
      </c>
      <c r="B324" t="s">
        <v>6</v>
      </c>
      <c r="C324" t="s">
        <v>426</v>
      </c>
      <c r="D324">
        <v>23.33</v>
      </c>
      <c r="E324">
        <v>61.36</v>
      </c>
      <c r="F324" t="s">
        <v>288</v>
      </c>
      <c r="G324">
        <v>2.63</v>
      </c>
      <c r="H324">
        <v>73.64</v>
      </c>
      <c r="I324" t="s">
        <v>289</v>
      </c>
      <c r="J324" t="s">
        <v>427</v>
      </c>
      <c r="K324" t="s">
        <v>556</v>
      </c>
      <c r="L324" t="s">
        <v>203</v>
      </c>
      <c r="M324" t="s">
        <v>6</v>
      </c>
      <c r="N324" t="s">
        <v>51</v>
      </c>
      <c r="O324" t="s">
        <v>6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6</v>
      </c>
      <c r="AH324" t="s">
        <v>51</v>
      </c>
      <c r="AI324" t="s">
        <v>6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73.64</v>
      </c>
      <c r="AN324">
        <f>$H$324*$T$324</f>
        <v>73.64</v>
      </c>
      <c r="AO324">
        <f>$H$324*$U$324</f>
        <v>73.64</v>
      </c>
      <c r="AP324">
        <f>$H$324*$V$324</f>
        <v>73.64</v>
      </c>
      <c r="AQ324">
        <f>$H$324*$W$324</f>
        <v>73.64</v>
      </c>
      <c r="AR324">
        <f>$H$324*$X$324</f>
        <v>73.64</v>
      </c>
      <c r="AS324">
        <f>$H$324*$Y$324</f>
        <v>73.64</v>
      </c>
      <c r="AT324">
        <f>$H$324*$Z$324</f>
        <v>73.64</v>
      </c>
      <c r="AU324">
        <f>$H$324*$AA$324</f>
        <v>73.64</v>
      </c>
      <c r="AV324">
        <f>$H$324*$AB$324</f>
        <v>73.64</v>
      </c>
      <c r="AW324">
        <f>$H$324*$AC$324</f>
        <v>73.64</v>
      </c>
      <c r="AX324">
        <f>$H$324*$AD$324</f>
        <v>73.64</v>
      </c>
      <c r="AY324">
        <f>$H$324*$AE$324</f>
        <v>73.64</v>
      </c>
      <c r="AZ324">
        <f>$H$324*$AF$324</f>
        <v>73.64</v>
      </c>
    </row>
    <row r="325" spans="1:52" x14ac:dyDescent="0.25">
      <c r="A325">
        <v>384</v>
      </c>
      <c r="B325" t="s">
        <v>6</v>
      </c>
      <c r="C325" t="s">
        <v>428</v>
      </c>
      <c r="D325">
        <v>23.33</v>
      </c>
      <c r="E325">
        <v>144.41</v>
      </c>
      <c r="F325" t="s">
        <v>288</v>
      </c>
      <c r="G325">
        <v>6.19</v>
      </c>
      <c r="H325">
        <v>173.29</v>
      </c>
      <c r="I325" t="s">
        <v>292</v>
      </c>
      <c r="J325" t="s">
        <v>429</v>
      </c>
      <c r="K325" t="s">
        <v>557</v>
      </c>
      <c r="L325" t="s">
        <v>203</v>
      </c>
      <c r="M325" t="s">
        <v>6</v>
      </c>
      <c r="N325" t="s">
        <v>51</v>
      </c>
      <c r="O325" t="s">
        <v>6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6</v>
      </c>
      <c r="AH325" t="s">
        <v>51</v>
      </c>
      <c r="AI325" t="s">
        <v>6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173.29</v>
      </c>
      <c r="AN325">
        <f>$H$325*$T$325</f>
        <v>173.29</v>
      </c>
      <c r="AO325">
        <f>$H$325*$U$325</f>
        <v>173.29</v>
      </c>
      <c r="AP325">
        <f>$H$325*$V$325</f>
        <v>173.29</v>
      </c>
      <c r="AQ325">
        <f>$H$325*$W$325</f>
        <v>173.29</v>
      </c>
      <c r="AR325">
        <f>$H$325*$X$325</f>
        <v>173.29</v>
      </c>
      <c r="AS325">
        <f>$H$325*$Y$325</f>
        <v>173.29</v>
      </c>
      <c r="AT325">
        <f>$H$325*$Z$325</f>
        <v>173.29</v>
      </c>
      <c r="AU325">
        <f>$H$325*$AA$325</f>
        <v>173.29</v>
      </c>
      <c r="AV325">
        <f>$H$325*$AB$325</f>
        <v>173.29</v>
      </c>
      <c r="AW325">
        <f>$H$325*$AC$325</f>
        <v>173.29</v>
      </c>
      <c r="AX325">
        <f>$H$325*$AD$325</f>
        <v>173.29</v>
      </c>
      <c r="AY325">
        <f>$H$325*$AE$325</f>
        <v>173.29</v>
      </c>
      <c r="AZ325">
        <f>$H$325*$AF$325</f>
        <v>173.29</v>
      </c>
    </row>
    <row r="326" spans="1:52" x14ac:dyDescent="0.25">
      <c r="A326">
        <v>385</v>
      </c>
      <c r="B326" t="s">
        <v>6</v>
      </c>
      <c r="C326" t="s">
        <v>318</v>
      </c>
      <c r="D326">
        <v>24</v>
      </c>
      <c r="E326">
        <v>99.12</v>
      </c>
      <c r="F326" t="s">
        <v>308</v>
      </c>
      <c r="G326">
        <v>4.13</v>
      </c>
      <c r="H326">
        <v>118.94</v>
      </c>
      <c r="I326" t="s">
        <v>319</v>
      </c>
      <c r="J326" t="s">
        <v>320</v>
      </c>
      <c r="K326" t="s">
        <v>505</v>
      </c>
      <c r="L326" t="s">
        <v>203</v>
      </c>
      <c r="M326" t="s">
        <v>6</v>
      </c>
      <c r="N326" t="s">
        <v>51</v>
      </c>
      <c r="O326" t="s">
        <v>6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6</v>
      </c>
      <c r="AH326" t="s">
        <v>51</v>
      </c>
      <c r="AI326" t="s">
        <v>6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29.734999999999999</v>
      </c>
      <c r="AN326">
        <f>$H$326*$T$326</f>
        <v>29.734999999999999</v>
      </c>
      <c r="AO326">
        <f>$H$326*$U$326</f>
        <v>29.734999999999999</v>
      </c>
      <c r="AP326">
        <f>$H$326*$V$326</f>
        <v>29.734999999999999</v>
      </c>
      <c r="AQ326">
        <f>$H$326*$W$326</f>
        <v>59.47</v>
      </c>
      <c r="AR326">
        <f>$H$326*$X$326</f>
        <v>59.47</v>
      </c>
      <c r="AS326">
        <f>$H$326*$Y$326</f>
        <v>59.47</v>
      </c>
      <c r="AT326">
        <f>$H$326*$Z$326</f>
        <v>59.47</v>
      </c>
      <c r="AU326">
        <f>$H$326*$AA$326</f>
        <v>118.94</v>
      </c>
      <c r="AV326">
        <f>$H$326*$AB$326</f>
        <v>118.94</v>
      </c>
      <c r="AW326">
        <f>$H$326*$AC$326</f>
        <v>118.94</v>
      </c>
      <c r="AX326">
        <f>$H$326*$AD$326</f>
        <v>118.94</v>
      </c>
      <c r="AY326">
        <f>$H$326*$AE$326</f>
        <v>118.94</v>
      </c>
      <c r="AZ326">
        <f>$H$326*$AF$326</f>
        <v>118.94</v>
      </c>
    </row>
    <row r="327" spans="1:52" x14ac:dyDescent="0.25">
      <c r="A327">
        <v>386</v>
      </c>
      <c r="B327" t="s">
        <v>6</v>
      </c>
      <c r="C327" t="s">
        <v>424</v>
      </c>
      <c r="D327">
        <v>24</v>
      </c>
      <c r="E327">
        <v>25.68</v>
      </c>
      <c r="F327" t="s">
        <v>308</v>
      </c>
      <c r="G327">
        <v>1.07</v>
      </c>
      <c r="H327">
        <v>30.82</v>
      </c>
      <c r="I327" t="s">
        <v>289</v>
      </c>
      <c r="J327" t="s">
        <v>425</v>
      </c>
      <c r="K327" t="s">
        <v>555</v>
      </c>
      <c r="L327" t="s">
        <v>203</v>
      </c>
      <c r="M327" t="s">
        <v>6</v>
      </c>
      <c r="N327" t="s">
        <v>51</v>
      </c>
      <c r="O327" t="s">
        <v>6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6</v>
      </c>
      <c r="AH327" t="s">
        <v>51</v>
      </c>
      <c r="AI327" t="s">
        <v>6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30.82</v>
      </c>
      <c r="AY327">
        <f>$H$327*$AE$327</f>
        <v>30.82</v>
      </c>
      <c r="AZ327">
        <f>$H$327*$AF$327</f>
        <v>30.82</v>
      </c>
    </row>
    <row r="328" spans="1:52" x14ac:dyDescent="0.25">
      <c r="A328">
        <v>387</v>
      </c>
      <c r="B328" t="s">
        <v>6</v>
      </c>
      <c r="C328" t="s">
        <v>430</v>
      </c>
      <c r="D328">
        <v>24</v>
      </c>
      <c r="E328">
        <v>27.12</v>
      </c>
      <c r="F328" t="s">
        <v>308</v>
      </c>
      <c r="G328">
        <v>1.1299999999999999</v>
      </c>
      <c r="H328">
        <v>32.54</v>
      </c>
      <c r="I328" t="s">
        <v>289</v>
      </c>
      <c r="J328" t="s">
        <v>431</v>
      </c>
      <c r="K328" t="s">
        <v>558</v>
      </c>
      <c r="L328" t="s">
        <v>203</v>
      </c>
      <c r="M328" t="s">
        <v>6</v>
      </c>
      <c r="N328" t="s">
        <v>51</v>
      </c>
      <c r="O328" t="s">
        <v>6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6</v>
      </c>
      <c r="AH328" t="s">
        <v>51</v>
      </c>
      <c r="AI328" t="s">
        <v>6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32.54</v>
      </c>
      <c r="AN328">
        <f>$H$328*$T$328</f>
        <v>32.54</v>
      </c>
      <c r="AO328">
        <f>$H$328*$U$328</f>
        <v>32.54</v>
      </c>
      <c r="AP328">
        <f>$H$328*$V$328</f>
        <v>32.54</v>
      </c>
      <c r="AQ328">
        <f>$H$328*$W$328</f>
        <v>32.54</v>
      </c>
      <c r="AR328">
        <f>$H$328*$X$328</f>
        <v>32.54</v>
      </c>
      <c r="AS328">
        <f>$H$328*$Y$328</f>
        <v>32.54</v>
      </c>
      <c r="AT328">
        <f>$H$328*$Z$328</f>
        <v>32.54</v>
      </c>
      <c r="AU328">
        <f>$H$328*$AA$328</f>
        <v>32.54</v>
      </c>
      <c r="AV328">
        <f>$H$328*$AB$328</f>
        <v>32.54</v>
      </c>
      <c r="AW328">
        <f>$H$328*$AC$328</f>
        <v>32.54</v>
      </c>
      <c r="AX328">
        <f>$H$328*$AD$328</f>
        <v>32.54</v>
      </c>
      <c r="AY328">
        <f>$H$328*$AE$328</f>
        <v>32.54</v>
      </c>
      <c r="AZ328">
        <f>$H$328*$AF$328</f>
        <v>32.54</v>
      </c>
    </row>
    <row r="329" spans="1:52" x14ac:dyDescent="0.25">
      <c r="A329">
        <v>388</v>
      </c>
      <c r="B329" t="s">
        <v>6</v>
      </c>
      <c r="C329" t="s">
        <v>432</v>
      </c>
      <c r="D329">
        <v>8</v>
      </c>
      <c r="E329">
        <v>131.19999999999999</v>
      </c>
      <c r="F329" t="s">
        <v>308</v>
      </c>
      <c r="G329">
        <v>16.399999999999999</v>
      </c>
      <c r="H329">
        <v>157.44</v>
      </c>
      <c r="I329" t="s">
        <v>433</v>
      </c>
      <c r="J329" t="s">
        <v>326</v>
      </c>
      <c r="K329" t="s">
        <v>559</v>
      </c>
      <c r="L329" t="s">
        <v>203</v>
      </c>
      <c r="M329" t="s">
        <v>6</v>
      </c>
      <c r="N329" t="s">
        <v>51</v>
      </c>
      <c r="O329" t="s">
        <v>6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6</v>
      </c>
      <c r="AH329" t="s">
        <v>51</v>
      </c>
      <c r="AI329" t="s">
        <v>6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157.44</v>
      </c>
      <c r="AQ329">
        <f>$H$329*$W$329</f>
        <v>157.44</v>
      </c>
      <c r="AR329">
        <f>$H$329*$X$329</f>
        <v>157.44</v>
      </c>
      <c r="AS329">
        <f>$H$329*$Y$329</f>
        <v>157.44</v>
      </c>
      <c r="AT329">
        <f>$H$329*$Z$329</f>
        <v>157.44</v>
      </c>
      <c r="AU329">
        <f>$H$329*$AA$329</f>
        <v>157.44</v>
      </c>
      <c r="AV329">
        <f>$H$329*$AB$329</f>
        <v>157.44</v>
      </c>
      <c r="AW329">
        <f>$H$329*$AC$329</f>
        <v>157.44</v>
      </c>
      <c r="AX329">
        <f>$H$329*$AD$329</f>
        <v>157.44</v>
      </c>
      <c r="AY329">
        <f>$H$329*$AE$329</f>
        <v>157.44</v>
      </c>
      <c r="AZ329">
        <f>$H$329*$AF$329</f>
        <v>157.44</v>
      </c>
    </row>
    <row r="330" spans="1:52" x14ac:dyDescent="0.25">
      <c r="A330">
        <v>389</v>
      </c>
      <c r="B330" t="s">
        <v>6</v>
      </c>
      <c r="C330" t="s">
        <v>434</v>
      </c>
      <c r="D330">
        <v>16</v>
      </c>
      <c r="E330">
        <v>68.319999999999993</v>
      </c>
      <c r="F330" t="s">
        <v>308</v>
      </c>
      <c r="G330">
        <v>4.2699999999999996</v>
      </c>
      <c r="H330">
        <v>81.98</v>
      </c>
      <c r="I330" t="s">
        <v>435</v>
      </c>
      <c r="J330" t="s">
        <v>436</v>
      </c>
      <c r="K330" t="s">
        <v>560</v>
      </c>
      <c r="L330" t="s">
        <v>203</v>
      </c>
      <c r="M330" t="s">
        <v>6</v>
      </c>
      <c r="N330" t="s">
        <v>51</v>
      </c>
      <c r="O330" t="s">
        <v>6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6</v>
      </c>
      <c r="AH330" t="s">
        <v>51</v>
      </c>
      <c r="AI330" t="s">
        <v>6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81.98</v>
      </c>
      <c r="AN330">
        <f>$H$330*$T$330</f>
        <v>81.98</v>
      </c>
      <c r="AO330">
        <f>$H$330*$U$330</f>
        <v>81.98</v>
      </c>
      <c r="AP330">
        <f>$H$330*$V$330</f>
        <v>81.98</v>
      </c>
      <c r="AQ330">
        <f>$H$330*$W$330</f>
        <v>81.98</v>
      </c>
      <c r="AR330">
        <f>$H$330*$X$330</f>
        <v>81.98</v>
      </c>
      <c r="AS330">
        <f>$H$330*$Y$330</f>
        <v>81.98</v>
      </c>
      <c r="AT330">
        <f>$H$330*$Z$330</f>
        <v>81.98</v>
      </c>
      <c r="AU330">
        <f>$H$330*$AA$330</f>
        <v>81.98</v>
      </c>
      <c r="AV330">
        <f>$H$330*$AB$330</f>
        <v>81.98</v>
      </c>
      <c r="AW330">
        <f>$H$330*$AC$330</f>
        <v>81.98</v>
      </c>
      <c r="AX330">
        <f>$H$330*$AD$330</f>
        <v>81.98</v>
      </c>
      <c r="AY330">
        <f>$H$330*$AE$330</f>
        <v>81.98</v>
      </c>
      <c r="AZ330">
        <f>$H$330*$AF$330</f>
        <v>81.98</v>
      </c>
    </row>
    <row r="331" spans="1:52" x14ac:dyDescent="0.25">
      <c r="A331">
        <v>390</v>
      </c>
      <c r="B331" t="s">
        <v>6</v>
      </c>
      <c r="C331" t="s">
        <v>437</v>
      </c>
      <c r="D331">
        <v>16</v>
      </c>
      <c r="E331">
        <v>172</v>
      </c>
      <c r="F331" t="s">
        <v>308</v>
      </c>
      <c r="G331">
        <v>10.75</v>
      </c>
      <c r="H331">
        <v>206.4</v>
      </c>
      <c r="I331" t="s">
        <v>435</v>
      </c>
      <c r="J331" t="s">
        <v>326</v>
      </c>
      <c r="K331" t="s">
        <v>561</v>
      </c>
      <c r="L331" t="s">
        <v>203</v>
      </c>
      <c r="M331" t="s">
        <v>6</v>
      </c>
      <c r="N331" t="s">
        <v>51</v>
      </c>
      <c r="O331" t="s">
        <v>6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6</v>
      </c>
      <c r="AH331" t="s">
        <v>51</v>
      </c>
      <c r="AI331" t="s">
        <v>6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206.4</v>
      </c>
      <c r="AN331">
        <f>$H$331*$T$331</f>
        <v>206.4</v>
      </c>
      <c r="AO331">
        <f>$H$331*$U$331</f>
        <v>206.4</v>
      </c>
      <c r="AP331">
        <f>$H$331*$V$331</f>
        <v>206.4</v>
      </c>
      <c r="AQ331">
        <f>$H$331*$W$331</f>
        <v>206.4</v>
      </c>
      <c r="AR331">
        <f>$H$331*$X$331</f>
        <v>206.4</v>
      </c>
      <c r="AS331">
        <f>$H$331*$Y$331</f>
        <v>206.4</v>
      </c>
      <c r="AT331">
        <f>$H$331*$Z$331</f>
        <v>206.4</v>
      </c>
      <c r="AU331">
        <f>$H$331*$AA$331</f>
        <v>206.4</v>
      </c>
      <c r="AV331">
        <f>$H$331*$AB$331</f>
        <v>206.4</v>
      </c>
      <c r="AW331">
        <f>$H$331*$AC$331</f>
        <v>206.4</v>
      </c>
      <c r="AX331">
        <f>$H$331*$AD$331</f>
        <v>206.4</v>
      </c>
      <c r="AY331">
        <f>$H$331*$AE$331</f>
        <v>206.4</v>
      </c>
      <c r="AZ331">
        <f>$H$331*$AF$331</f>
        <v>206.4</v>
      </c>
    </row>
    <row r="332" spans="1:52" x14ac:dyDescent="0.25">
      <c r="A332">
        <v>391</v>
      </c>
      <c r="B332" t="s">
        <v>6</v>
      </c>
      <c r="C332" t="s">
        <v>438</v>
      </c>
      <c r="D332">
        <v>6.9</v>
      </c>
      <c r="E332">
        <v>6</v>
      </c>
      <c r="F332" t="s">
        <v>308</v>
      </c>
      <c r="G332">
        <v>0.87</v>
      </c>
      <c r="H332">
        <v>7.2</v>
      </c>
      <c r="I332" t="s">
        <v>331</v>
      </c>
      <c r="J332" t="s">
        <v>439</v>
      </c>
      <c r="K332" t="s">
        <v>562</v>
      </c>
      <c r="L332" t="s">
        <v>203</v>
      </c>
      <c r="M332" t="s">
        <v>6</v>
      </c>
      <c r="N332" t="s">
        <v>51</v>
      </c>
      <c r="O332" t="s">
        <v>6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6</v>
      </c>
      <c r="AH332" t="s">
        <v>51</v>
      </c>
      <c r="AI332" t="s">
        <v>6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7.2</v>
      </c>
      <c r="AN332">
        <f>$H$332*$T$332</f>
        <v>7.2</v>
      </c>
      <c r="AO332">
        <f>$H$332*$U$332</f>
        <v>7.2</v>
      </c>
      <c r="AP332">
        <f>$H$332*$V$332</f>
        <v>7.2</v>
      </c>
      <c r="AQ332">
        <f>$H$332*$W$332</f>
        <v>7.2</v>
      </c>
      <c r="AR332">
        <f>$H$332*$X$332</f>
        <v>7.2</v>
      </c>
      <c r="AS332">
        <f>$H$332*$Y$332</f>
        <v>7.2</v>
      </c>
      <c r="AT332">
        <f>$H$332*$Z$332</f>
        <v>7.2</v>
      </c>
      <c r="AU332">
        <f>$H$332*$AA$332</f>
        <v>7.2</v>
      </c>
      <c r="AV332">
        <f>$H$332*$AB$332</f>
        <v>7.2</v>
      </c>
      <c r="AW332">
        <f>$H$332*$AC$332</f>
        <v>7.2</v>
      </c>
      <c r="AX332">
        <f>$H$332*$AD$332</f>
        <v>7.2</v>
      </c>
      <c r="AY332">
        <f>$H$332*$AE$332</f>
        <v>7.2</v>
      </c>
      <c r="AZ332">
        <f>$H$332*$AF$332</f>
        <v>7.2</v>
      </c>
    </row>
    <row r="333" spans="1:52" x14ac:dyDescent="0.25">
      <c r="A333">
        <v>392</v>
      </c>
      <c r="B333" t="s">
        <v>6</v>
      </c>
      <c r="C333" t="s">
        <v>440</v>
      </c>
      <c r="D333">
        <v>6.9</v>
      </c>
      <c r="E333">
        <v>48.78</v>
      </c>
      <c r="F333" t="s">
        <v>308</v>
      </c>
      <c r="G333">
        <v>7.07</v>
      </c>
      <c r="H333">
        <v>58.54</v>
      </c>
      <c r="I333" t="s">
        <v>331</v>
      </c>
      <c r="J333" t="s">
        <v>326</v>
      </c>
      <c r="K333" t="s">
        <v>563</v>
      </c>
      <c r="L333" t="s">
        <v>203</v>
      </c>
      <c r="M333" t="s">
        <v>6</v>
      </c>
      <c r="N333" t="s">
        <v>51</v>
      </c>
      <c r="O333" t="s">
        <v>6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6</v>
      </c>
      <c r="AH333" t="s">
        <v>51</v>
      </c>
      <c r="AI333" t="s">
        <v>6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58.54</v>
      </c>
      <c r="AN333">
        <f>$H$333*$T$333</f>
        <v>58.54</v>
      </c>
      <c r="AO333">
        <f>$H$333*$U$333</f>
        <v>58.54</v>
      </c>
      <c r="AP333">
        <f>$H$333*$V$333</f>
        <v>58.54</v>
      </c>
      <c r="AQ333">
        <f>$H$333*$W$333</f>
        <v>58.54</v>
      </c>
      <c r="AR333">
        <f>$H$333*$X$333</f>
        <v>58.54</v>
      </c>
      <c r="AS333">
        <f>$H$333*$Y$333</f>
        <v>58.54</v>
      </c>
      <c r="AT333">
        <f>$H$333*$Z$333</f>
        <v>58.54</v>
      </c>
      <c r="AU333">
        <f>$H$333*$AA$333</f>
        <v>58.54</v>
      </c>
      <c r="AV333">
        <f>$H$333*$AB$333</f>
        <v>58.54</v>
      </c>
      <c r="AW333">
        <f>$H$333*$AC$333</f>
        <v>58.54</v>
      </c>
      <c r="AX333">
        <f>$H$333*$AD$333</f>
        <v>58.54</v>
      </c>
      <c r="AY333">
        <f>$H$333*$AE$333</f>
        <v>58.54</v>
      </c>
      <c r="AZ333">
        <f>$H$333*$AF$333</f>
        <v>58.54</v>
      </c>
    </row>
    <row r="334" spans="1:52" x14ac:dyDescent="0.25">
      <c r="A334">
        <v>393</v>
      </c>
      <c r="B334" t="s">
        <v>269</v>
      </c>
      <c r="C334" t="s">
        <v>386</v>
      </c>
      <c r="D334">
        <v>4</v>
      </c>
      <c r="E334">
        <v>64.56</v>
      </c>
      <c r="F334" t="s">
        <v>294</v>
      </c>
      <c r="G334">
        <v>16.14</v>
      </c>
      <c r="H334">
        <v>77.48</v>
      </c>
      <c r="I334" t="s">
        <v>296</v>
      </c>
      <c r="J334" t="s">
        <v>387</v>
      </c>
      <c r="K334" t="s">
        <v>537</v>
      </c>
      <c r="L334" t="s">
        <v>203</v>
      </c>
      <c r="M334" t="s">
        <v>269</v>
      </c>
      <c r="N334" t="s">
        <v>12</v>
      </c>
      <c r="O334" t="s">
        <v>135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269</v>
      </c>
      <c r="AH334" t="s">
        <v>12</v>
      </c>
      <c r="AI334" t="s">
        <v>135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77.48</v>
      </c>
      <c r="AS334">
        <f>$H$334*$Y$334</f>
        <v>77.48</v>
      </c>
      <c r="AT334">
        <f>$H$334*$Z$334</f>
        <v>77.48</v>
      </c>
      <c r="AU334">
        <f>$H$334*$AA$334</f>
        <v>77.48</v>
      </c>
      <c r="AV334">
        <f>$H$334*$AB$334</f>
        <v>77.48</v>
      </c>
      <c r="AW334">
        <f>$H$334*$AC$334</f>
        <v>77.48</v>
      </c>
      <c r="AX334">
        <f>$H$334*$AD$334</f>
        <v>77.48</v>
      </c>
      <c r="AY334">
        <f>$H$334*$AE$334</f>
        <v>77.48</v>
      </c>
      <c r="AZ334">
        <f>$H$334*$AF$334</f>
        <v>77.48</v>
      </c>
    </row>
    <row r="335" spans="1:52" x14ac:dyDescent="0.25">
      <c r="A335">
        <v>394</v>
      </c>
      <c r="B335" t="s">
        <v>269</v>
      </c>
      <c r="C335" t="s">
        <v>446</v>
      </c>
      <c r="D335">
        <v>1</v>
      </c>
      <c r="E335">
        <v>71.34</v>
      </c>
      <c r="F335" t="s">
        <v>294</v>
      </c>
      <c r="G335">
        <v>71.34</v>
      </c>
      <c r="H335">
        <v>85.6</v>
      </c>
      <c r="I335" t="s">
        <v>299</v>
      </c>
      <c r="J335" t="s">
        <v>356</v>
      </c>
      <c r="K335" t="s">
        <v>567</v>
      </c>
      <c r="L335" t="s">
        <v>203</v>
      </c>
      <c r="M335" t="s">
        <v>269</v>
      </c>
      <c r="N335" t="s">
        <v>12</v>
      </c>
      <c r="O335" t="s">
        <v>135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269</v>
      </c>
      <c r="AH335" t="s">
        <v>12</v>
      </c>
      <c r="AI335" t="s">
        <v>135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85.6</v>
      </c>
      <c r="AY335">
        <f>$H$335*$AE$335</f>
        <v>85.6</v>
      </c>
      <c r="AZ335">
        <f>$H$335*$AF$335</f>
        <v>85.6</v>
      </c>
    </row>
    <row r="336" spans="1:52" x14ac:dyDescent="0.25">
      <c r="A336">
        <v>395</v>
      </c>
      <c r="B336" t="s">
        <v>269</v>
      </c>
      <c r="C336" t="s">
        <v>419</v>
      </c>
      <c r="D336">
        <v>10.79</v>
      </c>
      <c r="E336">
        <v>41.43</v>
      </c>
      <c r="F336" t="s">
        <v>288</v>
      </c>
      <c r="G336">
        <v>3.84</v>
      </c>
      <c r="H336">
        <v>49.71</v>
      </c>
      <c r="I336" t="s">
        <v>420</v>
      </c>
      <c r="J336" t="s">
        <v>421</v>
      </c>
      <c r="K336" t="s">
        <v>553</v>
      </c>
      <c r="L336" t="s">
        <v>203</v>
      </c>
      <c r="M336" t="s">
        <v>269</v>
      </c>
      <c r="N336" t="s">
        <v>12</v>
      </c>
      <c r="O336" t="s">
        <v>135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269</v>
      </c>
      <c r="AH336" t="s">
        <v>12</v>
      </c>
      <c r="AI336" t="s">
        <v>135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49.71</v>
      </c>
      <c r="AV336">
        <f>$H$336*$AB$336</f>
        <v>49.71</v>
      </c>
      <c r="AW336">
        <f>$H$336*$AC$336</f>
        <v>49.71</v>
      </c>
      <c r="AX336">
        <f>$H$336*$AD$336</f>
        <v>49.71</v>
      </c>
      <c r="AY336">
        <f>$H$336*$AE$336</f>
        <v>49.71</v>
      </c>
      <c r="AZ336">
        <f>$H$336*$AF$336</f>
        <v>49.71</v>
      </c>
    </row>
    <row r="337" spans="1:52" x14ac:dyDescent="0.25">
      <c r="A337">
        <v>396</v>
      </c>
      <c r="B337" t="s">
        <v>269</v>
      </c>
      <c r="C337" t="s">
        <v>422</v>
      </c>
      <c r="D337">
        <v>86.33</v>
      </c>
      <c r="E337">
        <v>285.75</v>
      </c>
      <c r="F337" t="s">
        <v>308</v>
      </c>
      <c r="G337">
        <v>3.31</v>
      </c>
      <c r="H337">
        <v>342.91</v>
      </c>
      <c r="I337" t="s">
        <v>420</v>
      </c>
      <c r="J337" t="s">
        <v>423</v>
      </c>
      <c r="K337" t="s">
        <v>554</v>
      </c>
      <c r="L337" t="s">
        <v>203</v>
      </c>
      <c r="M337" t="s">
        <v>269</v>
      </c>
      <c r="N337" t="s">
        <v>12</v>
      </c>
      <c r="O337" t="s">
        <v>135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269</v>
      </c>
      <c r="AH337" t="s">
        <v>12</v>
      </c>
      <c r="AI337" t="s">
        <v>135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342.91</v>
      </c>
      <c r="AN337">
        <f>$H$337*$T$337</f>
        <v>342.91</v>
      </c>
      <c r="AO337">
        <f>$H$337*$U$337</f>
        <v>342.91</v>
      </c>
      <c r="AP337">
        <f>$H$337*$V$337</f>
        <v>342.91</v>
      </c>
      <c r="AQ337">
        <f>$H$337*$W$337</f>
        <v>342.91</v>
      </c>
      <c r="AR337">
        <f>$H$337*$X$337</f>
        <v>342.91</v>
      </c>
      <c r="AS337">
        <f>$H$337*$Y$337</f>
        <v>342.91</v>
      </c>
      <c r="AT337">
        <f>$H$337*$Z$337</f>
        <v>342.91</v>
      </c>
      <c r="AU337">
        <f>$H$337*$AA$337</f>
        <v>342.91</v>
      </c>
      <c r="AV337">
        <f>$H$337*$AB$337</f>
        <v>342.91</v>
      </c>
      <c r="AW337">
        <f>$H$337*$AC$337</f>
        <v>342.91</v>
      </c>
      <c r="AX337">
        <f>$H$337*$AD$337</f>
        <v>342.91</v>
      </c>
      <c r="AY337">
        <f>$H$337*$AE$337</f>
        <v>342.91</v>
      </c>
      <c r="AZ337">
        <f>$H$337*$AF$337</f>
        <v>342.91</v>
      </c>
    </row>
    <row r="338" spans="1:52" x14ac:dyDescent="0.25">
      <c r="A338">
        <v>397</v>
      </c>
      <c r="B338" t="s">
        <v>269</v>
      </c>
      <c r="C338" t="s">
        <v>424</v>
      </c>
      <c r="D338">
        <v>86.33</v>
      </c>
      <c r="E338">
        <v>92.37</v>
      </c>
      <c r="F338" t="s">
        <v>308</v>
      </c>
      <c r="G338">
        <v>1.07</v>
      </c>
      <c r="H338">
        <v>110.85</v>
      </c>
      <c r="I338" t="s">
        <v>289</v>
      </c>
      <c r="J338" t="s">
        <v>425</v>
      </c>
      <c r="K338" t="s">
        <v>555</v>
      </c>
      <c r="L338" t="s">
        <v>203</v>
      </c>
      <c r="M338" t="s">
        <v>269</v>
      </c>
      <c r="N338" t="s">
        <v>12</v>
      </c>
      <c r="O338" t="s">
        <v>135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269</v>
      </c>
      <c r="AH338" t="s">
        <v>12</v>
      </c>
      <c r="AI338" t="s">
        <v>135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110.85</v>
      </c>
      <c r="AY338">
        <f>$H$338*$AE$338</f>
        <v>110.85</v>
      </c>
      <c r="AZ338">
        <f>$H$338*$AF$338</f>
        <v>110.85</v>
      </c>
    </row>
    <row r="339" spans="1:52" x14ac:dyDescent="0.25">
      <c r="A339">
        <v>398</v>
      </c>
      <c r="B339" t="s">
        <v>269</v>
      </c>
      <c r="C339" t="s">
        <v>316</v>
      </c>
      <c r="D339">
        <v>259</v>
      </c>
      <c r="E339">
        <v>419.58</v>
      </c>
      <c r="F339" t="s">
        <v>308</v>
      </c>
      <c r="G339">
        <v>1.62</v>
      </c>
      <c r="H339">
        <v>503.5</v>
      </c>
      <c r="I339" t="s">
        <v>289</v>
      </c>
      <c r="J339" t="s">
        <v>317</v>
      </c>
      <c r="K339" t="s">
        <v>504</v>
      </c>
      <c r="L339" t="s">
        <v>203</v>
      </c>
      <c r="M339" t="s">
        <v>269</v>
      </c>
      <c r="N339" t="s">
        <v>12</v>
      </c>
      <c r="O339" t="s">
        <v>135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269</v>
      </c>
      <c r="AH339" t="s">
        <v>12</v>
      </c>
      <c r="AI339" t="s">
        <v>135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503.5</v>
      </c>
      <c r="AO339">
        <f>$H$339*$U$339</f>
        <v>503.5</v>
      </c>
      <c r="AP339">
        <f>$H$339*$V$339</f>
        <v>503.5</v>
      </c>
      <c r="AQ339">
        <f>$H$339*$W$339</f>
        <v>503.5</v>
      </c>
      <c r="AR339">
        <f>$H$339*$X$339</f>
        <v>503.5</v>
      </c>
      <c r="AS339">
        <f>$H$339*$Y$339</f>
        <v>503.5</v>
      </c>
      <c r="AT339">
        <f>$H$339*$Z$339</f>
        <v>503.5</v>
      </c>
      <c r="AU339">
        <f>$H$339*$AA$339</f>
        <v>503.5</v>
      </c>
      <c r="AV339">
        <f>$H$339*$AB$339</f>
        <v>503.5</v>
      </c>
      <c r="AW339">
        <f>$H$339*$AC$339</f>
        <v>503.5</v>
      </c>
      <c r="AX339">
        <f>$H$339*$AD$339</f>
        <v>503.5</v>
      </c>
      <c r="AY339">
        <f>$H$339*$AE$339</f>
        <v>503.5</v>
      </c>
      <c r="AZ339">
        <f>$H$339*$AF$339</f>
        <v>503.5</v>
      </c>
    </row>
    <row r="340" spans="1:52" x14ac:dyDescent="0.25">
      <c r="A340">
        <v>399</v>
      </c>
      <c r="B340" t="s">
        <v>269</v>
      </c>
      <c r="C340" t="s">
        <v>318</v>
      </c>
      <c r="D340">
        <v>345.33</v>
      </c>
      <c r="E340">
        <v>1426.21</v>
      </c>
      <c r="F340" t="s">
        <v>308</v>
      </c>
      <c r="G340">
        <v>4.13</v>
      </c>
      <c r="H340">
        <v>1711.45</v>
      </c>
      <c r="I340" t="s">
        <v>319</v>
      </c>
      <c r="J340" t="s">
        <v>320</v>
      </c>
      <c r="K340" t="s">
        <v>505</v>
      </c>
      <c r="L340" t="s">
        <v>203</v>
      </c>
      <c r="M340" t="s">
        <v>269</v>
      </c>
      <c r="N340" t="s">
        <v>12</v>
      </c>
      <c r="O340" t="s">
        <v>135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269</v>
      </c>
      <c r="AH340" t="s">
        <v>12</v>
      </c>
      <c r="AI340" t="s">
        <v>135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427.86250000000001</v>
      </c>
      <c r="AN340">
        <f>$H$340*$T$340</f>
        <v>427.86250000000001</v>
      </c>
      <c r="AO340">
        <f>$H$340*$U$340</f>
        <v>427.86250000000001</v>
      </c>
      <c r="AP340">
        <f>$H$340*$V$340</f>
        <v>427.86250000000001</v>
      </c>
      <c r="AQ340">
        <f>$H$340*$W$340</f>
        <v>855.72500000000002</v>
      </c>
      <c r="AR340">
        <f>$H$340*$X$340</f>
        <v>855.72500000000002</v>
      </c>
      <c r="AS340">
        <f>$H$340*$Y$340</f>
        <v>855.72500000000002</v>
      </c>
      <c r="AT340">
        <f>$H$340*$Z$340</f>
        <v>855.72500000000002</v>
      </c>
      <c r="AU340">
        <f>$H$340*$AA$340</f>
        <v>1711.45</v>
      </c>
      <c r="AV340">
        <f>$H$340*$AB$340</f>
        <v>1711.45</v>
      </c>
      <c r="AW340">
        <f>$H$340*$AC$340</f>
        <v>1711.45</v>
      </c>
      <c r="AX340">
        <f>$H$340*$AD$340</f>
        <v>1711.45</v>
      </c>
      <c r="AY340">
        <f>$H$340*$AE$340</f>
        <v>1711.45</v>
      </c>
      <c r="AZ340">
        <f>$H$340*$AF$340</f>
        <v>1711.45</v>
      </c>
    </row>
    <row r="341" spans="1:52" x14ac:dyDescent="0.25">
      <c r="A341">
        <v>400</v>
      </c>
      <c r="B341" t="s">
        <v>269</v>
      </c>
      <c r="C341" t="s">
        <v>426</v>
      </c>
      <c r="D341">
        <v>43.17</v>
      </c>
      <c r="E341">
        <v>113.54</v>
      </c>
      <c r="F341" t="s">
        <v>288</v>
      </c>
      <c r="G341">
        <v>2.63</v>
      </c>
      <c r="H341">
        <v>136.24</v>
      </c>
      <c r="I341" t="s">
        <v>289</v>
      </c>
      <c r="J341" t="s">
        <v>427</v>
      </c>
      <c r="K341" t="s">
        <v>556</v>
      </c>
      <c r="L341" t="s">
        <v>203</v>
      </c>
      <c r="M341" t="s">
        <v>269</v>
      </c>
      <c r="N341" t="s">
        <v>12</v>
      </c>
      <c r="O341" t="s">
        <v>135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269</v>
      </c>
      <c r="AH341" t="s">
        <v>12</v>
      </c>
      <c r="AI341" t="s">
        <v>135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136.24</v>
      </c>
      <c r="AN341">
        <f>$H$341*$T$341</f>
        <v>136.24</v>
      </c>
      <c r="AO341">
        <f>$H$341*$U$341</f>
        <v>136.24</v>
      </c>
      <c r="AP341">
        <f>$H$341*$V$341</f>
        <v>136.24</v>
      </c>
      <c r="AQ341">
        <f>$H$341*$W$341</f>
        <v>136.24</v>
      </c>
      <c r="AR341">
        <f>$H$341*$X$341</f>
        <v>136.24</v>
      </c>
      <c r="AS341">
        <f>$H$341*$Y$341</f>
        <v>136.24</v>
      </c>
      <c r="AT341">
        <f>$H$341*$Z$341</f>
        <v>136.24</v>
      </c>
      <c r="AU341">
        <f>$H$341*$AA$341</f>
        <v>136.24</v>
      </c>
      <c r="AV341">
        <f>$H$341*$AB$341</f>
        <v>136.24</v>
      </c>
      <c r="AW341">
        <f>$H$341*$AC$341</f>
        <v>136.24</v>
      </c>
      <c r="AX341">
        <f>$H$341*$AD$341</f>
        <v>136.24</v>
      </c>
      <c r="AY341">
        <f>$H$341*$AE$341</f>
        <v>136.24</v>
      </c>
      <c r="AZ341">
        <f>$H$341*$AF$341</f>
        <v>136.24</v>
      </c>
    </row>
    <row r="342" spans="1:52" x14ac:dyDescent="0.25">
      <c r="A342">
        <v>401</v>
      </c>
      <c r="B342" t="s">
        <v>269</v>
      </c>
      <c r="C342" t="s">
        <v>428</v>
      </c>
      <c r="D342">
        <v>43.17</v>
      </c>
      <c r="E342">
        <v>267.22000000000003</v>
      </c>
      <c r="F342" t="s">
        <v>288</v>
      </c>
      <c r="G342">
        <v>6.19</v>
      </c>
      <c r="H342">
        <v>320.66000000000003</v>
      </c>
      <c r="I342" t="s">
        <v>292</v>
      </c>
      <c r="J342" t="s">
        <v>429</v>
      </c>
      <c r="K342" t="s">
        <v>557</v>
      </c>
      <c r="L342" t="s">
        <v>203</v>
      </c>
      <c r="M342" t="s">
        <v>269</v>
      </c>
      <c r="N342" t="s">
        <v>12</v>
      </c>
      <c r="O342" t="s">
        <v>135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269</v>
      </c>
      <c r="AH342" t="s">
        <v>12</v>
      </c>
      <c r="AI342" t="s">
        <v>135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320.66000000000003</v>
      </c>
      <c r="AN342">
        <f>$H$342*$T$342</f>
        <v>320.66000000000003</v>
      </c>
      <c r="AO342">
        <f>$H$342*$U$342</f>
        <v>320.66000000000003</v>
      </c>
      <c r="AP342">
        <f>$H$342*$V$342</f>
        <v>320.66000000000003</v>
      </c>
      <c r="AQ342">
        <f>$H$342*$W$342</f>
        <v>320.66000000000003</v>
      </c>
      <c r="AR342">
        <f>$H$342*$X$342</f>
        <v>320.66000000000003</v>
      </c>
      <c r="AS342">
        <f>$H$342*$Y$342</f>
        <v>320.66000000000003</v>
      </c>
      <c r="AT342">
        <f>$H$342*$Z$342</f>
        <v>320.66000000000003</v>
      </c>
      <c r="AU342">
        <f>$H$342*$AA$342</f>
        <v>320.66000000000003</v>
      </c>
      <c r="AV342">
        <f>$H$342*$AB$342</f>
        <v>320.66000000000003</v>
      </c>
      <c r="AW342">
        <f>$H$342*$AC$342</f>
        <v>320.66000000000003</v>
      </c>
      <c r="AX342">
        <f>$H$342*$AD$342</f>
        <v>320.66000000000003</v>
      </c>
      <c r="AY342">
        <f>$H$342*$AE$342</f>
        <v>320.66000000000003</v>
      </c>
      <c r="AZ342">
        <f>$H$342*$AF$342</f>
        <v>320.66000000000003</v>
      </c>
    </row>
    <row r="343" spans="1:52" x14ac:dyDescent="0.25">
      <c r="A343">
        <v>402</v>
      </c>
      <c r="B343" t="s">
        <v>269</v>
      </c>
      <c r="C343" t="s">
        <v>318</v>
      </c>
      <c r="D343">
        <v>113.25</v>
      </c>
      <c r="E343">
        <v>467.72</v>
      </c>
      <c r="F343" t="s">
        <v>308</v>
      </c>
      <c r="G343">
        <v>4.13</v>
      </c>
      <c r="H343">
        <v>561.26</v>
      </c>
      <c r="I343" t="s">
        <v>319</v>
      </c>
      <c r="J343" t="s">
        <v>320</v>
      </c>
      <c r="K343" t="s">
        <v>505</v>
      </c>
      <c r="L343" t="s">
        <v>203</v>
      </c>
      <c r="M343" t="s">
        <v>269</v>
      </c>
      <c r="N343" t="s">
        <v>12</v>
      </c>
      <c r="O343" t="s">
        <v>135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269</v>
      </c>
      <c r="AH343" t="s">
        <v>12</v>
      </c>
      <c r="AI343" t="s">
        <v>135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140.315</v>
      </c>
      <c r="AN343">
        <f>$H$343*$T$343</f>
        <v>140.315</v>
      </c>
      <c r="AO343">
        <f>$H$343*$U$343</f>
        <v>140.315</v>
      </c>
      <c r="AP343">
        <f>$H$343*$V$343</f>
        <v>140.315</v>
      </c>
      <c r="AQ343">
        <f>$H$343*$W$343</f>
        <v>280.63</v>
      </c>
      <c r="AR343">
        <f>$H$343*$X$343</f>
        <v>280.63</v>
      </c>
      <c r="AS343">
        <f>$H$343*$Y$343</f>
        <v>280.63</v>
      </c>
      <c r="AT343">
        <f>$H$343*$Z$343</f>
        <v>280.63</v>
      </c>
      <c r="AU343">
        <f>$H$343*$AA$343</f>
        <v>561.26</v>
      </c>
      <c r="AV343">
        <f>$H$343*$AB$343</f>
        <v>561.26</v>
      </c>
      <c r="AW343">
        <f>$H$343*$AC$343</f>
        <v>561.26</v>
      </c>
      <c r="AX343">
        <f>$H$343*$AD$343</f>
        <v>561.26</v>
      </c>
      <c r="AY343">
        <f>$H$343*$AE$343</f>
        <v>561.26</v>
      </c>
      <c r="AZ343">
        <f>$H$343*$AF$343</f>
        <v>561.26</v>
      </c>
    </row>
    <row r="344" spans="1:52" x14ac:dyDescent="0.25">
      <c r="A344">
        <v>403</v>
      </c>
      <c r="B344" t="s">
        <v>269</v>
      </c>
      <c r="C344" t="s">
        <v>424</v>
      </c>
      <c r="D344">
        <v>113.25</v>
      </c>
      <c r="E344">
        <v>121.18</v>
      </c>
      <c r="F344" t="s">
        <v>308</v>
      </c>
      <c r="G344">
        <v>1.07</v>
      </c>
      <c r="H344">
        <v>145.41999999999999</v>
      </c>
      <c r="I344" t="s">
        <v>289</v>
      </c>
      <c r="J344" t="s">
        <v>425</v>
      </c>
      <c r="K344" t="s">
        <v>555</v>
      </c>
      <c r="L344" t="s">
        <v>203</v>
      </c>
      <c r="M344" t="s">
        <v>269</v>
      </c>
      <c r="N344" t="s">
        <v>12</v>
      </c>
      <c r="O344" t="s">
        <v>135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269</v>
      </c>
      <c r="AH344" t="s">
        <v>12</v>
      </c>
      <c r="AI344" t="s">
        <v>135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145.41999999999999</v>
      </c>
      <c r="AY344">
        <f>$H$344*$AE$344</f>
        <v>145.41999999999999</v>
      </c>
      <c r="AZ344">
        <f>$H$344*$AF$344</f>
        <v>145.41999999999999</v>
      </c>
    </row>
    <row r="345" spans="1:52" x14ac:dyDescent="0.25">
      <c r="A345">
        <v>404</v>
      </c>
      <c r="B345" t="s">
        <v>269</v>
      </c>
      <c r="C345" t="s">
        <v>430</v>
      </c>
      <c r="D345">
        <v>113.25</v>
      </c>
      <c r="E345">
        <v>127.97</v>
      </c>
      <c r="F345" t="s">
        <v>308</v>
      </c>
      <c r="G345">
        <v>1.1299999999999999</v>
      </c>
      <c r="H345">
        <v>153.57</v>
      </c>
      <c r="I345" t="s">
        <v>289</v>
      </c>
      <c r="J345" t="s">
        <v>431</v>
      </c>
      <c r="K345" t="s">
        <v>558</v>
      </c>
      <c r="L345" t="s">
        <v>203</v>
      </c>
      <c r="M345" t="s">
        <v>269</v>
      </c>
      <c r="N345" t="s">
        <v>12</v>
      </c>
      <c r="O345" t="s">
        <v>135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269</v>
      </c>
      <c r="AH345" t="s">
        <v>12</v>
      </c>
      <c r="AI345" t="s">
        <v>135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153.57</v>
      </c>
      <c r="AN345">
        <f>$H$345*$T$345</f>
        <v>153.57</v>
      </c>
      <c r="AO345">
        <f>$H$345*$U$345</f>
        <v>153.57</v>
      </c>
      <c r="AP345">
        <f>$H$345*$V$345</f>
        <v>153.57</v>
      </c>
      <c r="AQ345">
        <f>$H$345*$W$345</f>
        <v>153.57</v>
      </c>
      <c r="AR345">
        <f>$H$345*$X$345</f>
        <v>153.57</v>
      </c>
      <c r="AS345">
        <f>$H$345*$Y$345</f>
        <v>153.57</v>
      </c>
      <c r="AT345">
        <f>$H$345*$Z$345</f>
        <v>153.57</v>
      </c>
      <c r="AU345">
        <f>$H$345*$AA$345</f>
        <v>153.57</v>
      </c>
      <c r="AV345">
        <f>$H$345*$AB$345</f>
        <v>153.57</v>
      </c>
      <c r="AW345">
        <f>$H$345*$AC$345</f>
        <v>153.57</v>
      </c>
      <c r="AX345">
        <f>$H$345*$AD$345</f>
        <v>153.57</v>
      </c>
      <c r="AY345">
        <f>$H$345*$AE$345</f>
        <v>153.57</v>
      </c>
      <c r="AZ345">
        <f>$H$345*$AF$345</f>
        <v>153.57</v>
      </c>
    </row>
    <row r="346" spans="1:52" x14ac:dyDescent="0.25">
      <c r="A346">
        <v>405</v>
      </c>
      <c r="B346" t="s">
        <v>269</v>
      </c>
      <c r="C346" t="s">
        <v>432</v>
      </c>
      <c r="D346">
        <v>30.31</v>
      </c>
      <c r="E346">
        <v>497.08</v>
      </c>
      <c r="F346" t="s">
        <v>308</v>
      </c>
      <c r="G346">
        <v>16.399999999999999</v>
      </c>
      <c r="H346">
        <v>596.5</v>
      </c>
      <c r="I346" t="s">
        <v>433</v>
      </c>
      <c r="J346" t="s">
        <v>326</v>
      </c>
      <c r="K346" t="s">
        <v>559</v>
      </c>
      <c r="L346" t="s">
        <v>203</v>
      </c>
      <c r="M346" t="s">
        <v>269</v>
      </c>
      <c r="N346" t="s">
        <v>12</v>
      </c>
      <c r="O346" t="s">
        <v>135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269</v>
      </c>
      <c r="AH346" t="s">
        <v>12</v>
      </c>
      <c r="AI346" t="s">
        <v>135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596.5</v>
      </c>
      <c r="AQ346">
        <f>$H$346*$W$346</f>
        <v>596.5</v>
      </c>
      <c r="AR346">
        <f>$H$346*$X$346</f>
        <v>596.5</v>
      </c>
      <c r="AS346">
        <f>$H$346*$Y$346</f>
        <v>596.5</v>
      </c>
      <c r="AT346">
        <f>$H$346*$Z$346</f>
        <v>596.5</v>
      </c>
      <c r="AU346">
        <f>$H$346*$AA$346</f>
        <v>596.5</v>
      </c>
      <c r="AV346">
        <f>$H$346*$AB$346</f>
        <v>596.5</v>
      </c>
      <c r="AW346">
        <f>$H$346*$AC$346</f>
        <v>596.5</v>
      </c>
      <c r="AX346">
        <f>$H$346*$AD$346</f>
        <v>596.5</v>
      </c>
      <c r="AY346">
        <f>$H$346*$AE$346</f>
        <v>596.5</v>
      </c>
      <c r="AZ346">
        <f>$H$346*$AF$346</f>
        <v>596.5</v>
      </c>
    </row>
    <row r="347" spans="1:52" x14ac:dyDescent="0.25">
      <c r="A347">
        <v>406</v>
      </c>
      <c r="B347" t="s">
        <v>269</v>
      </c>
      <c r="C347" t="s">
        <v>434</v>
      </c>
      <c r="D347">
        <v>60.63</v>
      </c>
      <c r="E347">
        <v>258.89</v>
      </c>
      <c r="F347" t="s">
        <v>308</v>
      </c>
      <c r="G347">
        <v>4.2699999999999996</v>
      </c>
      <c r="H347">
        <v>310.67</v>
      </c>
      <c r="I347" t="s">
        <v>435</v>
      </c>
      <c r="J347" t="s">
        <v>436</v>
      </c>
      <c r="K347" t="s">
        <v>560</v>
      </c>
      <c r="L347" t="s">
        <v>203</v>
      </c>
      <c r="M347" t="s">
        <v>269</v>
      </c>
      <c r="N347" t="s">
        <v>12</v>
      </c>
      <c r="O347" t="s">
        <v>135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269</v>
      </c>
      <c r="AH347" t="s">
        <v>12</v>
      </c>
      <c r="AI347" t="s">
        <v>135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310.67</v>
      </c>
      <c r="AN347">
        <f>$H$347*$T$347</f>
        <v>310.67</v>
      </c>
      <c r="AO347">
        <f>$H$347*$U$347</f>
        <v>310.67</v>
      </c>
      <c r="AP347">
        <f>$H$347*$V$347</f>
        <v>310.67</v>
      </c>
      <c r="AQ347">
        <f>$H$347*$W$347</f>
        <v>310.67</v>
      </c>
      <c r="AR347">
        <f>$H$347*$X$347</f>
        <v>310.67</v>
      </c>
      <c r="AS347">
        <f>$H$347*$Y$347</f>
        <v>310.67</v>
      </c>
      <c r="AT347">
        <f>$H$347*$Z$347</f>
        <v>310.67</v>
      </c>
      <c r="AU347">
        <f>$H$347*$AA$347</f>
        <v>310.67</v>
      </c>
      <c r="AV347">
        <f>$H$347*$AB$347</f>
        <v>310.67</v>
      </c>
      <c r="AW347">
        <f>$H$347*$AC$347</f>
        <v>310.67</v>
      </c>
      <c r="AX347">
        <f>$H$347*$AD$347</f>
        <v>310.67</v>
      </c>
      <c r="AY347">
        <f>$H$347*$AE$347</f>
        <v>310.67</v>
      </c>
      <c r="AZ347">
        <f>$H$347*$AF$347</f>
        <v>310.67</v>
      </c>
    </row>
    <row r="348" spans="1:52" x14ac:dyDescent="0.25">
      <c r="A348">
        <v>407</v>
      </c>
      <c r="B348" t="s">
        <v>269</v>
      </c>
      <c r="C348" t="s">
        <v>437</v>
      </c>
      <c r="D348">
        <v>60.63</v>
      </c>
      <c r="E348">
        <v>651.77</v>
      </c>
      <c r="F348" t="s">
        <v>308</v>
      </c>
      <c r="G348">
        <v>10.75</v>
      </c>
      <c r="H348">
        <v>782.13</v>
      </c>
      <c r="I348" t="s">
        <v>435</v>
      </c>
      <c r="J348" t="s">
        <v>326</v>
      </c>
      <c r="K348" t="s">
        <v>561</v>
      </c>
      <c r="L348" t="s">
        <v>203</v>
      </c>
      <c r="M348" t="s">
        <v>269</v>
      </c>
      <c r="N348" t="s">
        <v>12</v>
      </c>
      <c r="O348" t="s">
        <v>135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269</v>
      </c>
      <c r="AH348" t="s">
        <v>12</v>
      </c>
      <c r="AI348" t="s">
        <v>135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782.13</v>
      </c>
      <c r="AN348">
        <f>$H$348*$T$348</f>
        <v>782.13</v>
      </c>
      <c r="AO348">
        <f>$H$348*$U$348</f>
        <v>782.13</v>
      </c>
      <c r="AP348">
        <f>$H$348*$V$348</f>
        <v>782.13</v>
      </c>
      <c r="AQ348">
        <f>$H$348*$W$348</f>
        <v>782.13</v>
      </c>
      <c r="AR348">
        <f>$H$348*$X$348</f>
        <v>782.13</v>
      </c>
      <c r="AS348">
        <f>$H$348*$Y$348</f>
        <v>782.13</v>
      </c>
      <c r="AT348">
        <f>$H$348*$Z$348</f>
        <v>782.13</v>
      </c>
      <c r="AU348">
        <f>$H$348*$AA$348</f>
        <v>782.13</v>
      </c>
      <c r="AV348">
        <f>$H$348*$AB$348</f>
        <v>782.13</v>
      </c>
      <c r="AW348">
        <f>$H$348*$AC$348</f>
        <v>782.13</v>
      </c>
      <c r="AX348">
        <f>$H$348*$AD$348</f>
        <v>782.13</v>
      </c>
      <c r="AY348">
        <f>$H$348*$AE$348</f>
        <v>782.13</v>
      </c>
      <c r="AZ348">
        <f>$H$348*$AF$348</f>
        <v>782.13</v>
      </c>
    </row>
    <row r="349" spans="1:52" x14ac:dyDescent="0.25">
      <c r="A349">
        <v>408</v>
      </c>
      <c r="B349" t="s">
        <v>269</v>
      </c>
      <c r="C349" t="s">
        <v>438</v>
      </c>
      <c r="D349">
        <v>32.56</v>
      </c>
      <c r="E349">
        <v>28.33</v>
      </c>
      <c r="F349" t="s">
        <v>308</v>
      </c>
      <c r="G349">
        <v>0.87</v>
      </c>
      <c r="H349">
        <v>33.99</v>
      </c>
      <c r="I349" t="s">
        <v>331</v>
      </c>
      <c r="J349" t="s">
        <v>439</v>
      </c>
      <c r="K349" t="s">
        <v>562</v>
      </c>
      <c r="L349" t="s">
        <v>203</v>
      </c>
      <c r="M349" t="s">
        <v>269</v>
      </c>
      <c r="N349" t="s">
        <v>12</v>
      </c>
      <c r="O349" t="s">
        <v>135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269</v>
      </c>
      <c r="AH349" t="s">
        <v>12</v>
      </c>
      <c r="AI349" t="s">
        <v>135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33.99</v>
      </c>
      <c r="AN349">
        <f>$H$349*$T$349</f>
        <v>33.99</v>
      </c>
      <c r="AO349">
        <f>$H$349*$U$349</f>
        <v>33.99</v>
      </c>
      <c r="AP349">
        <f>$H$349*$V$349</f>
        <v>33.99</v>
      </c>
      <c r="AQ349">
        <f>$H$349*$W$349</f>
        <v>33.99</v>
      </c>
      <c r="AR349">
        <f>$H$349*$X$349</f>
        <v>33.99</v>
      </c>
      <c r="AS349">
        <f>$H$349*$Y$349</f>
        <v>33.99</v>
      </c>
      <c r="AT349">
        <f>$H$349*$Z$349</f>
        <v>33.99</v>
      </c>
      <c r="AU349">
        <f>$H$349*$AA$349</f>
        <v>33.99</v>
      </c>
      <c r="AV349">
        <f>$H$349*$AB$349</f>
        <v>33.99</v>
      </c>
      <c r="AW349">
        <f>$H$349*$AC$349</f>
        <v>33.99</v>
      </c>
      <c r="AX349">
        <f>$H$349*$AD$349</f>
        <v>33.99</v>
      </c>
      <c r="AY349">
        <f>$H$349*$AE$349</f>
        <v>33.99</v>
      </c>
      <c r="AZ349">
        <f>$H$349*$AF$349</f>
        <v>33.99</v>
      </c>
    </row>
    <row r="350" spans="1:52" x14ac:dyDescent="0.25">
      <c r="A350">
        <v>409</v>
      </c>
      <c r="B350" t="s">
        <v>269</v>
      </c>
      <c r="C350" t="s">
        <v>440</v>
      </c>
      <c r="D350">
        <v>32.56</v>
      </c>
      <c r="E350">
        <v>230.2</v>
      </c>
      <c r="F350" t="s">
        <v>308</v>
      </c>
      <c r="G350">
        <v>7.07</v>
      </c>
      <c r="H350">
        <v>276.24</v>
      </c>
      <c r="I350" t="s">
        <v>331</v>
      </c>
      <c r="J350" t="s">
        <v>326</v>
      </c>
      <c r="K350" t="s">
        <v>563</v>
      </c>
      <c r="L350" t="s">
        <v>203</v>
      </c>
      <c r="M350" t="s">
        <v>269</v>
      </c>
      <c r="N350" t="s">
        <v>12</v>
      </c>
      <c r="O350" t="s">
        <v>135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269</v>
      </c>
      <c r="AH350" t="s">
        <v>12</v>
      </c>
      <c r="AI350" t="s">
        <v>135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276.24</v>
      </c>
      <c r="AN350">
        <f>$H$350*$T$350</f>
        <v>276.24</v>
      </c>
      <c r="AO350">
        <f>$H$350*$U$350</f>
        <v>276.24</v>
      </c>
      <c r="AP350">
        <f>$H$350*$V$350</f>
        <v>276.24</v>
      </c>
      <c r="AQ350">
        <f>$H$350*$W$350</f>
        <v>276.24</v>
      </c>
      <c r="AR350">
        <f>$H$350*$X$350</f>
        <v>276.24</v>
      </c>
      <c r="AS350">
        <f>$H$350*$Y$350</f>
        <v>276.24</v>
      </c>
      <c r="AT350">
        <f>$H$350*$Z$350</f>
        <v>276.24</v>
      </c>
      <c r="AU350">
        <f>$H$350*$AA$350</f>
        <v>276.24</v>
      </c>
      <c r="AV350">
        <f>$H$350*$AB$350</f>
        <v>276.24</v>
      </c>
      <c r="AW350">
        <f>$H$350*$AC$350</f>
        <v>276.24</v>
      </c>
      <c r="AX350">
        <f>$H$350*$AD$350</f>
        <v>276.24</v>
      </c>
      <c r="AY350">
        <f>$H$350*$AE$350</f>
        <v>276.24</v>
      </c>
      <c r="AZ350">
        <f>$H$350*$AF$350</f>
        <v>276.24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E19" sqref="E1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262</v>
      </c>
      <c r="B2">
        <v>32.25</v>
      </c>
      <c r="D2" t="s">
        <v>591</v>
      </c>
      <c r="E2">
        <v>7</v>
      </c>
      <c r="F2">
        <v>2</v>
      </c>
      <c r="G2">
        <v>4</v>
      </c>
      <c r="H2">
        <v>6</v>
      </c>
      <c r="I2">
        <v>8</v>
      </c>
      <c r="J2">
        <v>0</v>
      </c>
    </row>
    <row r="3" spans="1:10" x14ac:dyDescent="0.25">
      <c r="A3" t="s">
        <v>264</v>
      </c>
      <c r="B3">
        <v>20.25</v>
      </c>
      <c r="D3" t="s">
        <v>592</v>
      </c>
      <c r="E3">
        <v>4</v>
      </c>
      <c r="F3">
        <v>6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265</v>
      </c>
      <c r="B4">
        <v>81</v>
      </c>
      <c r="D4" t="s">
        <v>593</v>
      </c>
      <c r="E4">
        <v>9</v>
      </c>
      <c r="F4">
        <v>0</v>
      </c>
      <c r="G4">
        <v>9</v>
      </c>
      <c r="H4">
        <v>0</v>
      </c>
      <c r="I4">
        <v>8</v>
      </c>
      <c r="J4">
        <v>0</v>
      </c>
    </row>
    <row r="5" spans="1:10" x14ac:dyDescent="0.25">
      <c r="A5" t="s">
        <v>7</v>
      </c>
      <c r="B5">
        <v>88.5</v>
      </c>
      <c r="D5" t="s">
        <v>594</v>
      </c>
      <c r="E5">
        <v>9</v>
      </c>
      <c r="F5">
        <v>10</v>
      </c>
      <c r="G5">
        <v>9</v>
      </c>
      <c r="H5">
        <v>0</v>
      </c>
      <c r="I5">
        <v>8</v>
      </c>
      <c r="J5">
        <v>0</v>
      </c>
    </row>
    <row r="6" spans="1:10" x14ac:dyDescent="0.25">
      <c r="A6" t="s">
        <v>266</v>
      </c>
      <c r="B6">
        <v>135.27000000000001</v>
      </c>
      <c r="D6" t="s">
        <v>595</v>
      </c>
      <c r="E6">
        <v>12</v>
      </c>
      <c r="F6">
        <v>7</v>
      </c>
      <c r="G6">
        <v>10</v>
      </c>
      <c r="H6">
        <v>9</v>
      </c>
      <c r="I6">
        <v>8</v>
      </c>
      <c r="J6">
        <v>0</v>
      </c>
    </row>
    <row r="7" spans="1:10" x14ac:dyDescent="0.25">
      <c r="A7" t="s">
        <v>4</v>
      </c>
      <c r="B7">
        <v>81</v>
      </c>
      <c r="D7" t="s">
        <v>593</v>
      </c>
      <c r="E7">
        <v>9</v>
      </c>
      <c r="F7">
        <v>0</v>
      </c>
      <c r="G7">
        <v>9</v>
      </c>
      <c r="H7">
        <v>0</v>
      </c>
      <c r="I7">
        <v>8</v>
      </c>
      <c r="J7">
        <v>0</v>
      </c>
    </row>
    <row r="8" spans="1:10" x14ac:dyDescent="0.25">
      <c r="A8" t="s">
        <v>5</v>
      </c>
      <c r="B8">
        <v>38.82</v>
      </c>
      <c r="D8" t="s">
        <v>596</v>
      </c>
      <c r="E8">
        <v>7</v>
      </c>
      <c r="F8">
        <v>2</v>
      </c>
      <c r="G8">
        <v>5</v>
      </c>
      <c r="H8">
        <v>5</v>
      </c>
      <c r="I8">
        <v>8</v>
      </c>
      <c r="J8">
        <v>0</v>
      </c>
    </row>
    <row r="9" spans="1:10" x14ac:dyDescent="0.25">
      <c r="A9" t="s">
        <v>268</v>
      </c>
      <c r="B9">
        <v>225.45</v>
      </c>
      <c r="D9" t="s">
        <v>597</v>
      </c>
      <c r="E9">
        <v>17</v>
      </c>
      <c r="F9">
        <v>11</v>
      </c>
      <c r="G9">
        <v>12</v>
      </c>
      <c r="H9">
        <v>7</v>
      </c>
      <c r="I9">
        <v>8</v>
      </c>
      <c r="J9">
        <v>0</v>
      </c>
    </row>
    <row r="10" spans="1:10" x14ac:dyDescent="0.25">
      <c r="A10" t="s">
        <v>485</v>
      </c>
      <c r="B10">
        <v>50.17</v>
      </c>
      <c r="D10" t="s">
        <v>598</v>
      </c>
      <c r="E10">
        <v>7</v>
      </c>
      <c r="F10">
        <v>1</v>
      </c>
      <c r="G10">
        <v>7</v>
      </c>
      <c r="H10">
        <v>1</v>
      </c>
      <c r="I10">
        <v>8</v>
      </c>
      <c r="J10">
        <v>0</v>
      </c>
    </row>
    <row r="11" spans="1:10" x14ac:dyDescent="0.25">
      <c r="A11" t="s">
        <v>269</v>
      </c>
      <c r="B11">
        <v>113.25</v>
      </c>
      <c r="D11" t="s">
        <v>599</v>
      </c>
      <c r="E11">
        <v>12</v>
      </c>
      <c r="F11">
        <v>7</v>
      </c>
      <c r="G11">
        <v>9</v>
      </c>
      <c r="H11">
        <v>0</v>
      </c>
      <c r="I11">
        <v>8</v>
      </c>
      <c r="J11">
        <v>0</v>
      </c>
    </row>
    <row r="12" spans="1:10" x14ac:dyDescent="0.25">
      <c r="A12" t="s">
        <v>270</v>
      </c>
      <c r="B12">
        <v>28</v>
      </c>
    </row>
    <row r="13" spans="1:10" x14ac:dyDescent="0.25">
      <c r="A13" t="s">
        <v>6</v>
      </c>
      <c r="B13">
        <v>24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37"/>
  <sheetViews>
    <sheetView workbookViewId="0">
      <selection activeCell="K25" sqref="K2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20" t="s">
        <v>0</v>
      </c>
      <c r="B1" s="120"/>
      <c r="C1" s="120"/>
      <c r="D1" s="120"/>
      <c r="E1" s="120"/>
      <c r="F1" s="62" t="s">
        <v>102</v>
      </c>
      <c r="G1" s="123" t="s">
        <v>53</v>
      </c>
      <c r="H1" s="124"/>
      <c r="I1" s="124"/>
      <c r="J1" s="124"/>
      <c r="K1" s="124"/>
      <c r="L1" s="124"/>
      <c r="M1" s="124"/>
      <c r="N1" s="124"/>
      <c r="O1" s="124"/>
    </row>
    <row r="2" spans="1:15" ht="52.5" customHeight="1" x14ac:dyDescent="0.25">
      <c r="A2" s="70"/>
      <c r="B2" s="122"/>
      <c r="C2" s="122"/>
      <c r="D2" s="121" t="str">
        <f>Home!F22</f>
        <v>david.sol at 2023-09-06 03:54</v>
      </c>
      <c r="E2" s="121"/>
      <c r="F2" s="49" t="b">
        <f>Home!E22</f>
        <v>1</v>
      </c>
      <c r="G2" s="103" t="s">
        <v>58</v>
      </c>
      <c r="H2" s="103" t="s">
        <v>45</v>
      </c>
      <c r="I2" s="103" t="s">
        <v>46</v>
      </c>
      <c r="J2" s="105" t="s">
        <v>47</v>
      </c>
      <c r="K2" s="103" t="s">
        <v>48</v>
      </c>
      <c r="L2" s="104" t="s">
        <v>148</v>
      </c>
      <c r="M2" s="104" t="s">
        <v>149</v>
      </c>
      <c r="N2" s="104" t="s">
        <v>150</v>
      </c>
      <c r="O2" s="104" t="s">
        <v>155</v>
      </c>
    </row>
    <row r="3" spans="1:15" x14ac:dyDescent="0.25">
      <c r="A3" s="46"/>
      <c r="B3" s="46"/>
      <c r="C3" s="46"/>
      <c r="D3" s="47"/>
      <c r="E3" s="48"/>
      <c r="F3" s="47"/>
      <c r="G3" s="65" t="s">
        <v>501</v>
      </c>
      <c r="H3" s="66" t="s">
        <v>144</v>
      </c>
      <c r="I3" s="66" t="s">
        <v>144</v>
      </c>
      <c r="J3" s="65" t="s">
        <v>26</v>
      </c>
      <c r="K3" s="65" t="s">
        <v>67</v>
      </c>
      <c r="L3" s="65"/>
      <c r="M3" s="65" t="s">
        <v>144</v>
      </c>
      <c r="N3" s="109" t="s">
        <v>144</v>
      </c>
      <c r="O3" s="109" t="s">
        <v>144</v>
      </c>
    </row>
    <row r="4" spans="1:15" x14ac:dyDescent="0.25">
      <c r="A4" s="46"/>
      <c r="B4" s="46"/>
      <c r="C4" s="46"/>
      <c r="D4" s="1"/>
      <c r="E4" s="1"/>
      <c r="G4" s="65" t="s">
        <v>493</v>
      </c>
      <c r="H4" s="66" t="s">
        <v>144</v>
      </c>
      <c r="I4" s="66">
        <v>55.741799999999998</v>
      </c>
      <c r="J4" s="65" t="s">
        <v>27</v>
      </c>
      <c r="K4" s="65" t="s">
        <v>66</v>
      </c>
      <c r="L4" s="65"/>
      <c r="M4" s="65" t="s">
        <v>153</v>
      </c>
      <c r="N4" s="109">
        <v>35</v>
      </c>
      <c r="O4" s="109">
        <v>1950.963</v>
      </c>
    </row>
    <row r="5" spans="1:15" x14ac:dyDescent="0.25">
      <c r="A5" s="41"/>
      <c r="B5" s="41"/>
      <c r="C5" s="41"/>
      <c r="D5" s="41"/>
      <c r="E5" s="41"/>
      <c r="G5" s="65" t="s">
        <v>512</v>
      </c>
      <c r="H5" s="66" t="s">
        <v>144</v>
      </c>
      <c r="I5" s="66" t="s">
        <v>144</v>
      </c>
      <c r="J5" s="65" t="s">
        <v>12</v>
      </c>
      <c r="K5" s="65" t="s">
        <v>68</v>
      </c>
      <c r="L5" s="65"/>
      <c r="M5" s="65" t="s">
        <v>144</v>
      </c>
      <c r="N5" s="109" t="s">
        <v>144</v>
      </c>
      <c r="O5" s="109" t="s">
        <v>144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264</v>
      </c>
      <c r="H6" s="65">
        <v>20.25</v>
      </c>
      <c r="I6" s="65">
        <v>1.88</v>
      </c>
      <c r="J6" s="65" t="s">
        <v>12</v>
      </c>
      <c r="K6" s="65" t="s">
        <v>147</v>
      </c>
      <c r="L6" s="65" t="s">
        <v>601</v>
      </c>
      <c r="M6" s="65" t="s">
        <v>151</v>
      </c>
      <c r="N6" s="109">
        <v>285</v>
      </c>
      <c r="O6" s="109">
        <v>535.79999999999995</v>
      </c>
    </row>
    <row r="7" spans="1:15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88.5</v>
      </c>
      <c r="I7" s="65">
        <v>8.2200000000000006</v>
      </c>
      <c r="J7" s="65" t="s">
        <v>12</v>
      </c>
      <c r="K7" s="65" t="s">
        <v>7</v>
      </c>
      <c r="L7" s="65" t="s">
        <v>604</v>
      </c>
      <c r="M7" s="65" t="s">
        <v>151</v>
      </c>
      <c r="N7" s="109">
        <v>285</v>
      </c>
      <c r="O7" s="109">
        <v>2342.7000000000003</v>
      </c>
    </row>
    <row r="8" spans="1:15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38.82</v>
      </c>
      <c r="I8" s="65">
        <v>3.61</v>
      </c>
      <c r="J8" s="65" t="s">
        <v>12</v>
      </c>
      <c r="K8" s="65" t="s">
        <v>5</v>
      </c>
      <c r="L8" s="65" t="s">
        <v>606</v>
      </c>
      <c r="M8" s="65" t="s">
        <v>145</v>
      </c>
      <c r="N8" s="109">
        <v>138</v>
      </c>
      <c r="O8" s="109">
        <v>498.18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268</v>
      </c>
      <c r="H9" s="65">
        <v>225.45</v>
      </c>
      <c r="I9" s="65">
        <v>20.94</v>
      </c>
      <c r="J9" s="65" t="s">
        <v>12</v>
      </c>
      <c r="K9" s="65" t="s">
        <v>14</v>
      </c>
      <c r="L9" s="65" t="s">
        <v>607</v>
      </c>
      <c r="M9" s="65" t="s">
        <v>145</v>
      </c>
      <c r="N9" s="109">
        <v>138</v>
      </c>
      <c r="O9" s="109">
        <v>2889.7200000000003</v>
      </c>
    </row>
    <row r="10" spans="1:15" x14ac:dyDescent="0.25">
      <c r="C10" s="1"/>
      <c r="D10" s="1"/>
      <c r="E10" s="1"/>
      <c r="G10" s="65" t="s">
        <v>269</v>
      </c>
      <c r="H10" s="65">
        <v>113.25</v>
      </c>
      <c r="I10" s="65">
        <v>10.52</v>
      </c>
      <c r="J10" s="65" t="s">
        <v>12</v>
      </c>
      <c r="K10" s="65" t="s">
        <v>135</v>
      </c>
      <c r="L10" s="65" t="s">
        <v>609</v>
      </c>
      <c r="M10" s="65" t="s">
        <v>145</v>
      </c>
      <c r="N10" s="109">
        <v>138</v>
      </c>
      <c r="O10" s="109">
        <v>1451.76</v>
      </c>
    </row>
    <row r="11" spans="1:15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262</v>
      </c>
      <c r="H11" s="65">
        <v>32.25</v>
      </c>
      <c r="I11" s="65">
        <v>3</v>
      </c>
      <c r="J11" s="65" t="s">
        <v>51</v>
      </c>
      <c r="K11" s="65" t="s">
        <v>13</v>
      </c>
      <c r="L11" s="65" t="s">
        <v>600</v>
      </c>
      <c r="M11" s="65" t="s">
        <v>151</v>
      </c>
      <c r="N11" s="109">
        <v>285</v>
      </c>
      <c r="O11" s="109">
        <v>855</v>
      </c>
    </row>
    <row r="12" spans="1:15" x14ac:dyDescent="0.25">
      <c r="A12" s="1"/>
      <c r="B12" s="1"/>
      <c r="C12" s="1"/>
      <c r="D12" s="1"/>
      <c r="E12" s="1"/>
      <c r="G12" s="65" t="s">
        <v>270</v>
      </c>
      <c r="H12" s="65">
        <v>28</v>
      </c>
      <c r="I12" s="65">
        <v>2.6</v>
      </c>
      <c r="J12" s="65" t="s">
        <v>51</v>
      </c>
      <c r="K12" s="65" t="s">
        <v>15</v>
      </c>
      <c r="L12" s="65" t="s">
        <v>602</v>
      </c>
      <c r="M12" s="65" t="s">
        <v>145</v>
      </c>
      <c r="N12" s="109">
        <v>138</v>
      </c>
      <c r="O12" s="109">
        <v>358.8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265</v>
      </c>
      <c r="H13" s="65">
        <v>81</v>
      </c>
      <c r="I13" s="65">
        <v>7.53</v>
      </c>
      <c r="J13" s="65" t="s">
        <v>51</v>
      </c>
      <c r="K13" s="65" t="s">
        <v>4</v>
      </c>
      <c r="L13" s="65" t="s">
        <v>603</v>
      </c>
      <c r="M13" s="65" t="s">
        <v>145</v>
      </c>
      <c r="N13" s="109">
        <v>138</v>
      </c>
      <c r="O13" s="109">
        <v>1039.1400000000001</v>
      </c>
    </row>
    <row r="14" spans="1:15" x14ac:dyDescent="0.25">
      <c r="A14" s="4" t="s">
        <v>49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266</v>
      </c>
      <c r="H14" s="65">
        <v>135.27000000000001</v>
      </c>
      <c r="I14" s="65">
        <v>12.57</v>
      </c>
      <c r="J14" s="65" t="s">
        <v>51</v>
      </c>
      <c r="K14" s="65" t="s">
        <v>4</v>
      </c>
      <c r="L14" s="65" t="s">
        <v>605</v>
      </c>
      <c r="M14" s="65" t="s">
        <v>145</v>
      </c>
      <c r="N14" s="109">
        <v>138</v>
      </c>
      <c r="O14" s="109">
        <v>1734.66</v>
      </c>
    </row>
    <row r="15" spans="1:15" x14ac:dyDescent="0.25">
      <c r="A15" s="4" t="s">
        <v>50</v>
      </c>
      <c r="B15" s="42">
        <f>SUMIFS(H:H,G:G,"&lt;&gt;mech_single",G:G,"&lt;&gt;general",G:G,"&lt;&gt;general_main")</f>
        <v>867.79</v>
      </c>
      <c r="C15" s="42">
        <f>SUMIFS(H:H,G:G,"&lt;&gt;general_main",J:J,C13)</f>
        <v>486.27</v>
      </c>
      <c r="D15" s="42">
        <f>SUMIF($J:$J,D13,$H:$H)</f>
        <v>0</v>
      </c>
      <c r="E15" s="42">
        <f>SUMIF($J:$J,E13,$H:$H)</f>
        <v>381.52</v>
      </c>
      <c r="F15"/>
      <c r="G15" s="65" t="s">
        <v>4</v>
      </c>
      <c r="H15" s="65">
        <v>81</v>
      </c>
      <c r="I15" s="65">
        <v>7.53</v>
      </c>
      <c r="J15" s="65" t="s">
        <v>51</v>
      </c>
      <c r="K15" s="65" t="s">
        <v>4</v>
      </c>
      <c r="L15" s="65" t="s">
        <v>603</v>
      </c>
      <c r="M15" s="65" t="s">
        <v>145</v>
      </c>
      <c r="N15" s="109">
        <v>138</v>
      </c>
      <c r="O15" s="109">
        <v>1039.1400000000001</v>
      </c>
    </row>
    <row r="16" spans="1:15" x14ac:dyDescent="0.25">
      <c r="A16" s="4" t="s">
        <v>59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6</v>
      </c>
      <c r="H16" s="65">
        <v>24</v>
      </c>
      <c r="I16" s="65">
        <v>2.23</v>
      </c>
      <c r="J16" s="65" t="s">
        <v>51</v>
      </c>
      <c r="K16" s="65" t="s">
        <v>6</v>
      </c>
      <c r="L16" s="65" t="s">
        <v>608</v>
      </c>
      <c r="M16" s="65" t="s">
        <v>145</v>
      </c>
      <c r="N16" s="109">
        <v>138</v>
      </c>
      <c r="O16" s="109">
        <v>307.74</v>
      </c>
    </row>
    <row r="17" spans="1:15" x14ac:dyDescent="0.25">
      <c r="A17" s="4" t="s">
        <v>60</v>
      </c>
      <c r="B17" s="42">
        <f>B15*0.092903</f>
        <v>80.620294369999996</v>
      </c>
      <c r="C17" s="42">
        <f t="shared" si="0"/>
        <v>45.175941809999998</v>
      </c>
      <c r="D17" s="42">
        <f t="shared" si="0"/>
        <v>0</v>
      </c>
      <c r="E17" s="42">
        <f t="shared" si="0"/>
        <v>35.444352559999999</v>
      </c>
      <c r="F17"/>
      <c r="G17" s="65"/>
      <c r="H17" s="65"/>
      <c r="I17" s="65"/>
      <c r="J17" s="65"/>
      <c r="K17" s="65"/>
      <c r="L17" s="65"/>
      <c r="M17" s="65"/>
      <c r="N17" s="109"/>
      <c r="O17" s="109"/>
    </row>
    <row r="18" spans="1:15" x14ac:dyDescent="0.25">
      <c r="A18" s="4" t="s">
        <v>44</v>
      </c>
      <c r="B18" s="43">
        <f>IF(B14&gt;0,B15/B14,"")</f>
        <v>0.72315833333333335</v>
      </c>
      <c r="C18" s="43">
        <f t="shared" ref="C18:E18" si="1">IF(C14&gt;0,C15/C14,"")</f>
        <v>0.81045</v>
      </c>
      <c r="D18" s="43" t="str">
        <f t="shared" si="1"/>
        <v/>
      </c>
      <c r="E18" s="43">
        <f t="shared" si="1"/>
        <v>0.63586666666666669</v>
      </c>
      <c r="F18"/>
      <c r="G18" s="65"/>
      <c r="H18" s="65"/>
      <c r="I18" s="65"/>
      <c r="J18" s="65"/>
      <c r="K18" s="65"/>
      <c r="L18" s="65"/>
      <c r="M18" s="65"/>
      <c r="N18" s="109"/>
      <c r="O18" s="10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9"/>
      <c r="O19" s="109"/>
    </row>
    <row r="20" spans="1:15" x14ac:dyDescent="0.25">
      <c r="A20" s="108" t="s">
        <v>152</v>
      </c>
      <c r="B20" s="106" t="s">
        <v>1</v>
      </c>
      <c r="C20" s="106" t="s">
        <v>12</v>
      </c>
      <c r="D20" s="106" t="s">
        <v>11</v>
      </c>
      <c r="E20" s="106" t="s">
        <v>51</v>
      </c>
      <c r="F20"/>
      <c r="G20" s="65"/>
      <c r="H20" s="65"/>
      <c r="I20" s="65"/>
      <c r="J20" s="65"/>
      <c r="K20" s="65"/>
      <c r="L20" s="65"/>
      <c r="M20" s="65"/>
      <c r="N20" s="109"/>
      <c r="O20" s="109"/>
    </row>
    <row r="21" spans="1:15" x14ac:dyDescent="0.25">
      <c r="A21" s="87" t="s">
        <v>153</v>
      </c>
      <c r="B21" s="110">
        <f>SUM(C21:E21)</f>
        <v>3901.9259999999999</v>
      </c>
      <c r="C21" s="110">
        <f>C16*VLOOKUP($A21,$M$3:$N$37,2,FALSE)</f>
        <v>1950.963</v>
      </c>
      <c r="D21" s="110">
        <f t="shared" ref="D21:E21" si="2">D16*VLOOKUP($A21,$M$3:$N$37,2,FALSE)</f>
        <v>0</v>
      </c>
      <c r="E21" s="110">
        <f t="shared" si="2"/>
        <v>1950.963</v>
      </c>
      <c r="F21"/>
      <c r="G21" s="65"/>
      <c r="H21" s="65"/>
      <c r="I21" s="65"/>
      <c r="J21" s="65"/>
      <c r="K21" s="65"/>
      <c r="L21" s="65"/>
      <c r="M21" s="65"/>
      <c r="N21" s="109"/>
      <c r="O21" s="109"/>
    </row>
    <row r="22" spans="1:15" x14ac:dyDescent="0.25">
      <c r="A22" s="87" t="s">
        <v>151</v>
      </c>
      <c r="B22" s="110">
        <f t="shared" ref="B22:B24" si="3">SUM(C22:E22)</f>
        <v>3733.5</v>
      </c>
      <c r="C22" s="110">
        <f>SUMIFS($O$3:$O$37,$J$3:$J$37,C$20,$M$3:$M$37,$A22)</f>
        <v>2878.5</v>
      </c>
      <c r="D22" s="110">
        <f t="shared" ref="D22:E24" si="4">SUMIFS($O$3:$O$37,$J$3:$J$37,D$20,$M$3:$M$37,$A22)</f>
        <v>0</v>
      </c>
      <c r="E22" s="110">
        <f t="shared" si="4"/>
        <v>855</v>
      </c>
      <c r="F22"/>
      <c r="G22" s="65"/>
      <c r="H22" s="65"/>
      <c r="I22" s="65"/>
      <c r="J22" s="65"/>
      <c r="K22" s="65"/>
      <c r="L22" s="65"/>
      <c r="M22" s="65"/>
      <c r="N22" s="109"/>
      <c r="O22" s="109"/>
    </row>
    <row r="23" spans="1:15" x14ac:dyDescent="0.25">
      <c r="A23" s="87" t="s">
        <v>145</v>
      </c>
      <c r="B23" s="110">
        <f t="shared" si="3"/>
        <v>9319.14</v>
      </c>
      <c r="C23" s="110">
        <f t="shared" ref="C23:C24" si="5">SUMIFS($O$3:$O$37,$J$3:$J$37,C$20,$M$3:$M$37,$A23)</f>
        <v>4839.66</v>
      </c>
      <c r="D23" s="110">
        <f t="shared" si="4"/>
        <v>0</v>
      </c>
      <c r="E23" s="110">
        <f t="shared" si="4"/>
        <v>4479.4800000000005</v>
      </c>
      <c r="F23"/>
      <c r="G23" s="65"/>
      <c r="H23" s="65"/>
      <c r="I23" s="65"/>
      <c r="J23" s="65"/>
      <c r="K23" s="65"/>
      <c r="L23" s="65"/>
      <c r="M23" s="65"/>
      <c r="N23" s="109"/>
      <c r="O23" s="109"/>
    </row>
    <row r="24" spans="1:15" x14ac:dyDescent="0.25">
      <c r="A24" s="87" t="s">
        <v>154</v>
      </c>
      <c r="B24" s="110">
        <f t="shared" si="3"/>
        <v>0</v>
      </c>
      <c r="C24" s="110">
        <f t="shared" si="5"/>
        <v>0</v>
      </c>
      <c r="D24" s="110">
        <f t="shared" si="4"/>
        <v>0</v>
      </c>
      <c r="E24" s="11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9"/>
      <c r="O24" s="109"/>
    </row>
    <row r="25" spans="1:15" x14ac:dyDescent="0.25">
      <c r="A25" s="107" t="s">
        <v>1</v>
      </c>
      <c r="B25" s="110">
        <f>SUM(B21:B24)</f>
        <v>16954.565999999999</v>
      </c>
      <c r="C25" s="112">
        <f t="shared" ref="C25:E25" si="6">SUM(C21:C24)</f>
        <v>9669.1229999999996</v>
      </c>
      <c r="D25" s="112">
        <f t="shared" si="6"/>
        <v>0</v>
      </c>
      <c r="E25" s="112">
        <f t="shared" si="6"/>
        <v>7285.4430000000002</v>
      </c>
      <c r="F25"/>
      <c r="G25" s="65"/>
      <c r="H25" s="65"/>
      <c r="I25" s="65"/>
      <c r="J25" s="65"/>
      <c r="K25" s="65"/>
      <c r="L25" s="65"/>
      <c r="M25" s="65"/>
      <c r="N25" s="109"/>
      <c r="O25" s="109"/>
    </row>
    <row r="26" spans="1:15" x14ac:dyDescent="0.25">
      <c r="A26" s="107" t="s">
        <v>156</v>
      </c>
      <c r="B26" s="110">
        <f>IF(B16&gt;0,B25/B16,"")</f>
        <v>152.08125679472138</v>
      </c>
      <c r="C26" s="110">
        <f t="shared" ref="C26:E26" si="7">IF(C16&gt;0,C25/C16,"")</f>
        <v>173.46269765239012</v>
      </c>
      <c r="D26" s="110" t="str">
        <f t="shared" si="7"/>
        <v/>
      </c>
      <c r="E26" s="110">
        <f t="shared" si="7"/>
        <v>130.69981593705262</v>
      </c>
      <c r="F26"/>
      <c r="G26" s="65"/>
      <c r="H26" s="65"/>
      <c r="I26" s="65"/>
      <c r="J26" s="65"/>
      <c r="K26" s="65"/>
      <c r="L26" s="65"/>
      <c r="M26" s="65"/>
      <c r="N26" s="109"/>
      <c r="O26" s="10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9"/>
      <c r="O27" s="10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9"/>
      <c r="O28" s="109"/>
    </row>
    <row r="29" spans="1:15" x14ac:dyDescent="0.25">
      <c r="A29" t="s">
        <v>147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9"/>
      <c r="O29" s="109"/>
    </row>
    <row r="30" spans="1:15" x14ac:dyDescent="0.25">
      <c r="A30" t="s">
        <v>7</v>
      </c>
      <c r="B30">
        <v>1</v>
      </c>
      <c r="C30">
        <v>1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9"/>
      <c r="O30" s="109"/>
    </row>
    <row r="31" spans="1:15" x14ac:dyDescent="0.25">
      <c r="A31" t="s">
        <v>5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9"/>
      <c r="O31" s="109"/>
    </row>
    <row r="32" spans="1:15" x14ac:dyDescent="0.25">
      <c r="A32" t="s">
        <v>14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9"/>
      <c r="O32" s="109"/>
    </row>
    <row r="33" spans="1:15" x14ac:dyDescent="0.25">
      <c r="A33" t="s">
        <v>135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9"/>
      <c r="O33" s="109"/>
    </row>
    <row r="34" spans="1:15" x14ac:dyDescent="0.25">
      <c r="A34" t="s">
        <v>13</v>
      </c>
      <c r="B34">
        <v>1</v>
      </c>
      <c r="C34">
        <v>0</v>
      </c>
      <c r="D34">
        <v>0</v>
      </c>
      <c r="E34">
        <v>1</v>
      </c>
      <c r="G34" s="65"/>
      <c r="H34" s="65"/>
      <c r="I34" s="65"/>
      <c r="J34" s="65"/>
      <c r="K34" s="65"/>
      <c r="L34" s="65"/>
      <c r="M34" s="65"/>
      <c r="N34" s="109"/>
      <c r="O34" s="109"/>
    </row>
    <row r="35" spans="1:15" x14ac:dyDescent="0.25">
      <c r="A35" t="s">
        <v>15</v>
      </c>
      <c r="B35">
        <v>1</v>
      </c>
      <c r="C35">
        <v>0</v>
      </c>
      <c r="D35">
        <v>0</v>
      </c>
      <c r="E35">
        <v>1</v>
      </c>
      <c r="G35" s="65"/>
      <c r="H35" s="65"/>
      <c r="I35" s="65"/>
      <c r="J35" s="65"/>
      <c r="K35" s="65"/>
      <c r="L35" s="65"/>
      <c r="M35" s="65"/>
      <c r="N35" s="109"/>
      <c r="O35" s="109"/>
    </row>
    <row r="36" spans="1:15" x14ac:dyDescent="0.25">
      <c r="A36" t="s">
        <v>4</v>
      </c>
      <c r="B36">
        <v>3</v>
      </c>
      <c r="C36">
        <v>0</v>
      </c>
      <c r="D36">
        <v>0</v>
      </c>
      <c r="E36">
        <v>3</v>
      </c>
      <c r="G36" s="65"/>
      <c r="H36" s="65"/>
      <c r="I36" s="65"/>
      <c r="J36" s="65"/>
      <c r="K36" s="65"/>
      <c r="L36" s="65"/>
      <c r="M36" s="65"/>
      <c r="N36" s="109"/>
      <c r="O36" s="109"/>
    </row>
    <row r="37" spans="1:15" x14ac:dyDescent="0.25">
      <c r="A37" t="s">
        <v>6</v>
      </c>
      <c r="B37">
        <v>1</v>
      </c>
      <c r="C37">
        <v>0</v>
      </c>
      <c r="D37">
        <v>0</v>
      </c>
      <c r="E37">
        <v>1</v>
      </c>
      <c r="G37" s="65"/>
      <c r="H37" s="65"/>
      <c r="I37" s="65"/>
      <c r="J37" s="65"/>
      <c r="K37" s="65"/>
      <c r="L37" s="65"/>
      <c r="M37" s="65"/>
      <c r="N37" s="109"/>
      <c r="O37" s="109"/>
    </row>
  </sheetData>
  <sortState xmlns:xlrd2="http://schemas.microsoft.com/office/spreadsheetml/2017/richdata2" ref="G3:O16">
    <sortCondition ref="J3:J16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12.140625" style="1" bestFit="1" customWidth="1"/>
    <col min="8" max="8" width="9.140625" style="1" bestFit="1" customWidth="1"/>
    <col min="9" max="9" width="7.7109375" style="1" bestFit="1" customWidth="1"/>
    <col min="10" max="10" width="6.5703125" style="1" bestFit="1" customWidth="1"/>
    <col min="11" max="11" width="10.7109375" style="1" bestFit="1" customWidth="1"/>
    <col min="12" max="12" width="8" style="1" bestFit="1" customWidth="1"/>
    <col min="13" max="13" width="12.28515625" style="1" bestFit="1" customWidth="1"/>
    <col min="14" max="14" width="11.28515625" style="1" bestFit="1" customWidth="1"/>
    <col min="15" max="15" width="16.140625" style="1" bestFit="1" customWidth="1"/>
    <col min="16" max="16" width="16.57031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3554.3672999999999</v>
      </c>
      <c r="C8" s="8">
        <v>9158.09</v>
      </c>
      <c r="D8" s="8">
        <v>0</v>
      </c>
      <c r="E8" s="8">
        <v>0</v>
      </c>
      <c r="F8" s="8">
        <v>12712.4573</v>
      </c>
      <c r="G8"/>
    </row>
    <row r="9" spans="1:7" x14ac:dyDescent="0.25">
      <c r="A9" s="3" t="s">
        <v>29</v>
      </c>
      <c r="B9" s="8">
        <v>3554.3672999999999</v>
      </c>
      <c r="C9" s="8">
        <v>9158.09</v>
      </c>
      <c r="D9" s="8">
        <v>0</v>
      </c>
      <c r="E9" s="8">
        <v>0</v>
      </c>
      <c r="F9" s="8">
        <v>12712.4573</v>
      </c>
      <c r="G9"/>
    </row>
    <row r="10" spans="1:7" x14ac:dyDescent="0.25">
      <c r="A10" s="3" t="s">
        <v>30</v>
      </c>
      <c r="B10" s="8">
        <v>17320.926625000004</v>
      </c>
      <c r="C10" s="8">
        <v>9158.09</v>
      </c>
      <c r="D10" s="8">
        <v>1594.79</v>
      </c>
      <c r="E10" s="8">
        <v>14549.415000000005</v>
      </c>
      <c r="F10" s="8">
        <v>42623.221625000006</v>
      </c>
      <c r="G10"/>
    </row>
    <row r="11" spans="1:7" x14ac:dyDescent="0.25">
      <c r="A11" s="3" t="s">
        <v>31</v>
      </c>
      <c r="B11" s="8">
        <v>29080.996625</v>
      </c>
      <c r="C11" s="8">
        <v>9158.09</v>
      </c>
      <c r="D11" s="8">
        <v>3749.6400000000003</v>
      </c>
      <c r="E11" s="8">
        <v>21663.615000000005</v>
      </c>
      <c r="F11" s="8">
        <v>63652.341625000001</v>
      </c>
      <c r="G11"/>
    </row>
    <row r="12" spans="1:7" x14ac:dyDescent="0.25">
      <c r="A12" s="3" t="s">
        <v>32</v>
      </c>
      <c r="B12" s="8">
        <v>31620.036624999993</v>
      </c>
      <c r="C12" s="8">
        <v>10994.48</v>
      </c>
      <c r="D12" s="8">
        <v>3749.6400000000003</v>
      </c>
      <c r="E12" s="8">
        <v>21663.615000000005</v>
      </c>
      <c r="F12" s="8">
        <v>68027.771624999994</v>
      </c>
      <c r="G12"/>
    </row>
    <row r="13" spans="1:7" x14ac:dyDescent="0.25">
      <c r="A13" s="3" t="s">
        <v>33</v>
      </c>
      <c r="B13" s="8">
        <v>37140.526624999999</v>
      </c>
      <c r="C13" s="8">
        <v>16367.599999999999</v>
      </c>
      <c r="D13" s="8">
        <v>3749.6400000000003</v>
      </c>
      <c r="E13" s="8">
        <v>23777.455000000005</v>
      </c>
      <c r="F13" s="8">
        <v>81035.221625000006</v>
      </c>
      <c r="G13"/>
    </row>
    <row r="14" spans="1:7" x14ac:dyDescent="0.25">
      <c r="A14" s="3" t="s">
        <v>34</v>
      </c>
      <c r="B14" s="8">
        <v>39576.714124999991</v>
      </c>
      <c r="C14" s="8">
        <v>16367.599999999999</v>
      </c>
      <c r="D14" s="8">
        <v>4051.9549999999999</v>
      </c>
      <c r="E14" s="8">
        <v>26102.222500000011</v>
      </c>
      <c r="F14" s="8">
        <v>86098.491624999995</v>
      </c>
      <c r="G14"/>
    </row>
    <row r="15" spans="1:7" x14ac:dyDescent="0.25">
      <c r="A15" s="3" t="s">
        <v>35</v>
      </c>
      <c r="B15" s="8">
        <v>41240.793949999985</v>
      </c>
      <c r="C15" s="8">
        <v>16367.599999999999</v>
      </c>
      <c r="D15" s="8">
        <v>9116.2960000000003</v>
      </c>
      <c r="E15" s="8">
        <v>27183.380000000012</v>
      </c>
      <c r="F15" s="8">
        <v>93908.069950000005</v>
      </c>
      <c r="G15"/>
    </row>
    <row r="16" spans="1:7" x14ac:dyDescent="0.25">
      <c r="A16" s="3" t="s">
        <v>36</v>
      </c>
      <c r="B16" s="8">
        <v>42016.543949999985</v>
      </c>
      <c r="C16" s="8">
        <v>16367.599999999999</v>
      </c>
      <c r="D16" s="8">
        <v>9116.2960000000003</v>
      </c>
      <c r="E16" s="8">
        <v>29129.560000000016</v>
      </c>
      <c r="F16" s="8">
        <v>96629.999949999998</v>
      </c>
      <c r="G16"/>
    </row>
    <row r="17" spans="1:23" x14ac:dyDescent="0.25">
      <c r="A17" s="3" t="s">
        <v>37</v>
      </c>
      <c r="B17" s="8">
        <v>50425.433950000021</v>
      </c>
      <c r="C17" s="8">
        <v>16367.599999999999</v>
      </c>
      <c r="D17" s="8">
        <v>10092.076000000001</v>
      </c>
      <c r="E17" s="8">
        <v>29862.880000000012</v>
      </c>
      <c r="F17" s="8">
        <v>106747.98995000002</v>
      </c>
      <c r="G17"/>
    </row>
    <row r="18" spans="1:23" x14ac:dyDescent="0.25">
      <c r="A18" s="3" t="s">
        <v>38</v>
      </c>
      <c r="B18" s="8">
        <v>61002.108950000009</v>
      </c>
      <c r="C18" s="8">
        <v>17471.739999999998</v>
      </c>
      <c r="D18" s="8">
        <v>13014.736000000001</v>
      </c>
      <c r="E18" s="8">
        <v>40726.680000000008</v>
      </c>
      <c r="F18" s="8">
        <v>132215.26495000004</v>
      </c>
      <c r="G18"/>
    </row>
    <row r="19" spans="1:23" x14ac:dyDescent="0.25">
      <c r="A19" s="3" t="s">
        <v>39</v>
      </c>
      <c r="B19" s="8">
        <v>66538.632600000026</v>
      </c>
      <c r="C19" s="8">
        <v>17471.739999999998</v>
      </c>
      <c r="D19" s="8">
        <v>14966.296000000002</v>
      </c>
      <c r="E19" s="8">
        <v>40726.680000000008</v>
      </c>
      <c r="F19" s="8">
        <v>139703.34860000003</v>
      </c>
      <c r="G19"/>
    </row>
    <row r="20" spans="1:23" x14ac:dyDescent="0.25">
      <c r="A20" s="3" t="s">
        <v>40</v>
      </c>
      <c r="B20" s="8">
        <v>67191.312600000019</v>
      </c>
      <c r="C20" s="8">
        <v>17471.739999999998</v>
      </c>
      <c r="D20" s="8">
        <v>15198.366000000002</v>
      </c>
      <c r="E20" s="8">
        <v>40826.040000000008</v>
      </c>
      <c r="F20" s="8">
        <v>140687.45860000004</v>
      </c>
      <c r="G20"/>
    </row>
    <row r="21" spans="1:23" x14ac:dyDescent="0.25">
      <c r="A21" s="3" t="s">
        <v>41</v>
      </c>
      <c r="B21" s="8">
        <v>69879.11460000003</v>
      </c>
      <c r="C21" s="8">
        <v>17471.739999999998</v>
      </c>
      <c r="D21" s="8">
        <v>15502.796000000002</v>
      </c>
      <c r="E21" s="8">
        <v>42943.089999999982</v>
      </c>
      <c r="F21" s="8">
        <v>145796.74060000002</v>
      </c>
      <c r="G21"/>
    </row>
    <row r="22" spans="1:23" x14ac:dyDescent="0.25">
      <c r="A22" s="3" t="s">
        <v>42</v>
      </c>
      <c r="B22" s="8">
        <v>69879.11460000003</v>
      </c>
      <c r="C22" s="8">
        <v>17471.739999999998</v>
      </c>
      <c r="D22" s="8">
        <v>15502.796000000002</v>
      </c>
      <c r="E22" s="8">
        <v>42943.089999999982</v>
      </c>
      <c r="F22" s="8">
        <v>145796.74060000002</v>
      </c>
      <c r="G22"/>
    </row>
    <row r="23" spans="1:23" x14ac:dyDescent="0.25">
      <c r="A23" s="3" t="s">
        <v>43</v>
      </c>
      <c r="B23" s="8">
        <v>69879.11460000003</v>
      </c>
      <c r="C23" s="8">
        <v>17471.739999999998</v>
      </c>
      <c r="D23" s="8">
        <v>15502.796000000002</v>
      </c>
      <c r="E23" s="8">
        <v>42943.089999999982</v>
      </c>
      <c r="F23" s="8">
        <v>145796.74060000002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147</v>
      </c>
      <c r="G31" t="s">
        <v>15</v>
      </c>
      <c r="H31" t="s">
        <v>4</v>
      </c>
      <c r="I31" t="s">
        <v>7</v>
      </c>
      <c r="J31" t="s">
        <v>5</v>
      </c>
      <c r="K31" t="s">
        <v>14</v>
      </c>
      <c r="L31" t="s">
        <v>6</v>
      </c>
      <c r="M31" t="s">
        <v>135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9158.09</v>
      </c>
      <c r="D33" s="8">
        <v>3554.3672999999999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12712.4573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9158.09</v>
      </c>
      <c r="D34" s="8">
        <v>3554.3672999999999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12712.4573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1594.79</v>
      </c>
      <c r="C35" s="8">
        <v>9158.09</v>
      </c>
      <c r="D35" s="8">
        <v>4442.9591250000003</v>
      </c>
      <c r="E35" s="8">
        <v>2807.0724999999989</v>
      </c>
      <c r="F35" s="8">
        <v>1154.1724999999999</v>
      </c>
      <c r="G35" s="8">
        <v>1366.6550000000002</v>
      </c>
      <c r="H35" s="8">
        <v>9295.6949999999997</v>
      </c>
      <c r="I35" s="8">
        <v>2412.9700000000003</v>
      </c>
      <c r="J35" s="8">
        <v>1344.7950000000001</v>
      </c>
      <c r="K35" s="8">
        <v>5041.4424999999992</v>
      </c>
      <c r="L35" s="8">
        <v>1079.9925000000001</v>
      </c>
      <c r="M35" s="8">
        <v>2924.5874999999996</v>
      </c>
      <c r="N35" s="8">
        <v>42623.221624999998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3749.6400000000003</v>
      </c>
      <c r="C36" s="8">
        <v>9158.09</v>
      </c>
      <c r="D36" s="8">
        <v>4908.6491249999999</v>
      </c>
      <c r="E36" s="8">
        <v>4442.0825000000004</v>
      </c>
      <c r="F36" s="8">
        <v>2582.1125000000002</v>
      </c>
      <c r="G36" s="8">
        <v>2111.0250000000001</v>
      </c>
      <c r="H36" s="8">
        <v>13758.355</v>
      </c>
      <c r="I36" s="8">
        <v>10770.869999999999</v>
      </c>
      <c r="J36" s="8">
        <v>1638.3350000000005</v>
      </c>
      <c r="K36" s="8">
        <v>5752.9424999999992</v>
      </c>
      <c r="L36" s="8">
        <v>1352.1524999999999</v>
      </c>
      <c r="M36" s="8">
        <v>3428.0874999999996</v>
      </c>
      <c r="N36" s="8">
        <v>63652.341624999994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3749.6400000000003</v>
      </c>
      <c r="C37" s="8">
        <v>10994.48</v>
      </c>
      <c r="D37" s="8">
        <v>7447.6891249999999</v>
      </c>
      <c r="E37" s="8">
        <v>4442.0825000000004</v>
      </c>
      <c r="F37" s="8">
        <v>2582.1125000000002</v>
      </c>
      <c r="G37" s="8">
        <v>2111.0250000000001</v>
      </c>
      <c r="H37" s="8">
        <v>13758.355</v>
      </c>
      <c r="I37" s="8">
        <v>10770.869999999999</v>
      </c>
      <c r="J37" s="8">
        <v>1638.3350000000005</v>
      </c>
      <c r="K37" s="8">
        <v>5752.9424999999992</v>
      </c>
      <c r="L37" s="8">
        <v>1352.1524999999999</v>
      </c>
      <c r="M37" s="8">
        <v>3428.0874999999996</v>
      </c>
      <c r="N37" s="8">
        <v>68027.771624999979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3749.6400000000003</v>
      </c>
      <c r="C38" s="8">
        <v>16367.599999999999</v>
      </c>
      <c r="D38" s="8">
        <v>7447.6891249999999</v>
      </c>
      <c r="E38" s="8">
        <v>4640.0625</v>
      </c>
      <c r="F38" s="8">
        <v>2721.0525000000002</v>
      </c>
      <c r="G38" s="8">
        <v>2288.7349999999997</v>
      </c>
      <c r="H38" s="8">
        <v>15339.064999999999</v>
      </c>
      <c r="I38" s="8">
        <v>14177.14</v>
      </c>
      <c r="J38" s="8">
        <v>1868.5950000000005</v>
      </c>
      <c r="K38" s="8">
        <v>6901.4624999999996</v>
      </c>
      <c r="L38" s="8">
        <v>1509.5925</v>
      </c>
      <c r="M38" s="8">
        <v>4024.5874999999996</v>
      </c>
      <c r="N38" s="8">
        <v>81035.221624999991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4051.9549999999999</v>
      </c>
      <c r="C39" s="8">
        <v>16367.599999999999</v>
      </c>
      <c r="D39" s="8">
        <v>7447.6891249999999</v>
      </c>
      <c r="E39" s="8">
        <v>4911.3075000000008</v>
      </c>
      <c r="F39" s="8">
        <v>2924.5550000000003</v>
      </c>
      <c r="G39" s="8">
        <v>2536.6999999999998</v>
      </c>
      <c r="H39" s="8">
        <v>16883.599999999999</v>
      </c>
      <c r="I39" s="8">
        <v>14660.14</v>
      </c>
      <c r="J39" s="8">
        <v>2166.1400000000003</v>
      </c>
      <c r="K39" s="8">
        <v>7785.4249999999993</v>
      </c>
      <c r="L39" s="8">
        <v>1770.6150000000002</v>
      </c>
      <c r="M39" s="8">
        <v>4592.7650000000003</v>
      </c>
      <c r="N39" s="8">
        <v>86098.491624999995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9116.2960000000003</v>
      </c>
      <c r="C40" s="8">
        <v>16367.599999999999</v>
      </c>
      <c r="D40" s="8">
        <v>8439.2009500000004</v>
      </c>
      <c r="E40" s="8">
        <v>5488.9250000000011</v>
      </c>
      <c r="F40" s="8">
        <v>2990.1750000000002</v>
      </c>
      <c r="G40" s="8">
        <v>2652.8999999999996</v>
      </c>
      <c r="H40" s="8">
        <v>17232.2</v>
      </c>
      <c r="I40" s="8">
        <v>14957.188</v>
      </c>
      <c r="J40" s="8">
        <v>2243.62</v>
      </c>
      <c r="K40" s="8">
        <v>7940.3649999999998</v>
      </c>
      <c r="L40" s="8">
        <v>1809.3550000000002</v>
      </c>
      <c r="M40" s="8">
        <v>4670.2449999999999</v>
      </c>
      <c r="N40" s="8">
        <v>93908.06994999999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9116.2960000000003</v>
      </c>
      <c r="C41" s="8">
        <v>16367.599999999999</v>
      </c>
      <c r="D41" s="8">
        <v>8439.2009500000004</v>
      </c>
      <c r="E41" s="8">
        <v>7435.1050000000014</v>
      </c>
      <c r="F41" s="8">
        <v>3765.9250000000002</v>
      </c>
      <c r="G41" s="8">
        <v>2652.8999999999996</v>
      </c>
      <c r="H41" s="8">
        <v>17232.2</v>
      </c>
      <c r="I41" s="8">
        <v>14957.188</v>
      </c>
      <c r="J41" s="8">
        <v>2243.62</v>
      </c>
      <c r="K41" s="8">
        <v>7940.3649999999998</v>
      </c>
      <c r="L41" s="8">
        <v>1809.3550000000002</v>
      </c>
      <c r="M41" s="8">
        <v>4670.2449999999999</v>
      </c>
      <c r="N41" s="8">
        <v>96629.999949999998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10092.076000000001</v>
      </c>
      <c r="C42" s="8">
        <v>16367.599999999999</v>
      </c>
      <c r="D42" s="8">
        <v>8439.2009500000004</v>
      </c>
      <c r="E42" s="8">
        <v>8168.4250000000011</v>
      </c>
      <c r="F42" s="8">
        <v>4377.0349999999999</v>
      </c>
      <c r="G42" s="8">
        <v>2652.8999999999996</v>
      </c>
      <c r="H42" s="8">
        <v>17232.2</v>
      </c>
      <c r="I42" s="8">
        <v>22754.968000000001</v>
      </c>
      <c r="J42" s="8">
        <v>2243.62</v>
      </c>
      <c r="K42" s="8">
        <v>7940.3649999999998</v>
      </c>
      <c r="L42" s="8">
        <v>1809.3550000000002</v>
      </c>
      <c r="M42" s="8">
        <v>4670.2449999999999</v>
      </c>
      <c r="N42" s="8">
        <v>106747.98994999999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13014.736000000001</v>
      </c>
      <c r="C43" s="8">
        <v>17471.739999999998</v>
      </c>
      <c r="D43" s="8">
        <v>8695.0809499999996</v>
      </c>
      <c r="E43" s="8">
        <v>13848.979999999998</v>
      </c>
      <c r="F43" s="8">
        <v>7632.61</v>
      </c>
      <c r="G43" s="8">
        <v>3508.38</v>
      </c>
      <c r="H43" s="8">
        <v>21011.050000000007</v>
      </c>
      <c r="I43" s="8">
        <v>25396.647999999997</v>
      </c>
      <c r="J43" s="8">
        <v>2867.7</v>
      </c>
      <c r="K43" s="8">
        <v>10553.76</v>
      </c>
      <c r="L43" s="8">
        <v>2358.27</v>
      </c>
      <c r="M43" s="8">
        <v>5856.31</v>
      </c>
      <c r="N43" s="8">
        <v>132215.26495000001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14966.296000000002</v>
      </c>
      <c r="C44" s="8">
        <v>17471.739999999998</v>
      </c>
      <c r="D44" s="8">
        <v>10472.264599999999</v>
      </c>
      <c r="E44" s="8">
        <v>13848.979999999998</v>
      </c>
      <c r="F44" s="8">
        <v>7632.61</v>
      </c>
      <c r="G44" s="8">
        <v>3508.38</v>
      </c>
      <c r="H44" s="8">
        <v>21011.050000000007</v>
      </c>
      <c r="I44" s="8">
        <v>29155.98799999999</v>
      </c>
      <c r="J44" s="8">
        <v>2867.7</v>
      </c>
      <c r="K44" s="8">
        <v>10553.76</v>
      </c>
      <c r="L44" s="8">
        <v>2358.27</v>
      </c>
      <c r="M44" s="8">
        <v>5856.31</v>
      </c>
      <c r="N44" s="8">
        <v>139703.34859999997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15198.366000000002</v>
      </c>
      <c r="C45" s="8">
        <v>17471.739999999998</v>
      </c>
      <c r="D45" s="8">
        <v>10472.264599999999</v>
      </c>
      <c r="E45" s="8">
        <v>13848.979999999998</v>
      </c>
      <c r="F45" s="8">
        <v>7632.61</v>
      </c>
      <c r="G45" s="8">
        <v>3508.38</v>
      </c>
      <c r="H45" s="8">
        <v>21110.410000000007</v>
      </c>
      <c r="I45" s="8">
        <v>29808.667999999991</v>
      </c>
      <c r="J45" s="8">
        <v>2867.7</v>
      </c>
      <c r="K45" s="8">
        <v>10553.76</v>
      </c>
      <c r="L45" s="8">
        <v>2358.27</v>
      </c>
      <c r="M45" s="8">
        <v>5856.31</v>
      </c>
      <c r="N45" s="8">
        <v>140687.45859999998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15502.796000000002</v>
      </c>
      <c r="C46" s="8">
        <v>17471.739999999998</v>
      </c>
      <c r="D46" s="8">
        <v>11155.304600000001</v>
      </c>
      <c r="E46" s="8">
        <v>14364.229999999998</v>
      </c>
      <c r="F46" s="8">
        <v>8099.47</v>
      </c>
      <c r="G46" s="8">
        <v>3666.7799999999997</v>
      </c>
      <c r="H46" s="8">
        <v>22296.510000000002</v>
      </c>
      <c r="I46" s="8">
        <v>30291.449999999997</v>
      </c>
      <c r="J46" s="8">
        <v>3049.2400000000007</v>
      </c>
      <c r="K46" s="8">
        <v>11085.470000000001</v>
      </c>
      <c r="L46" s="8">
        <v>2615.5700000000002</v>
      </c>
      <c r="M46" s="8">
        <v>6198.1799999999994</v>
      </c>
      <c r="N46" s="8">
        <v>145796.74059999999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15502.796000000002</v>
      </c>
      <c r="C47" s="8">
        <v>17471.739999999998</v>
      </c>
      <c r="D47" s="8">
        <v>11155.304600000001</v>
      </c>
      <c r="E47" s="8">
        <v>14364.229999999998</v>
      </c>
      <c r="F47" s="8">
        <v>8099.47</v>
      </c>
      <c r="G47" s="8">
        <v>3666.7799999999997</v>
      </c>
      <c r="H47" s="8">
        <v>22296.510000000002</v>
      </c>
      <c r="I47" s="8">
        <v>30291.449999999997</v>
      </c>
      <c r="J47" s="8">
        <v>3049.2400000000007</v>
      </c>
      <c r="K47" s="8">
        <v>11085.470000000001</v>
      </c>
      <c r="L47" s="8">
        <v>2615.5700000000002</v>
      </c>
      <c r="M47" s="8">
        <v>6198.1799999999994</v>
      </c>
      <c r="N47" s="8">
        <v>145796.74059999999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15502.796000000002</v>
      </c>
      <c r="C48" s="8">
        <v>17471.739999999998</v>
      </c>
      <c r="D48" s="8">
        <v>11155.304600000001</v>
      </c>
      <c r="E48" s="8">
        <v>14364.229999999998</v>
      </c>
      <c r="F48" s="8">
        <v>8099.47</v>
      </c>
      <c r="G48" s="8">
        <v>3666.7799999999997</v>
      </c>
      <c r="H48" s="8">
        <v>22296.510000000002</v>
      </c>
      <c r="I48" s="8">
        <v>30291.449999999997</v>
      </c>
      <c r="J48" s="8">
        <v>3049.2400000000007</v>
      </c>
      <c r="K48" s="8">
        <v>11085.470000000001</v>
      </c>
      <c r="L48" s="8">
        <v>2615.5700000000002</v>
      </c>
      <c r="M48" s="8">
        <v>6198.1799999999994</v>
      </c>
      <c r="N48" s="8">
        <v>145796.74059999999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25" t="s">
        <v>162</v>
      </c>
      <c r="B1" s="125"/>
      <c r="C1" s="125"/>
      <c r="D1" s="125"/>
      <c r="E1" s="125"/>
      <c r="F1" s="125"/>
      <c r="G1" s="125"/>
      <c r="H1" s="125"/>
      <c r="I1" s="125"/>
      <c r="K1" s="126" t="s">
        <v>165</v>
      </c>
      <c r="L1" s="127"/>
      <c r="M1" s="128" t="s">
        <v>164</v>
      </c>
      <c r="N1" s="128"/>
      <c r="O1" s="113" t="s">
        <v>166</v>
      </c>
    </row>
    <row r="2" spans="1:18" ht="30" customHeight="1" x14ac:dyDescent="0.25">
      <c r="A2" s="125"/>
      <c r="B2" s="125"/>
      <c r="C2" s="125"/>
      <c r="D2" s="125"/>
      <c r="E2" s="125"/>
      <c r="F2" s="125"/>
      <c r="G2" s="125"/>
      <c r="H2" s="125"/>
      <c r="I2" s="125"/>
      <c r="L2" s="129" t="s">
        <v>140</v>
      </c>
      <c r="M2" s="129"/>
      <c r="N2" s="129"/>
    </row>
    <row r="3" spans="1:18" ht="15" customHeight="1" x14ac:dyDescent="0.25">
      <c r="A3" s="72" t="s">
        <v>133</v>
      </c>
      <c r="B3" s="73" t="s">
        <v>146</v>
      </c>
      <c r="C3" s="72"/>
      <c r="D3" s="150" t="s">
        <v>618</v>
      </c>
      <c r="E3" s="150"/>
      <c r="F3" s="150"/>
      <c r="G3" s="150"/>
      <c r="H3" s="150"/>
      <c r="I3" s="150"/>
      <c r="J3" s="99"/>
      <c r="L3" s="130" t="s">
        <v>107</v>
      </c>
      <c r="M3" s="132" t="s">
        <v>111</v>
      </c>
      <c r="N3" s="132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51" t="s">
        <v>107</v>
      </c>
      <c r="E4" s="152" t="s">
        <v>12</v>
      </c>
      <c r="F4" s="152" t="s">
        <v>26</v>
      </c>
      <c r="G4" s="152" t="s">
        <v>27</v>
      </c>
      <c r="H4" s="152" t="s">
        <v>51</v>
      </c>
      <c r="I4" s="152" t="s">
        <v>28</v>
      </c>
      <c r="J4" s="100"/>
      <c r="L4" s="131"/>
      <c r="M4" s="78" t="s">
        <v>620</v>
      </c>
      <c r="N4" s="77" t="s">
        <v>137</v>
      </c>
      <c r="O4" s="74"/>
      <c r="P4" s="73" t="s">
        <v>107</v>
      </c>
      <c r="Q4" s="73" t="s">
        <v>111</v>
      </c>
      <c r="R4" s="73" t="s">
        <v>137</v>
      </c>
    </row>
    <row r="5" spans="1:18" x14ac:dyDescent="0.25">
      <c r="A5" s="71" t="s">
        <v>105</v>
      </c>
      <c r="B5" s="75" t="s">
        <v>61</v>
      </c>
      <c r="D5" s="153">
        <v>-0.9</v>
      </c>
      <c r="E5" s="154">
        <v>0</v>
      </c>
      <c r="F5" s="154">
        <v>0</v>
      </c>
      <c r="G5" s="154">
        <v>0</v>
      </c>
      <c r="H5" s="154">
        <v>0</v>
      </c>
      <c r="I5" s="154">
        <v>0</v>
      </c>
      <c r="J5" s="102"/>
      <c r="L5" s="79">
        <f>D5</f>
        <v>-0.9</v>
      </c>
      <c r="M5" s="80">
        <f>(E5+F5+G5/2)*$B$9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=(E5+F5+G5/2)*$B$9</v>
      </c>
      <c r="R5" s="82" t="str">
        <f ca="1">_xlfn.FORMULATEXT(N5)</f>
        <v>=M5/$B$7</v>
      </c>
    </row>
    <row r="6" spans="1:18" x14ac:dyDescent="0.25">
      <c r="A6" s="71" t="s">
        <v>106</v>
      </c>
      <c r="B6" s="75" t="s">
        <v>12</v>
      </c>
      <c r="D6" s="153">
        <v>-0.46</v>
      </c>
      <c r="E6" s="154">
        <v>3554.3672999999999</v>
      </c>
      <c r="F6" s="154">
        <v>9158.09</v>
      </c>
      <c r="G6" s="154">
        <v>0</v>
      </c>
      <c r="H6" s="154">
        <v>0</v>
      </c>
      <c r="I6" s="154">
        <v>12712.4573</v>
      </c>
      <c r="J6" s="102"/>
      <c r="L6" s="79">
        <f t="shared" ref="L6:L21" si="0">D6</f>
        <v>-0.46</v>
      </c>
      <c r="M6" s="80">
        <f t="shared" ref="M6:M7" si="1">(E6+F6+G6/2)*$B$9</f>
        <v>12712.4573</v>
      </c>
      <c r="N6" s="80">
        <f t="shared" ref="N6:N21" si="2">M6/$B$7</f>
        <v>228.05968411497298</v>
      </c>
      <c r="O6" s="81"/>
      <c r="P6" s="82" t="str">
        <f t="shared" ref="P6:P21" ca="1" si="3">_xlfn.FORMULATEXT(L6)</f>
        <v>=D6</v>
      </c>
      <c r="Q6" s="82" t="str">
        <f t="shared" ref="Q6:Q21" ca="1" si="4">_xlfn.FORMULATEXT(M6)</f>
        <v>=(E6+F6+G6/2)*$B$9</v>
      </c>
      <c r="R6" s="82" t="str">
        <f t="shared" ref="R6:R21" ca="1" si="5">_xlfn.FORMULATEXT(N6)</f>
        <v>=M6/$B$7</v>
      </c>
    </row>
    <row r="7" spans="1:18" x14ac:dyDescent="0.25">
      <c r="A7" s="71" t="s">
        <v>138</v>
      </c>
      <c r="B7" s="84">
        <f>GFAcell</f>
        <v>55.741799999999998</v>
      </c>
      <c r="D7" s="153">
        <v>0</v>
      </c>
      <c r="E7" s="154">
        <v>3554.3672999999999</v>
      </c>
      <c r="F7" s="154">
        <v>9158.09</v>
      </c>
      <c r="G7" s="154">
        <v>0</v>
      </c>
      <c r="H7" s="154">
        <v>0</v>
      </c>
      <c r="I7" s="154">
        <v>12712.4573</v>
      </c>
      <c r="J7" s="102"/>
      <c r="L7" s="79">
        <f t="shared" si="0"/>
        <v>0</v>
      </c>
      <c r="M7" s="80">
        <f t="shared" si="1"/>
        <v>12712.4573</v>
      </c>
      <c r="N7" s="80">
        <f t="shared" si="2"/>
        <v>228.05968411497298</v>
      </c>
      <c r="O7" s="81"/>
      <c r="P7" s="82" t="str">
        <f t="shared" ca="1" si="3"/>
        <v>=D7</v>
      </c>
      <c r="Q7" s="82" t="str">
        <f t="shared" ca="1" si="4"/>
        <v>=(E7+F7+G7/2)*$B$9</v>
      </c>
      <c r="R7" s="82" t="str">
        <f t="shared" ca="1" si="5"/>
        <v>=M7/$B$7</v>
      </c>
    </row>
    <row r="8" spans="1:18" x14ac:dyDescent="0.25">
      <c r="A8" s="71" t="s">
        <v>134</v>
      </c>
      <c r="B8" s="75" t="s">
        <v>143</v>
      </c>
      <c r="D8" s="153">
        <v>0.03</v>
      </c>
      <c r="E8" s="154">
        <v>17320.926625000004</v>
      </c>
      <c r="F8" s="154">
        <v>9158.09</v>
      </c>
      <c r="G8" s="154">
        <v>1594.79</v>
      </c>
      <c r="H8" s="154">
        <v>14549.415000000005</v>
      </c>
      <c r="I8" s="154">
        <v>42623.221625000006</v>
      </c>
      <c r="J8" s="102"/>
      <c r="L8" s="79">
        <f t="shared" si="0"/>
        <v>0.03</v>
      </c>
      <c r="M8" s="80">
        <f>(E8+F8+G8/2+$B$17)*$B$9</f>
        <v>36945.534625</v>
      </c>
      <c r="N8" s="80">
        <f t="shared" si="2"/>
        <v>662.79766037336435</v>
      </c>
      <c r="O8" s="81"/>
      <c r="P8" s="82" t="str">
        <f t="shared" ca="1" si="3"/>
        <v>=D8</v>
      </c>
      <c r="Q8" s="82" t="str">
        <f t="shared" ca="1" si="4"/>
        <v>=(E8+F8+G8/2+$B$17)*$B$9</v>
      </c>
      <c r="R8" s="82" t="str">
        <f t="shared" ca="1" si="5"/>
        <v>=M8/$B$7</v>
      </c>
    </row>
    <row r="9" spans="1:18" x14ac:dyDescent="0.25">
      <c r="A9" s="71" t="s">
        <v>127</v>
      </c>
      <c r="B9" s="75">
        <v>1</v>
      </c>
      <c r="D9" s="153">
        <v>0.05</v>
      </c>
      <c r="E9" s="154">
        <v>29080.996625</v>
      </c>
      <c r="F9" s="154">
        <v>9158.09</v>
      </c>
      <c r="G9" s="154">
        <v>3749.6400000000003</v>
      </c>
      <c r="H9" s="154">
        <v>21663.615000000005</v>
      </c>
      <c r="I9" s="154">
        <v>63652.341625000001</v>
      </c>
      <c r="J9" s="102"/>
      <c r="L9" s="79">
        <f t="shared" si="0"/>
        <v>0.05</v>
      </c>
      <c r="M9" s="80">
        <f t="shared" ref="M9:M21" si="6">(E9+F9+G9/2+$B$17)*$B$9</f>
        <v>49783.029624999996</v>
      </c>
      <c r="N9" s="80">
        <f t="shared" si="2"/>
        <v>893.1005031233293</v>
      </c>
      <c r="O9" s="81"/>
      <c r="P9" s="82" t="str">
        <f t="shared" ca="1" si="3"/>
        <v>=D9</v>
      </c>
      <c r="Q9" s="82" t="str">
        <f t="shared" ca="1" si="4"/>
        <v>=(E9+F9+G9/2+$B$17)*$B$9</v>
      </c>
      <c r="R9" s="82" t="str">
        <f t="shared" ca="1" si="5"/>
        <v>=M9/$B$7</v>
      </c>
    </row>
    <row r="10" spans="1:18" x14ac:dyDescent="0.25">
      <c r="A10" s="71" t="s">
        <v>95</v>
      </c>
      <c r="B10" s="85" t="b">
        <f>(E21+F21+G21/2+B17)*B9=M21</f>
        <v>1</v>
      </c>
      <c r="D10" s="153">
        <v>0.1</v>
      </c>
      <c r="E10" s="154">
        <v>31620.036624999993</v>
      </c>
      <c r="F10" s="154">
        <v>10994.48</v>
      </c>
      <c r="G10" s="154">
        <v>3749.6400000000003</v>
      </c>
      <c r="H10" s="154">
        <v>21663.615000000005</v>
      </c>
      <c r="I10" s="154">
        <v>68027.771624999994</v>
      </c>
      <c r="J10" s="102"/>
      <c r="L10" s="79">
        <f t="shared" si="0"/>
        <v>0.1</v>
      </c>
      <c r="M10" s="80">
        <f t="shared" si="6"/>
        <v>54158.459624999989</v>
      </c>
      <c r="N10" s="80">
        <f t="shared" si="2"/>
        <v>971.59509784398767</v>
      </c>
      <c r="O10" s="81"/>
      <c r="P10" s="82" t="str">
        <f t="shared" ca="1" si="3"/>
        <v>=D10</v>
      </c>
      <c r="Q10" s="82" t="str">
        <f t="shared" ca="1" si="4"/>
        <v>=(E10+F10+G10/2+$B$17)*$B$9</v>
      </c>
      <c r="R10" s="82" t="str">
        <f t="shared" ca="1" si="5"/>
        <v>=M10/$B$7</v>
      </c>
    </row>
    <row r="11" spans="1:18" x14ac:dyDescent="0.25">
      <c r="D11" s="153">
        <v>0.15</v>
      </c>
      <c r="E11" s="154">
        <v>37140.526624999999</v>
      </c>
      <c r="F11" s="154">
        <v>16367.599999999999</v>
      </c>
      <c r="G11" s="154">
        <v>3749.6400000000003</v>
      </c>
      <c r="H11" s="154">
        <v>23777.455000000005</v>
      </c>
      <c r="I11" s="154">
        <v>81035.221625000006</v>
      </c>
      <c r="J11" s="102"/>
      <c r="L11" s="79">
        <f t="shared" si="0"/>
        <v>0.15</v>
      </c>
      <c r="M11" s="80">
        <f t="shared" si="6"/>
        <v>65052.069624999996</v>
      </c>
      <c r="N11" s="80">
        <f t="shared" si="2"/>
        <v>1167.0249189118399</v>
      </c>
      <c r="O11" s="81"/>
      <c r="P11" s="82" t="str">
        <f t="shared" ca="1" si="3"/>
        <v>=D11</v>
      </c>
      <c r="Q11" s="82" t="str">
        <f t="shared" ca="1" si="4"/>
        <v>=(E11+F11+G11/2+$B$17)*$B$9</v>
      </c>
      <c r="R11" s="82" t="str">
        <f t="shared" ca="1" si="5"/>
        <v>=M11/$B$7</v>
      </c>
    </row>
    <row r="12" spans="1:18" x14ac:dyDescent="0.25">
      <c r="A12" s="71" t="s">
        <v>108</v>
      </c>
      <c r="B12" s="75" t="s">
        <v>144</v>
      </c>
      <c r="D12" s="153">
        <v>0.3</v>
      </c>
      <c r="E12" s="154">
        <v>39576.714124999991</v>
      </c>
      <c r="F12" s="154">
        <v>16367.599999999999</v>
      </c>
      <c r="G12" s="154">
        <v>4051.9549999999999</v>
      </c>
      <c r="H12" s="154">
        <v>26102.222500000011</v>
      </c>
      <c r="I12" s="154">
        <v>86098.491624999995</v>
      </c>
      <c r="J12" s="102"/>
      <c r="L12" s="79">
        <f t="shared" si="0"/>
        <v>0.3</v>
      </c>
      <c r="M12" s="80">
        <f t="shared" si="6"/>
        <v>67639.41462499999</v>
      </c>
      <c r="N12" s="80">
        <f t="shared" si="2"/>
        <v>1213.4415218920092</v>
      </c>
      <c r="O12" s="81"/>
      <c r="P12" s="82" t="str">
        <f t="shared" ca="1" si="3"/>
        <v>=D12</v>
      </c>
      <c r="Q12" s="82" t="str">
        <f t="shared" ca="1" si="4"/>
        <v>=(E12+F12+G12/2+$B$17)*$B$9</v>
      </c>
      <c r="R12" s="82" t="str">
        <f t="shared" ca="1" si="5"/>
        <v>=M12/$B$7</v>
      </c>
    </row>
    <row r="13" spans="1:18" x14ac:dyDescent="0.25">
      <c r="A13" s="71" t="s">
        <v>109</v>
      </c>
      <c r="B13" s="75" t="s">
        <v>144</v>
      </c>
      <c r="D13" s="153">
        <v>0.46</v>
      </c>
      <c r="E13" s="154">
        <v>41240.793949999985</v>
      </c>
      <c r="F13" s="154">
        <v>16367.599999999999</v>
      </c>
      <c r="G13" s="154">
        <v>9116.2960000000003</v>
      </c>
      <c r="H13" s="154">
        <v>27183.380000000012</v>
      </c>
      <c r="I13" s="154">
        <v>93908.069950000005</v>
      </c>
      <c r="J13" s="102"/>
      <c r="L13" s="79">
        <f t="shared" si="0"/>
        <v>0.46</v>
      </c>
      <c r="M13" s="80">
        <f t="shared" si="6"/>
        <v>71835.664949999977</v>
      </c>
      <c r="N13" s="80">
        <f t="shared" si="2"/>
        <v>1288.7216586116699</v>
      </c>
      <c r="O13" s="81"/>
      <c r="P13" s="82" t="str">
        <f t="shared" ca="1" si="3"/>
        <v>=D13</v>
      </c>
      <c r="Q13" s="82" t="str">
        <f t="shared" ca="1" si="4"/>
        <v>=(E13+F13+G13/2+$B$17)*$B$9</v>
      </c>
      <c r="R13" s="82" t="str">
        <f t="shared" ca="1" si="5"/>
        <v>=M13/$B$7</v>
      </c>
    </row>
    <row r="14" spans="1:18" x14ac:dyDescent="0.25">
      <c r="A14" s="71" t="s">
        <v>110</v>
      </c>
      <c r="B14" s="75" t="s">
        <v>144</v>
      </c>
      <c r="D14" s="153">
        <v>0.61</v>
      </c>
      <c r="E14" s="154">
        <v>42016.543949999985</v>
      </c>
      <c r="F14" s="154">
        <v>16367.599999999999</v>
      </c>
      <c r="G14" s="154">
        <v>9116.2960000000003</v>
      </c>
      <c r="H14" s="154">
        <v>29129.560000000016</v>
      </c>
      <c r="I14" s="154">
        <v>96629.999949999998</v>
      </c>
      <c r="J14" s="102"/>
      <c r="L14" s="79">
        <f t="shared" si="0"/>
        <v>0.61</v>
      </c>
      <c r="M14" s="80">
        <f t="shared" si="6"/>
        <v>72611.414949999977</v>
      </c>
      <c r="N14" s="80">
        <f t="shared" si="2"/>
        <v>1302.6385037799278</v>
      </c>
      <c r="O14" s="81"/>
      <c r="P14" s="82" t="str">
        <f t="shared" ca="1" si="3"/>
        <v>=D14</v>
      </c>
      <c r="Q14" s="82" t="str">
        <f t="shared" ca="1" si="4"/>
        <v>=(E14+F14+G14/2+$B$17)*$B$9</v>
      </c>
      <c r="R14" s="82" t="str">
        <f t="shared" ca="1" si="5"/>
        <v>=M14/$B$7</v>
      </c>
    </row>
    <row r="15" spans="1:18" x14ac:dyDescent="0.25">
      <c r="D15" s="153">
        <v>0.76</v>
      </c>
      <c r="E15" s="154">
        <v>50425.433950000021</v>
      </c>
      <c r="F15" s="154">
        <v>16367.599999999999</v>
      </c>
      <c r="G15" s="154">
        <v>10092.076000000001</v>
      </c>
      <c r="H15" s="154">
        <v>29862.880000000012</v>
      </c>
      <c r="I15" s="154">
        <v>106747.98995000002</v>
      </c>
      <c r="J15" s="102"/>
      <c r="L15" s="79">
        <f t="shared" si="0"/>
        <v>0.76</v>
      </c>
      <c r="M15" s="80">
        <f t="shared" si="6"/>
        <v>81508.194950000005</v>
      </c>
      <c r="N15" s="80">
        <f t="shared" si="2"/>
        <v>1462.2454773616928</v>
      </c>
      <c r="O15" s="81"/>
      <c r="P15" s="82" t="str">
        <f t="shared" ca="1" si="3"/>
        <v>=D15</v>
      </c>
      <c r="Q15" s="82" t="str">
        <f t="shared" ca="1" si="4"/>
        <v>=(E15+F15+G15/2+$B$17)*$B$9</v>
      </c>
      <c r="R15" s="82" t="str">
        <f t="shared" ca="1" si="5"/>
        <v>=M15/$B$7</v>
      </c>
    </row>
    <row r="16" spans="1:18" x14ac:dyDescent="0.25">
      <c r="A16" s="72" t="s">
        <v>161</v>
      </c>
      <c r="D16" s="153">
        <v>0.91</v>
      </c>
      <c r="E16" s="154">
        <v>61002.108950000009</v>
      </c>
      <c r="F16" s="154">
        <v>17471.739999999998</v>
      </c>
      <c r="G16" s="154">
        <v>13014.736000000001</v>
      </c>
      <c r="H16" s="154">
        <v>40726.680000000008</v>
      </c>
      <c r="I16" s="154">
        <v>132215.26495000004</v>
      </c>
      <c r="J16" s="102"/>
      <c r="L16" s="79">
        <f t="shared" si="0"/>
        <v>0.91</v>
      </c>
      <c r="M16" s="80">
        <f t="shared" si="6"/>
        <v>94650.339950000023</v>
      </c>
      <c r="N16" s="80">
        <f t="shared" si="2"/>
        <v>1698.0136979788961</v>
      </c>
      <c r="O16" s="81"/>
      <c r="P16" s="82" t="str">
        <f t="shared" ca="1" si="3"/>
        <v>=D16</v>
      </c>
      <c r="Q16" s="82" t="str">
        <f t="shared" ca="1" si="4"/>
        <v>=(E16+F16+G16/2+$B$17)*$B$9</v>
      </c>
      <c r="R16" s="82" t="str">
        <f t="shared" ca="1" si="5"/>
        <v>=M16/$B$7</v>
      </c>
    </row>
    <row r="17" spans="1:18" x14ac:dyDescent="0.25">
      <c r="A17" s="71" t="s">
        <v>158</v>
      </c>
      <c r="B17" s="85">
        <v>9669.1229999999996</v>
      </c>
      <c r="D17" s="153">
        <v>1.02</v>
      </c>
      <c r="E17" s="154">
        <v>66538.632600000026</v>
      </c>
      <c r="F17" s="154">
        <v>17471.739999999998</v>
      </c>
      <c r="G17" s="154">
        <v>14966.296000000002</v>
      </c>
      <c r="H17" s="154">
        <v>40726.680000000008</v>
      </c>
      <c r="I17" s="154">
        <v>139703.34860000003</v>
      </c>
      <c r="J17" s="102"/>
      <c r="L17" s="79">
        <f t="shared" si="0"/>
        <v>1.02</v>
      </c>
      <c r="M17" s="80">
        <f t="shared" si="6"/>
        <v>101162.64360000004</v>
      </c>
      <c r="N17" s="80">
        <f t="shared" si="2"/>
        <v>1814.8435034390716</v>
      </c>
      <c r="O17" s="81"/>
      <c r="P17" s="82" t="str">
        <f t="shared" ca="1" si="3"/>
        <v>=D17</v>
      </c>
      <c r="Q17" s="82" t="str">
        <f t="shared" ca="1" si="4"/>
        <v>=(E17+F17+G17/2+$B$17)*$B$9</v>
      </c>
      <c r="R17" s="82" t="str">
        <f t="shared" ca="1" si="5"/>
        <v>=M17/$B$7</v>
      </c>
    </row>
    <row r="18" spans="1:18" x14ac:dyDescent="0.25">
      <c r="A18" s="71" t="s">
        <v>159</v>
      </c>
      <c r="B18" s="85">
        <v>0</v>
      </c>
      <c r="D18" s="153">
        <v>1.22</v>
      </c>
      <c r="E18" s="154">
        <v>67191.312600000019</v>
      </c>
      <c r="F18" s="154">
        <v>17471.739999999998</v>
      </c>
      <c r="G18" s="154">
        <v>15198.366000000002</v>
      </c>
      <c r="H18" s="154">
        <v>40826.040000000008</v>
      </c>
      <c r="I18" s="154">
        <v>140687.45860000004</v>
      </c>
      <c r="J18" s="102"/>
      <c r="L18" s="79">
        <f t="shared" si="0"/>
        <v>1.22</v>
      </c>
      <c r="M18" s="80">
        <f t="shared" si="6"/>
        <v>101931.35860000004</v>
      </c>
      <c r="N18" s="80">
        <f t="shared" si="2"/>
        <v>1828.6341417033543</v>
      </c>
      <c r="O18" s="81"/>
      <c r="P18" s="82" t="str">
        <f t="shared" ca="1" si="3"/>
        <v>=D18</v>
      </c>
      <c r="Q18" s="82" t="str">
        <f t="shared" ca="1" si="4"/>
        <v>=(E18+F18+G18/2+$B$17)*$B$9</v>
      </c>
      <c r="R18" s="82" t="str">
        <f t="shared" ca="1" si="5"/>
        <v>=M18/$B$7</v>
      </c>
    </row>
    <row r="19" spans="1:18" x14ac:dyDescent="0.25">
      <c r="A19" s="71" t="s">
        <v>160</v>
      </c>
      <c r="B19" s="85">
        <v>7285.4430000000002</v>
      </c>
      <c r="D19" s="153">
        <v>1.52</v>
      </c>
      <c r="E19" s="154">
        <v>69879.11460000003</v>
      </c>
      <c r="F19" s="154">
        <v>17471.739999999998</v>
      </c>
      <c r="G19" s="154">
        <v>15502.796000000002</v>
      </c>
      <c r="H19" s="154">
        <v>42943.089999999982</v>
      </c>
      <c r="I19" s="154">
        <v>145796.74060000002</v>
      </c>
      <c r="J19" s="102"/>
      <c r="L19" s="79">
        <f t="shared" si="0"/>
        <v>1.52</v>
      </c>
      <c r="M19" s="80">
        <f t="shared" si="6"/>
        <v>104771.37560000003</v>
      </c>
      <c r="N19" s="80">
        <f t="shared" si="2"/>
        <v>1879.5836445898774</v>
      </c>
      <c r="O19" s="81"/>
      <c r="P19" s="82" t="str">
        <f t="shared" ca="1" si="3"/>
        <v>=D19</v>
      </c>
      <c r="Q19" s="82" t="str">
        <f t="shared" ca="1" si="4"/>
        <v>=(E19+F19+G19/2+$B$17)*$B$9</v>
      </c>
      <c r="R19" s="82" t="str">
        <f t="shared" ca="1" si="5"/>
        <v>=M19/$B$7</v>
      </c>
    </row>
    <row r="20" spans="1:18" x14ac:dyDescent="0.25">
      <c r="D20" s="153">
        <v>1.83</v>
      </c>
      <c r="E20" s="154">
        <v>69879.11460000003</v>
      </c>
      <c r="F20" s="154">
        <v>17471.739999999998</v>
      </c>
      <c r="G20" s="154">
        <v>15502.796000000002</v>
      </c>
      <c r="H20" s="154">
        <v>42943.089999999982</v>
      </c>
      <c r="I20" s="154">
        <v>145796.74060000002</v>
      </c>
      <c r="J20" s="102"/>
      <c r="L20" s="79">
        <f t="shared" si="0"/>
        <v>1.83</v>
      </c>
      <c r="M20" s="80">
        <f t="shared" si="6"/>
        <v>104771.37560000003</v>
      </c>
      <c r="N20" s="80">
        <f t="shared" si="2"/>
        <v>1879.5836445898774</v>
      </c>
      <c r="O20" s="81"/>
      <c r="P20" s="82" t="str">
        <f t="shared" ca="1" si="3"/>
        <v>=D20</v>
      </c>
      <c r="Q20" s="82" t="str">
        <f t="shared" ca="1" si="4"/>
        <v>=(E20+F20+G20/2+$B$17)*$B$9</v>
      </c>
      <c r="R20" s="82" t="str">
        <f t="shared" ca="1" si="5"/>
        <v>=M20/$B$7</v>
      </c>
    </row>
    <row r="21" spans="1:18" x14ac:dyDescent="0.25">
      <c r="D21" s="153">
        <v>2.7</v>
      </c>
      <c r="E21" s="154">
        <v>69879.11460000003</v>
      </c>
      <c r="F21" s="154">
        <v>17471.739999999998</v>
      </c>
      <c r="G21" s="154">
        <v>15502.796000000002</v>
      </c>
      <c r="H21" s="154">
        <v>42943.089999999982</v>
      </c>
      <c r="I21" s="154">
        <v>145796.74060000002</v>
      </c>
      <c r="J21" s="102"/>
      <c r="L21" s="79">
        <f t="shared" si="0"/>
        <v>2.7</v>
      </c>
      <c r="M21" s="80">
        <f t="shared" si="6"/>
        <v>104771.37560000003</v>
      </c>
      <c r="N21" s="80">
        <f t="shared" si="2"/>
        <v>1879.5836445898774</v>
      </c>
      <c r="O21" s="81"/>
      <c r="P21" s="82" t="str">
        <f t="shared" ca="1" si="3"/>
        <v>=D21</v>
      </c>
      <c r="Q21" s="82" t="str">
        <f t="shared" ca="1" si="4"/>
        <v>=(E21+F21+G21/2+$B$17)*$B$9</v>
      </c>
      <c r="R21" s="82" t="str">
        <f t="shared" ca="1" si="5"/>
        <v>=M21/$B$7</v>
      </c>
    </row>
    <row r="22" spans="1:18" x14ac:dyDescent="0.25">
      <c r="D22" s="101"/>
      <c r="E22" s="101"/>
      <c r="F22" s="101"/>
      <c r="G22" s="101"/>
      <c r="H22" s="101"/>
      <c r="I22" s="101"/>
      <c r="J22" s="101"/>
      <c r="L22" s="79"/>
      <c r="M22" s="80"/>
      <c r="N22" s="80"/>
      <c r="O22" s="81"/>
      <c r="P22" s="82"/>
      <c r="Q22" s="82"/>
      <c r="R22" s="83"/>
    </row>
    <row r="23" spans="1:18" x14ac:dyDescent="0.25">
      <c r="D23" s="101"/>
      <c r="E23" s="101"/>
      <c r="F23" s="101"/>
      <c r="G23" s="101"/>
      <c r="H23" s="101"/>
      <c r="I23" s="101"/>
      <c r="J23" s="101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4" max="26" width="10.7109375" customWidth="1"/>
  </cols>
  <sheetData>
    <row r="3" spans="4:18" x14ac:dyDescent="0.25">
      <c r="D3" s="155" t="s">
        <v>619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8"/>
    </row>
    <row r="4" spans="4:18" ht="45" x14ac:dyDescent="0.25">
      <c r="D4" s="157" t="s">
        <v>107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147</v>
      </c>
      <c r="J4" s="158" t="s">
        <v>15</v>
      </c>
      <c r="K4" s="158" t="s">
        <v>4</v>
      </c>
      <c r="L4" s="158" t="s">
        <v>7</v>
      </c>
      <c r="M4" s="158" t="s">
        <v>5</v>
      </c>
      <c r="N4" s="158" t="s">
        <v>14</v>
      </c>
      <c r="O4" s="158" t="s">
        <v>6</v>
      </c>
      <c r="P4" s="158" t="s">
        <v>135</v>
      </c>
      <c r="Q4" s="158" t="s">
        <v>28</v>
      </c>
      <c r="R4" s="8"/>
    </row>
    <row r="5" spans="4:18" x14ac:dyDescent="0.25">
      <c r="D5" s="87">
        <v>-0.9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"/>
    </row>
    <row r="6" spans="4:18" x14ac:dyDescent="0.25">
      <c r="D6" s="87">
        <v>-0.46</v>
      </c>
      <c r="E6" s="88">
        <v>0</v>
      </c>
      <c r="F6" s="88">
        <v>9158.09</v>
      </c>
      <c r="G6" s="88">
        <v>3554.3672999999999</v>
      </c>
      <c r="H6" s="88">
        <v>0</v>
      </c>
      <c r="I6" s="88">
        <v>0</v>
      </c>
      <c r="J6" s="88">
        <v>0</v>
      </c>
      <c r="K6" s="88">
        <v>0</v>
      </c>
      <c r="L6" s="88">
        <v>0</v>
      </c>
      <c r="M6" s="88">
        <v>0</v>
      </c>
      <c r="N6" s="88">
        <v>0</v>
      </c>
      <c r="O6" s="88">
        <v>0</v>
      </c>
      <c r="P6" s="88">
        <v>0</v>
      </c>
      <c r="Q6" s="88">
        <v>12712.4573</v>
      </c>
      <c r="R6" s="8"/>
    </row>
    <row r="7" spans="4:18" x14ac:dyDescent="0.25">
      <c r="D7" s="87">
        <v>0</v>
      </c>
      <c r="E7" s="88">
        <v>0</v>
      </c>
      <c r="F7" s="88">
        <v>9158.09</v>
      </c>
      <c r="G7" s="88">
        <v>3554.3672999999999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0</v>
      </c>
      <c r="P7" s="88">
        <v>0</v>
      </c>
      <c r="Q7" s="88">
        <v>12712.4573</v>
      </c>
      <c r="R7" s="8"/>
    </row>
    <row r="8" spans="4:18" x14ac:dyDescent="0.25">
      <c r="D8" s="87">
        <v>0.03</v>
      </c>
      <c r="E8" s="88">
        <v>1594.79</v>
      </c>
      <c r="F8" s="88">
        <v>9158.09</v>
      </c>
      <c r="G8" s="88">
        <v>4442.9591250000003</v>
      </c>
      <c r="H8" s="88">
        <v>2807.0724999999989</v>
      </c>
      <c r="I8" s="88">
        <v>1154.1724999999999</v>
      </c>
      <c r="J8" s="88">
        <v>1366.6550000000002</v>
      </c>
      <c r="K8" s="88">
        <v>9295.6949999999997</v>
      </c>
      <c r="L8" s="88">
        <v>2412.9700000000003</v>
      </c>
      <c r="M8" s="88">
        <v>1344.7950000000001</v>
      </c>
      <c r="N8" s="88">
        <v>5041.4424999999992</v>
      </c>
      <c r="O8" s="88">
        <v>1079.9925000000001</v>
      </c>
      <c r="P8" s="88">
        <v>2924.5874999999996</v>
      </c>
      <c r="Q8" s="88">
        <v>42623.221624999998</v>
      </c>
      <c r="R8" s="8"/>
    </row>
    <row r="9" spans="4:18" x14ac:dyDescent="0.25">
      <c r="D9" s="87">
        <v>0.05</v>
      </c>
      <c r="E9" s="88">
        <v>3749.6400000000003</v>
      </c>
      <c r="F9" s="88">
        <v>9158.09</v>
      </c>
      <c r="G9" s="88">
        <v>4908.6491249999999</v>
      </c>
      <c r="H9" s="88">
        <v>4442.0825000000004</v>
      </c>
      <c r="I9" s="88">
        <v>2582.1125000000002</v>
      </c>
      <c r="J9" s="88">
        <v>2111.0250000000001</v>
      </c>
      <c r="K9" s="88">
        <v>13758.355</v>
      </c>
      <c r="L9" s="88">
        <v>10770.869999999999</v>
      </c>
      <c r="M9" s="88">
        <v>1638.3350000000005</v>
      </c>
      <c r="N9" s="88">
        <v>5752.9424999999992</v>
      </c>
      <c r="O9" s="88">
        <v>1352.1524999999999</v>
      </c>
      <c r="P9" s="88">
        <v>3428.0874999999996</v>
      </c>
      <c r="Q9" s="88">
        <v>63652.341624999994</v>
      </c>
      <c r="R9" s="8"/>
    </row>
    <row r="10" spans="4:18" x14ac:dyDescent="0.25">
      <c r="D10" s="87">
        <v>0.1</v>
      </c>
      <c r="E10" s="88">
        <v>3749.6400000000003</v>
      </c>
      <c r="F10" s="88">
        <v>10994.48</v>
      </c>
      <c r="G10" s="88">
        <v>7447.6891249999999</v>
      </c>
      <c r="H10" s="88">
        <v>4442.0825000000004</v>
      </c>
      <c r="I10" s="88">
        <v>2582.1125000000002</v>
      </c>
      <c r="J10" s="88">
        <v>2111.0250000000001</v>
      </c>
      <c r="K10" s="88">
        <v>13758.355</v>
      </c>
      <c r="L10" s="88">
        <v>10770.869999999999</v>
      </c>
      <c r="M10" s="88">
        <v>1638.3350000000005</v>
      </c>
      <c r="N10" s="88">
        <v>5752.9424999999992</v>
      </c>
      <c r="O10" s="88">
        <v>1352.1524999999999</v>
      </c>
      <c r="P10" s="88">
        <v>3428.0874999999996</v>
      </c>
      <c r="Q10" s="88">
        <v>68027.771624999979</v>
      </c>
      <c r="R10" s="8"/>
    </row>
    <row r="11" spans="4:18" x14ac:dyDescent="0.25">
      <c r="D11" s="87">
        <v>0.15</v>
      </c>
      <c r="E11" s="88">
        <v>3749.6400000000003</v>
      </c>
      <c r="F11" s="88">
        <v>16367.599999999999</v>
      </c>
      <c r="G11" s="88">
        <v>7447.6891249999999</v>
      </c>
      <c r="H11" s="88">
        <v>4640.0625</v>
      </c>
      <c r="I11" s="88">
        <v>2721.0525000000002</v>
      </c>
      <c r="J11" s="88">
        <v>2288.7349999999997</v>
      </c>
      <c r="K11" s="88">
        <v>15339.064999999999</v>
      </c>
      <c r="L11" s="88">
        <v>14177.14</v>
      </c>
      <c r="M11" s="88">
        <v>1868.5950000000005</v>
      </c>
      <c r="N11" s="88">
        <v>6901.4624999999996</v>
      </c>
      <c r="O11" s="88">
        <v>1509.5925</v>
      </c>
      <c r="P11" s="88">
        <v>4024.5874999999996</v>
      </c>
      <c r="Q11" s="88">
        <v>81035.221624999991</v>
      </c>
      <c r="R11" s="8"/>
    </row>
    <row r="12" spans="4:18" x14ac:dyDescent="0.25">
      <c r="D12" s="87">
        <v>0.3</v>
      </c>
      <c r="E12" s="88">
        <v>4051.9549999999999</v>
      </c>
      <c r="F12" s="88">
        <v>16367.599999999999</v>
      </c>
      <c r="G12" s="88">
        <v>7447.6891249999999</v>
      </c>
      <c r="H12" s="88">
        <v>4911.3075000000008</v>
      </c>
      <c r="I12" s="88">
        <v>2924.5550000000003</v>
      </c>
      <c r="J12" s="88">
        <v>2536.6999999999998</v>
      </c>
      <c r="K12" s="88">
        <v>16883.599999999999</v>
      </c>
      <c r="L12" s="88">
        <v>14660.14</v>
      </c>
      <c r="M12" s="88">
        <v>2166.1400000000003</v>
      </c>
      <c r="N12" s="88">
        <v>7785.4249999999993</v>
      </c>
      <c r="O12" s="88">
        <v>1770.6150000000002</v>
      </c>
      <c r="P12" s="88">
        <v>4592.7650000000003</v>
      </c>
      <c r="Q12" s="88">
        <v>86098.491624999995</v>
      </c>
      <c r="R12" s="8"/>
    </row>
    <row r="13" spans="4:18" x14ac:dyDescent="0.25">
      <c r="D13" s="87">
        <v>0.46</v>
      </c>
      <c r="E13" s="88">
        <v>9116.2960000000003</v>
      </c>
      <c r="F13" s="88">
        <v>16367.599999999999</v>
      </c>
      <c r="G13" s="88">
        <v>8439.2009500000004</v>
      </c>
      <c r="H13" s="88">
        <v>5488.9250000000011</v>
      </c>
      <c r="I13" s="88">
        <v>2990.1750000000002</v>
      </c>
      <c r="J13" s="88">
        <v>2652.8999999999996</v>
      </c>
      <c r="K13" s="88">
        <v>17232.2</v>
      </c>
      <c r="L13" s="88">
        <v>14957.188</v>
      </c>
      <c r="M13" s="88">
        <v>2243.62</v>
      </c>
      <c r="N13" s="88">
        <v>7940.3649999999998</v>
      </c>
      <c r="O13" s="88">
        <v>1809.3550000000002</v>
      </c>
      <c r="P13" s="88">
        <v>4670.2449999999999</v>
      </c>
      <c r="Q13" s="88">
        <v>93908.06994999999</v>
      </c>
      <c r="R13" s="8"/>
    </row>
    <row r="14" spans="4:18" x14ac:dyDescent="0.25">
      <c r="D14" s="87">
        <v>0.61</v>
      </c>
      <c r="E14" s="88">
        <v>9116.2960000000003</v>
      </c>
      <c r="F14" s="88">
        <v>16367.599999999999</v>
      </c>
      <c r="G14" s="88">
        <v>8439.2009500000004</v>
      </c>
      <c r="H14" s="88">
        <v>7435.1050000000014</v>
      </c>
      <c r="I14" s="88">
        <v>3765.9250000000002</v>
      </c>
      <c r="J14" s="88">
        <v>2652.8999999999996</v>
      </c>
      <c r="K14" s="88">
        <v>17232.2</v>
      </c>
      <c r="L14" s="88">
        <v>14957.188</v>
      </c>
      <c r="M14" s="88">
        <v>2243.62</v>
      </c>
      <c r="N14" s="88">
        <v>7940.3649999999998</v>
      </c>
      <c r="O14" s="88">
        <v>1809.3550000000002</v>
      </c>
      <c r="P14" s="88">
        <v>4670.2449999999999</v>
      </c>
      <c r="Q14" s="88">
        <v>96629.999949999998</v>
      </c>
      <c r="R14" s="8"/>
    </row>
    <row r="15" spans="4:18" x14ac:dyDescent="0.25">
      <c r="D15" s="87">
        <v>0.76</v>
      </c>
      <c r="E15" s="88">
        <v>10092.076000000001</v>
      </c>
      <c r="F15" s="88">
        <v>16367.599999999999</v>
      </c>
      <c r="G15" s="88">
        <v>8439.2009500000004</v>
      </c>
      <c r="H15" s="88">
        <v>8168.4250000000011</v>
      </c>
      <c r="I15" s="88">
        <v>4377.0349999999999</v>
      </c>
      <c r="J15" s="88">
        <v>2652.8999999999996</v>
      </c>
      <c r="K15" s="88">
        <v>17232.2</v>
      </c>
      <c r="L15" s="88">
        <v>22754.968000000001</v>
      </c>
      <c r="M15" s="88">
        <v>2243.62</v>
      </c>
      <c r="N15" s="88">
        <v>7940.3649999999998</v>
      </c>
      <c r="O15" s="88">
        <v>1809.3550000000002</v>
      </c>
      <c r="P15" s="88">
        <v>4670.2449999999999</v>
      </c>
      <c r="Q15" s="88">
        <v>106747.98994999999</v>
      </c>
      <c r="R15" s="8"/>
    </row>
    <row r="16" spans="4:18" x14ac:dyDescent="0.25">
      <c r="D16" s="87">
        <v>0.91</v>
      </c>
      <c r="E16" s="88">
        <v>13014.736000000001</v>
      </c>
      <c r="F16" s="88">
        <v>17471.739999999998</v>
      </c>
      <c r="G16" s="88">
        <v>8695.0809499999996</v>
      </c>
      <c r="H16" s="88">
        <v>13848.979999999998</v>
      </c>
      <c r="I16" s="88">
        <v>7632.61</v>
      </c>
      <c r="J16" s="88">
        <v>3508.38</v>
      </c>
      <c r="K16" s="88">
        <v>21011.050000000007</v>
      </c>
      <c r="L16" s="88">
        <v>25396.647999999997</v>
      </c>
      <c r="M16" s="88">
        <v>2867.7</v>
      </c>
      <c r="N16" s="88">
        <v>10553.76</v>
      </c>
      <c r="O16" s="88">
        <v>2358.27</v>
      </c>
      <c r="P16" s="88">
        <v>5856.31</v>
      </c>
      <c r="Q16" s="88">
        <v>132215.26495000001</v>
      </c>
      <c r="R16" s="8"/>
    </row>
    <row r="17" spans="4:18" x14ac:dyDescent="0.25">
      <c r="D17" s="87">
        <v>1.02</v>
      </c>
      <c r="E17" s="88">
        <v>14966.296000000002</v>
      </c>
      <c r="F17" s="88">
        <v>17471.739999999998</v>
      </c>
      <c r="G17" s="88">
        <v>10472.264599999999</v>
      </c>
      <c r="H17" s="88">
        <v>13848.979999999998</v>
      </c>
      <c r="I17" s="88">
        <v>7632.61</v>
      </c>
      <c r="J17" s="88">
        <v>3508.38</v>
      </c>
      <c r="K17" s="88">
        <v>21011.050000000007</v>
      </c>
      <c r="L17" s="88">
        <v>29155.98799999999</v>
      </c>
      <c r="M17" s="88">
        <v>2867.7</v>
      </c>
      <c r="N17" s="88">
        <v>10553.76</v>
      </c>
      <c r="O17" s="88">
        <v>2358.27</v>
      </c>
      <c r="P17" s="88">
        <v>5856.31</v>
      </c>
      <c r="Q17" s="88">
        <v>139703.34859999997</v>
      </c>
      <c r="R17" s="8"/>
    </row>
    <row r="18" spans="4:18" x14ac:dyDescent="0.25">
      <c r="D18" s="87">
        <v>1.22</v>
      </c>
      <c r="E18" s="88">
        <v>15198.366000000002</v>
      </c>
      <c r="F18" s="88">
        <v>17471.739999999998</v>
      </c>
      <c r="G18" s="88">
        <v>10472.264599999999</v>
      </c>
      <c r="H18" s="88">
        <v>13848.979999999998</v>
      </c>
      <c r="I18" s="88">
        <v>7632.61</v>
      </c>
      <c r="J18" s="88">
        <v>3508.38</v>
      </c>
      <c r="K18" s="88">
        <v>21110.410000000007</v>
      </c>
      <c r="L18" s="88">
        <v>29808.667999999991</v>
      </c>
      <c r="M18" s="88">
        <v>2867.7</v>
      </c>
      <c r="N18" s="88">
        <v>10553.76</v>
      </c>
      <c r="O18" s="88">
        <v>2358.27</v>
      </c>
      <c r="P18" s="88">
        <v>5856.31</v>
      </c>
      <c r="Q18" s="88">
        <v>140687.45859999998</v>
      </c>
      <c r="R18" s="8"/>
    </row>
    <row r="19" spans="4:18" x14ac:dyDescent="0.25">
      <c r="D19" s="87">
        <v>1.52</v>
      </c>
      <c r="E19" s="88">
        <v>15502.796000000002</v>
      </c>
      <c r="F19" s="88">
        <v>17471.739999999998</v>
      </c>
      <c r="G19" s="88">
        <v>11155.304600000001</v>
      </c>
      <c r="H19" s="88">
        <v>14364.229999999998</v>
      </c>
      <c r="I19" s="88">
        <v>8099.47</v>
      </c>
      <c r="J19" s="88">
        <v>3666.7799999999997</v>
      </c>
      <c r="K19" s="88">
        <v>22296.510000000002</v>
      </c>
      <c r="L19" s="88">
        <v>30291.449999999997</v>
      </c>
      <c r="M19" s="88">
        <v>3049.2400000000007</v>
      </c>
      <c r="N19" s="88">
        <v>11085.470000000001</v>
      </c>
      <c r="O19" s="88">
        <v>2615.5700000000002</v>
      </c>
      <c r="P19" s="88">
        <v>6198.1799999999994</v>
      </c>
      <c r="Q19" s="88">
        <v>145796.74059999999</v>
      </c>
      <c r="R19" s="8"/>
    </row>
    <row r="20" spans="4:18" x14ac:dyDescent="0.25">
      <c r="D20" s="87">
        <v>1.83</v>
      </c>
      <c r="E20" s="88">
        <v>15502.796000000002</v>
      </c>
      <c r="F20" s="88">
        <v>17471.739999999998</v>
      </c>
      <c r="G20" s="88">
        <v>11155.304600000001</v>
      </c>
      <c r="H20" s="88">
        <v>14364.229999999998</v>
      </c>
      <c r="I20" s="88">
        <v>8099.47</v>
      </c>
      <c r="J20" s="88">
        <v>3666.7799999999997</v>
      </c>
      <c r="K20" s="88">
        <v>22296.510000000002</v>
      </c>
      <c r="L20" s="88">
        <v>30291.449999999997</v>
      </c>
      <c r="M20" s="88">
        <v>3049.2400000000007</v>
      </c>
      <c r="N20" s="88">
        <v>11085.470000000001</v>
      </c>
      <c r="O20" s="88">
        <v>2615.5700000000002</v>
      </c>
      <c r="P20" s="88">
        <v>6198.1799999999994</v>
      </c>
      <c r="Q20" s="88">
        <v>145796.74059999999</v>
      </c>
      <c r="R20" s="8"/>
    </row>
    <row r="21" spans="4:18" x14ac:dyDescent="0.25">
      <c r="D21" s="87">
        <v>2.7</v>
      </c>
      <c r="E21" s="88">
        <v>15502.796000000002</v>
      </c>
      <c r="F21" s="88">
        <v>17471.739999999998</v>
      </c>
      <c r="G21" s="88">
        <v>11155.304600000001</v>
      </c>
      <c r="H21" s="88">
        <v>14364.229999999998</v>
      </c>
      <c r="I21" s="88">
        <v>8099.47</v>
      </c>
      <c r="J21" s="88">
        <v>3666.7799999999997</v>
      </c>
      <c r="K21" s="88">
        <v>22296.510000000002</v>
      </c>
      <c r="L21" s="88">
        <v>30291.449999999997</v>
      </c>
      <c r="M21" s="88">
        <v>3049.2400000000007</v>
      </c>
      <c r="N21" s="88">
        <v>11085.470000000001</v>
      </c>
      <c r="O21" s="88">
        <v>2615.5700000000002</v>
      </c>
      <c r="P21" s="88">
        <v>6198.1799999999994</v>
      </c>
      <c r="Q21" s="88">
        <v>145796.74059999999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163</v>
      </c>
    </row>
    <row r="3" spans="1:9" x14ac:dyDescent="0.25">
      <c r="A3" t="s">
        <v>11</v>
      </c>
      <c r="C3" t="s">
        <v>83</v>
      </c>
      <c r="G3" t="s">
        <v>86</v>
      </c>
      <c r="I3" t="s">
        <v>164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E24" sqref="E2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625</v>
      </c>
    </row>
    <row r="2" spans="1:2" x14ac:dyDescent="0.25">
      <c r="A2" s="33" t="s">
        <v>113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178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45175</v>
      </c>
    </row>
    <row r="12" spans="1:2" x14ac:dyDescent="0.25">
      <c r="A12" s="33" t="s">
        <v>120</v>
      </c>
      <c r="B12" s="55" t="s">
        <v>590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238</v>
      </c>
    </row>
    <row r="15" spans="1:2" x14ac:dyDescent="0.25">
      <c r="A15" s="33" t="s">
        <v>122</v>
      </c>
      <c r="B15" s="55" t="s">
        <v>241</v>
      </c>
    </row>
    <row r="16" spans="1:2" x14ac:dyDescent="0.25">
      <c r="A16" s="33" t="s">
        <v>123</v>
      </c>
      <c r="B16" s="55">
        <v>1200</v>
      </c>
    </row>
    <row r="17" spans="1:2" x14ac:dyDescent="0.25">
      <c r="A17" s="33" t="s">
        <v>124</v>
      </c>
      <c r="B17" s="55">
        <v>111.48</v>
      </c>
    </row>
    <row r="18" spans="1:2" x14ac:dyDescent="0.25">
      <c r="A18" s="33" t="s">
        <v>125</v>
      </c>
      <c r="B18" s="55" t="s">
        <v>621</v>
      </c>
    </row>
    <row r="19" spans="1:2" x14ac:dyDescent="0.25">
      <c r="A19" s="33" t="s">
        <v>126</v>
      </c>
      <c r="B19" s="55" t="s">
        <v>622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164</v>
      </c>
    </row>
    <row r="25" spans="1:2" x14ac:dyDescent="0.25">
      <c r="A25" s="63" t="s">
        <v>22</v>
      </c>
      <c r="B25" s="63" t="s">
        <v>623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228.05968411497298</v>
      </c>
    </row>
    <row r="28" spans="1:2" x14ac:dyDescent="0.25">
      <c r="A28" s="54">
        <v>0</v>
      </c>
      <c r="B28" s="53">
        <v>228.05968411497298</v>
      </c>
    </row>
    <row r="29" spans="1:2" x14ac:dyDescent="0.25">
      <c r="A29" s="54">
        <v>0.03</v>
      </c>
      <c r="B29" s="53">
        <v>662.79766037336435</v>
      </c>
    </row>
    <row r="30" spans="1:2" x14ac:dyDescent="0.25">
      <c r="A30" s="54">
        <v>0.05</v>
      </c>
      <c r="B30" s="53">
        <v>893.1005031233293</v>
      </c>
    </row>
    <row r="31" spans="1:2" x14ac:dyDescent="0.25">
      <c r="A31" s="54">
        <v>0.1</v>
      </c>
      <c r="B31" s="53">
        <v>971.59509784398767</v>
      </c>
    </row>
    <row r="32" spans="1:2" x14ac:dyDescent="0.25">
      <c r="A32" s="54">
        <v>0.15</v>
      </c>
      <c r="B32" s="53">
        <v>1167.0249189118399</v>
      </c>
    </row>
    <row r="33" spans="1:2" x14ac:dyDescent="0.25">
      <c r="A33" s="54">
        <v>0.3</v>
      </c>
      <c r="B33" s="53">
        <v>1213.4415218920092</v>
      </c>
    </row>
    <row r="34" spans="1:2" x14ac:dyDescent="0.25">
      <c r="A34" s="54">
        <v>0.46</v>
      </c>
      <c r="B34" s="53">
        <v>1288.7216586116699</v>
      </c>
    </row>
    <row r="35" spans="1:2" x14ac:dyDescent="0.25">
      <c r="A35" s="54">
        <v>0.61</v>
      </c>
      <c r="B35" s="53">
        <v>1302.6385037799278</v>
      </c>
    </row>
    <row r="36" spans="1:2" x14ac:dyDescent="0.25">
      <c r="A36" s="54">
        <v>0.76</v>
      </c>
      <c r="B36" s="53">
        <v>1462.2454773616928</v>
      </c>
    </row>
    <row r="37" spans="1:2" x14ac:dyDescent="0.25">
      <c r="A37" s="54">
        <v>0.91</v>
      </c>
      <c r="B37" s="53">
        <v>1698.0136979788961</v>
      </c>
    </row>
    <row r="38" spans="1:2" x14ac:dyDescent="0.25">
      <c r="A38" s="54">
        <v>1.02</v>
      </c>
      <c r="B38" s="53">
        <v>1814.8435034390716</v>
      </c>
    </row>
    <row r="39" spans="1:2" x14ac:dyDescent="0.25">
      <c r="A39" s="54">
        <v>1.22</v>
      </c>
      <c r="B39" s="53">
        <v>1828.6341417033543</v>
      </c>
    </row>
    <row r="40" spans="1:2" x14ac:dyDescent="0.25">
      <c r="A40" s="54">
        <v>1.52</v>
      </c>
      <c r="B40" s="53">
        <v>1879.5836445898774</v>
      </c>
    </row>
    <row r="41" spans="1:2" x14ac:dyDescent="0.25">
      <c r="A41" s="54">
        <v>1.83</v>
      </c>
      <c r="B41" s="53">
        <v>1879.5836445898774</v>
      </c>
    </row>
    <row r="42" spans="1:2" x14ac:dyDescent="0.25">
      <c r="A42" s="54">
        <v>2.7</v>
      </c>
      <c r="B42" s="53">
        <v>1879.5836445898774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R_2-S-C-AA_info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2023-09-06T10:02:38Z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