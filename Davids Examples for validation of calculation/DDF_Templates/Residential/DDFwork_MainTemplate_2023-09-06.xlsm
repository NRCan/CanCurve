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"/>
    </mc:Choice>
  </mc:AlternateContent>
  <xr:revisionPtr revIDLastSave="0" documentId="13_ncr:1_{37F888DE-7432-4D58-A378-DFBB87FC7D4A}" xr6:coauthVersionLast="47" xr6:coauthVersionMax="47" xr10:uidLastSave="{00000000-0000-0000-0000-000000000000}"/>
  <bookViews>
    <workbookView xWindow="705" yWindow="1260" windowWidth="23760" windowHeight="13365" tabRatio="813" xr2:uid="{7C5655A8-2A5B-4B20-ABA5-441C5835F3C9}"/>
  </bookViews>
  <sheets>
    <sheet name="Home" sheetId="29" r:id="rId1"/>
    <sheet name="Rooms_Rpt" sheetId="20" r:id="rId2"/>
    <sheet name="Groups-Layout" sheetId="2" r:id="rId3"/>
    <sheet name="Pivot_Tables" sheetId="33" r:id="rId4"/>
    <sheet name="DDFwrk_grp3" sheetId="42" r:id="rId5"/>
    <sheet name="lists" sheetId="43" r:id="rId6"/>
    <sheet name="CanFlood_DDF" sheetId="48" r:id="rId7"/>
  </sheets>
  <functionGroups builtInGroupCount="19"/>
  <definedNames>
    <definedName name="_xlnm._FilterDatabase" localSheetId="2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4" r:id="rId8"/>
    <pivotCache cacheId="1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<sst xmlns="http://schemas.openxmlformats.org/spreadsheetml/2006/main" count="188" uniqueCount="139">
  <si>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</si>
  <si>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</si>
  <si>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</si>
  <si>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</si>
  <si>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</si>
  <si>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</si>
  <si>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</si>
  <si>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</si>
  <si>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</si>
  <si>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</si>
  <si>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</si>
  <si>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</si>
  <si>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</si>
  <si>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</si>
  <si>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</si>
  <si>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</si>
  <si>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</si>
  <si>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</si>
  <si>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</si>
  <si>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</si>
  <si>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</si>
  <si>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</si>
  <si>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</si>
  <si>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</si>
  <si>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</si>
  <si>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</si>
  <si>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</si>
  <si>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</si>
  <si>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</si>
  <si>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</si>
  <si>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</si>
  <si>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</si>
  <si>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</si>
  <si>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</si>
  <si>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</si>
  <si>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</si>
  <si>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</si>
  <si>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</si>
  <si>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</si>
  <si>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</si>
  <si>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</si>
  <si>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</si>
  <si>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</si>
  <si>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</si>
  <si>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</si>
  <si>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</si>
  <si>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</si>
  <si>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</si>
  <si>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</si>
  <si>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</si>
  <si>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</si>
  <si>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</si>
  <si>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</si>
  <si>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</si>
  <si>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</si>
  <si>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</si>
  <si>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</si>
  <si>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</si>
  <si>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</si>
  <si>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</si>
  <si>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</si>
  <si>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</si>
  <si>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</si>
  <si>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</si>
  <si>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</si>
  <si>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</si>
  <si>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</si>
  <si>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</si>
  <si>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</si>
  <si>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</si>
  <si>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</si>
  <si>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</si>
  <si>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</si>
  <si>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</si>
  <si>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</si>
  <si>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</si>
  <si>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</si>
  <si>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</si>
  <si>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</si>
  <si>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</si>
  <si>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</si>
  <si>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</si>
  <si>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</si>
  <si>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</si>
  <si>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</si>
  <si>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</si>
  <si>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</si>
  <si>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</si>
  <si>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</si>
  <si>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</si>
  <si>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</si>
  <si>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</si>
  <si>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</si>
  <si>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</si>
  <si>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</si>
  <si>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</si>
  <si>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</si>
  <si>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</si>
  <si>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</si>
  <si>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</si>
  <si>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</si>
  <si>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</si>
  <si>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</si>
  <si>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</si>
  <si>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</si>
  <si>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</si>
  <si>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</si>
  <si>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</si>
  <si>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</si>
  <si>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</si>
  <si>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</si>
  <si>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</si>
  <si>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</si>
  <si>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</si>
  <si>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</si>
  <si>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</si>
  <si>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</si>
  <si>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</si>
  <si>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</si>
  <si>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</si>
  <si>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</si>
  <si>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</si>
  <si>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</si>
  <si>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</si>
  <si>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</si>
  <si>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</si>
  <si>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</si>
  <si>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</si>
  <si>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</si>
  <si>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</si>
  <si>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</si>
  <si>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</si>
  <si>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</si>
  <si>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</si>
  <si>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</si>
  <si>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</si>
  <si>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</si>
  <si>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</si>
  <si>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&lt;- location code should match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</si>
</sst>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i/>
      <sz val="10"/>
      <color rgb="FF32629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</cellStyleXfs>
  <cellXfs count="109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13" fillId="0" borderId="12" xfId="0" applyFont="1" applyBorder="1" applyAlignment="1">
      <alignment horizontal="center"/>
    </xf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</cellXfs>
  <cellStyles count="6"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09217939814" createdVersion="3" refreshedVersion="8" minRefreshableVersion="3" recordCount="399" xr:uid="{A408F813-2463-44CE-A3AB-54D76B259DBE}">
  <cacheSource type="worksheet">
    <worksheetSource ref="AH2:AZ401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Full Bath"/>
        <s v="Utility Room"/>
        <s v="Bedroom"/>
        <s v="Kitchen"/>
        <s v="Nook"/>
        <s v="Hallway"/>
        <s v="Living Area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30.83"/>
    </cacheField>
    <cacheField name="0.05" numFmtId="0">
      <sharedItems containsSemiMixedTypes="0" containsString="0" containsNumber="1" minValue="0" maxValue="6072.38"/>
    </cacheField>
    <cacheField name="0.1" numFmtId="0">
      <sharedItems containsSemiMixedTypes="0" containsString="0" containsNumber="1" minValue="0" maxValue="6072.38"/>
    </cacheField>
    <cacheField name="0.15" numFmtId="0">
      <sharedItems containsSemiMixedTypes="0" containsString="0" containsNumber="1" minValue="0" maxValue="6072.38"/>
    </cacheField>
    <cacheField name="0.3" numFmtId="0">
      <sharedItems containsSemiMixedTypes="0" containsString="0" containsNumber="1" minValue="0" maxValue="6072.38"/>
    </cacheField>
    <cacheField name="0.46" numFmtId="0">
      <sharedItems containsSemiMixedTypes="0" containsString="0" containsNumber="1" minValue="0" maxValue="6072.38"/>
    </cacheField>
    <cacheField name="0.61" numFmtId="0">
      <sharedItems containsSemiMixedTypes="0" containsString="0" containsNumber="1" minValue="0" maxValue="6072.38"/>
    </cacheField>
    <cacheField name="0.76" numFmtId="0">
      <sharedItems containsSemiMixedTypes="0" containsString="0" containsNumber="1" minValue="0" maxValue="6072.38"/>
    </cacheField>
    <cacheField name="0.91" numFmtId="0">
      <sharedItems containsSemiMixedTypes="0" containsString="0" containsNumber="1" minValue="0" maxValue="6072.38"/>
    </cacheField>
    <cacheField name="1.02" numFmtId="0">
      <sharedItems containsSemiMixedTypes="0" containsString="0" containsNumber="1" minValue="0" maxValue="6072.38"/>
    </cacheField>
    <cacheField name="1.22" numFmtId="0">
      <sharedItems containsSemiMixedTypes="0" containsString="0" containsNumber="1" minValue="0" maxValue="6072.38"/>
    </cacheField>
    <cacheField name="1.52" numFmtId="0">
      <sharedItems containsSemiMixedTypes="0" containsString="0" containsNumber="1" minValue="0" maxValue="6072.38"/>
    </cacheField>
    <cacheField name="1.83" numFmtId="0">
      <sharedItems containsSemiMixedTypes="0" containsString="0" containsNumber="1" minValue="9.15" maxValue="7000.58"/>
    </cacheField>
    <cacheField name="2.7" numFmtId="0">
      <sharedItems containsSemiMixedTypes="0" containsString="0" containsNumber="1" minValue="9.15" maxValue="7000.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909218287037" createdVersion="3" refreshedVersion="8" minRefreshableVersion="3" recordCount="399" xr:uid="{7DF392AF-FDDB-40D9-A01A-468FE044F2AE}">
  <cacheSource type="worksheet">
    <worksheetSource ref="AH2:AZ401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430.83"/>
    </cacheField>
    <cacheField name="0.05" numFmtId="0">
      <sharedItems containsSemiMixedTypes="0" containsString="0" containsNumber="1" minValue="0" maxValue="6072.38"/>
    </cacheField>
    <cacheField name="0.1" numFmtId="0">
      <sharedItems containsSemiMixedTypes="0" containsString="0" containsNumber="1" minValue="0" maxValue="6072.38"/>
    </cacheField>
    <cacheField name="0.15" numFmtId="0">
      <sharedItems containsSemiMixedTypes="0" containsString="0" containsNumber="1" minValue="0" maxValue="6072.38"/>
    </cacheField>
    <cacheField name="0.3" numFmtId="0">
      <sharedItems containsSemiMixedTypes="0" containsString="0" containsNumber="1" minValue="0" maxValue="6072.38"/>
    </cacheField>
    <cacheField name="0.46" numFmtId="0">
      <sharedItems containsSemiMixedTypes="0" containsString="0" containsNumber="1" minValue="0" maxValue="6072.38"/>
    </cacheField>
    <cacheField name="0.61" numFmtId="0">
      <sharedItems containsSemiMixedTypes="0" containsString="0" containsNumber="1" minValue="0" maxValue="6072.38"/>
    </cacheField>
    <cacheField name="0.76" numFmtId="0">
      <sharedItems containsSemiMixedTypes="0" containsString="0" containsNumber="1" minValue="0" maxValue="6072.38"/>
    </cacheField>
    <cacheField name="0.91" numFmtId="0">
      <sharedItems containsSemiMixedTypes="0" containsString="0" containsNumber="1" minValue="0" maxValue="6072.38"/>
    </cacheField>
    <cacheField name="1.02" numFmtId="0">
      <sharedItems containsSemiMixedTypes="0" containsString="0" containsNumber="1" minValue="0" maxValue="6072.38"/>
    </cacheField>
    <cacheField name="1.22" numFmtId="0">
      <sharedItems containsSemiMixedTypes="0" containsString="0" containsNumber="1" minValue="0" maxValue="6072.38"/>
    </cacheField>
    <cacheField name="1.52" numFmtId="0">
      <sharedItems containsSemiMixedTypes="0" containsString="0" containsNumber="1" minValue="0" maxValue="6072.38"/>
    </cacheField>
    <cacheField name="1.83" numFmtId="0">
      <sharedItems containsSemiMixedTypes="0" containsString="0" containsNumber="1" minValue="9.15" maxValue="7000.58"/>
    </cacheField>
    <cacheField name="2.7" numFmtId="0">
      <sharedItems containsSemiMixedTypes="0" containsString="0" containsNumber="1" minValue="9.15" maxValue="7000.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s v="split"/>
    <x v="0"/>
    <n v="0"/>
    <n v="0"/>
    <n v="0"/>
    <n v="0"/>
    <n v="0"/>
    <n v="0"/>
    <n v="0"/>
    <n v="0"/>
    <n v="0"/>
    <n v="0"/>
    <n v="0"/>
    <n v="289.08"/>
    <n v="289.08"/>
    <n v="289.08"/>
    <n v="289.08"/>
    <n v="289.08"/>
    <n v="289.08"/>
  </r>
  <r>
    <s v="split"/>
    <x v="0"/>
    <n v="0"/>
    <n v="0"/>
    <n v="0"/>
    <n v="0"/>
    <n v="0"/>
    <n v="0"/>
    <n v="0"/>
    <n v="0"/>
    <n v="0"/>
    <n v="0"/>
    <n v="0"/>
    <n v="304.27"/>
    <n v="304.27"/>
    <n v="304.27"/>
    <n v="304.27"/>
    <n v="304.27"/>
    <n v="304.27"/>
  </r>
  <r>
    <s v="split"/>
    <x v="0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split"/>
    <x v="0"/>
    <n v="0"/>
    <n v="0"/>
    <n v="0"/>
    <n v="0"/>
    <n v="0"/>
    <n v="0"/>
    <n v="0"/>
    <n v="0"/>
    <n v="0"/>
    <n v="0"/>
    <n v="0"/>
    <n v="0"/>
    <n v="0"/>
    <n v="0"/>
    <n v="190.51"/>
    <n v="190.51"/>
    <n v="190.51"/>
  </r>
  <r>
    <s v="split"/>
    <x v="0"/>
    <n v="0"/>
    <n v="0"/>
    <n v="0"/>
    <n v="0"/>
    <n v="0"/>
    <n v="0"/>
    <n v="0"/>
    <n v="0"/>
    <n v="101.41"/>
    <n v="101.41"/>
    <n v="101.41"/>
    <n v="101.41"/>
    <n v="101.41"/>
    <n v="101.41"/>
    <n v="101.41"/>
    <n v="101.41"/>
    <n v="101.41"/>
  </r>
  <r>
    <s v="split"/>
    <x v="0"/>
    <n v="0"/>
    <n v="0"/>
    <n v="0"/>
    <n v="0"/>
    <n v="0"/>
    <n v="0"/>
    <n v="0"/>
    <n v="0"/>
    <n v="0"/>
    <n v="0"/>
    <n v="0"/>
    <n v="63.72"/>
    <n v="63.72"/>
    <n v="63.72"/>
    <n v="63.72"/>
    <n v="63.72"/>
    <n v="63.72"/>
  </r>
  <r>
    <s v="split"/>
    <x v="0"/>
    <n v="0"/>
    <n v="0"/>
    <n v="0"/>
    <n v="0"/>
    <n v="0"/>
    <n v="0"/>
    <n v="0"/>
    <n v="0"/>
    <n v="0"/>
    <n v="0"/>
    <n v="0"/>
    <n v="0"/>
    <n v="0"/>
    <n v="364.68"/>
    <n v="364.68"/>
    <n v="364.68"/>
    <n v="364.68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230.71"/>
    <n v="230.71"/>
    <n v="230.71"/>
    <n v="230.71"/>
    <n v="230.71"/>
    <n v="230.71"/>
  </r>
  <r>
    <s v="split"/>
    <x v="0"/>
    <n v="0"/>
    <n v="0"/>
    <n v="0"/>
    <n v="0"/>
    <n v="0"/>
    <n v="0"/>
    <n v="0"/>
    <n v="0"/>
    <n v="0"/>
    <n v="0"/>
    <n v="0"/>
    <n v="384"/>
    <n v="384"/>
    <n v="384"/>
    <n v="384"/>
    <n v="384"/>
    <n v="384"/>
  </r>
  <r>
    <s v="split"/>
    <x v="0"/>
    <n v="0"/>
    <n v="0"/>
    <n v="0"/>
    <n v="0"/>
    <n v="235.7"/>
    <n v="235.7"/>
    <n v="235.7"/>
    <n v="235.7"/>
    <n v="235.7"/>
    <n v="235.7"/>
    <n v="235.7"/>
    <n v="235.7"/>
    <n v="235.7"/>
    <n v="235.7"/>
    <n v="235.7"/>
    <n v="235.7"/>
    <n v="235.7"/>
  </r>
  <r>
    <s v="split"/>
    <x v="0"/>
    <n v="0"/>
    <n v="0"/>
    <n v="0"/>
    <n v="150.79"/>
    <n v="150.79"/>
    <n v="150.79"/>
    <n v="150.79"/>
    <n v="301.58"/>
    <n v="301.58"/>
    <n v="301.58"/>
    <n v="301.58"/>
    <n v="603.16"/>
    <n v="603.16"/>
    <n v="603.16"/>
    <n v="603.16"/>
    <n v="603.16"/>
    <n v="603.16"/>
  </r>
  <r>
    <s v="split"/>
    <x v="0"/>
    <n v="0"/>
    <n v="0"/>
    <n v="0"/>
    <n v="0"/>
    <n v="0"/>
    <n v="0"/>
    <n v="0"/>
    <n v="0"/>
    <n v="0"/>
    <n v="0"/>
    <n v="0"/>
    <n v="76.17"/>
    <n v="76.17"/>
    <n v="76.17"/>
    <n v="76.17"/>
    <n v="76.17"/>
    <n v="76.17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split"/>
    <x v="0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split"/>
    <x v="0"/>
    <n v="0"/>
    <n v="0"/>
    <n v="0"/>
    <n v="958.97"/>
    <n v="958.97"/>
    <n v="958.97"/>
    <n v="958.97"/>
    <n v="958.97"/>
    <n v="1917.94"/>
    <n v="1917.94"/>
    <n v="1917.94"/>
    <n v="1917.94"/>
    <n v="3835.88"/>
    <n v="3835.88"/>
    <n v="3835.88"/>
    <n v="3835.88"/>
    <n v="3835.88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mechanical"/>
    <x v="1"/>
    <n v="0"/>
    <n v="0"/>
    <n v="0"/>
    <n v="0"/>
    <n v="0"/>
    <n v="0"/>
    <n v="5266.53"/>
    <n v="5266.53"/>
    <n v="5266.53"/>
    <n v="5266.53"/>
    <n v="5266.53"/>
    <n v="5266.53"/>
    <n v="5266.53"/>
    <n v="5266.53"/>
    <n v="5266.53"/>
    <n v="5266.53"/>
    <n v="5266.5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00.58"/>
    <n v="7000.58"/>
  </r>
  <r>
    <s v="split"/>
    <x v="0"/>
    <n v="0"/>
    <n v="0"/>
    <n v="0"/>
    <n v="0"/>
    <n v="0"/>
    <n v="0"/>
    <n v="0"/>
    <n v="0"/>
    <n v="0"/>
    <n v="0"/>
    <n v="0"/>
    <n v="0"/>
    <n v="0"/>
    <n v="205.08"/>
    <n v="205.08"/>
    <n v="205.08"/>
    <n v="205.08"/>
  </r>
  <r>
    <s v="main"/>
    <x v="2"/>
    <n v="0"/>
    <n v="0"/>
    <n v="0"/>
    <n v="0"/>
    <n v="0"/>
    <n v="0"/>
    <n v="0"/>
    <n v="0"/>
    <n v="0"/>
    <n v="0"/>
    <n v="0"/>
    <n v="0"/>
    <n v="0"/>
    <n v="0"/>
    <n v="308.58999999999997"/>
    <n v="308.58999999999997"/>
    <n v="308.58999999999997"/>
  </r>
  <r>
    <s v="main"/>
    <x v="2"/>
    <n v="0"/>
    <n v="0"/>
    <n v="0"/>
    <n v="0"/>
    <n v="0"/>
    <n v="0"/>
    <n v="0"/>
    <n v="0"/>
    <n v="0"/>
    <n v="0"/>
    <n v="0"/>
    <n v="0"/>
    <n v="0"/>
    <n v="0"/>
    <n v="224.42"/>
    <n v="224.42"/>
    <n v="224.42"/>
  </r>
  <r>
    <s v="main"/>
    <x v="2"/>
    <n v="0"/>
    <n v="0"/>
    <n v="0"/>
    <n v="0"/>
    <n v="0"/>
    <n v="0"/>
    <n v="0"/>
    <n v="0"/>
    <n v="0"/>
    <n v="0"/>
    <n v="0"/>
    <n v="255.4"/>
    <n v="255.4"/>
    <n v="255.4"/>
    <n v="255.4"/>
    <n v="255.4"/>
    <n v="255.4"/>
  </r>
  <r>
    <s v="main"/>
    <x v="2"/>
    <n v="0"/>
    <n v="0"/>
    <n v="0"/>
    <n v="0"/>
    <n v="0"/>
    <n v="1146.5"/>
    <n v="1146.5"/>
    <n v="1146.5"/>
    <n v="1146.5"/>
    <n v="1146.5"/>
    <n v="1146.5"/>
    <n v="1146.5"/>
    <n v="1146.5"/>
    <n v="1146.5"/>
    <n v="1146.5"/>
    <n v="1146.5"/>
    <n v="1146.5"/>
  </r>
  <r>
    <s v="main"/>
    <x v="2"/>
    <n v="0"/>
    <n v="0"/>
    <n v="0"/>
    <n v="0"/>
    <n v="0"/>
    <n v="1389.64"/>
    <n v="1389.64"/>
    <n v="1389.64"/>
    <n v="1389.64"/>
    <n v="1389.64"/>
    <n v="1389.64"/>
    <n v="1389.64"/>
    <n v="1389.64"/>
    <n v="1389.64"/>
    <n v="1389.64"/>
    <n v="1389.64"/>
    <n v="1389.64"/>
  </r>
  <r>
    <s v="split"/>
    <x v="0"/>
    <n v="0"/>
    <n v="0"/>
    <n v="0"/>
    <n v="0"/>
    <n v="0"/>
    <n v="0"/>
    <n v="0"/>
    <n v="0"/>
    <n v="49.2"/>
    <n v="49.2"/>
    <n v="49.2"/>
    <n v="49.2"/>
    <n v="49.2"/>
    <n v="49.2"/>
    <n v="49.2"/>
    <n v="49.2"/>
    <n v="49.2"/>
  </r>
  <r>
    <s v="mechanical"/>
    <x v="1"/>
    <n v="0"/>
    <n v="0"/>
    <n v="0"/>
    <n v="0"/>
    <n v="0"/>
    <n v="0"/>
    <n v="0"/>
    <n v="0"/>
    <n v="0"/>
    <n v="0"/>
    <n v="0"/>
    <n v="1097.03"/>
    <n v="1097.03"/>
    <n v="1097.03"/>
    <n v="1097.03"/>
    <n v="1097.03"/>
    <n v="1097.03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4"/>
    <n v="98.4"/>
    <n v="98.4"/>
    <n v="98.4"/>
    <n v="98.4"/>
    <n v="98.4"/>
    <n v="98.4"/>
    <n v="98.4"/>
    <n v="98.4"/>
  </r>
  <r>
    <s v="main"/>
    <x v="2"/>
    <n v="0"/>
    <n v="0"/>
    <n v="0"/>
    <n v="0"/>
    <n v="0"/>
    <n v="0"/>
    <n v="0"/>
    <n v="0"/>
    <n v="56.36"/>
    <n v="56.36"/>
    <n v="56.36"/>
    <n v="56.36"/>
    <n v="56.36"/>
    <n v="56.36"/>
    <n v="56.36"/>
    <n v="56.36"/>
    <n v="56.36"/>
  </r>
  <r>
    <s v="split"/>
    <x v="0"/>
    <n v="0"/>
    <n v="0"/>
    <n v="0"/>
    <n v="0"/>
    <n v="0"/>
    <n v="0"/>
    <n v="0"/>
    <n v="0"/>
    <n v="5456.16"/>
    <n v="5456.16"/>
    <n v="5456.16"/>
    <n v="5456.16"/>
    <n v="5456.16"/>
    <n v="5456.16"/>
    <n v="5456.16"/>
    <n v="5456.16"/>
    <n v="5456.16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36.92"/>
    <n v="36.92"/>
    <n v="36.92"/>
    <n v="36.92"/>
    <n v="36.92"/>
    <n v="36.92"/>
  </r>
  <r>
    <s v="split"/>
    <x v="0"/>
    <n v="0"/>
    <n v="0"/>
    <n v="0"/>
    <n v="0"/>
    <n v="0"/>
    <n v="0"/>
    <n v="0"/>
    <n v="0"/>
    <n v="0"/>
    <n v="0"/>
    <n v="0"/>
    <n v="61.44"/>
    <n v="61.44"/>
    <n v="61.44"/>
    <n v="61.44"/>
    <n v="61.44"/>
    <n v="61.44"/>
  </r>
  <r>
    <s v="split"/>
    <x v="0"/>
    <n v="0"/>
    <n v="0"/>
    <n v="0"/>
    <n v="0"/>
    <n v="0"/>
    <n v="0"/>
    <n v="0"/>
    <n v="0"/>
    <n v="0"/>
    <n v="0"/>
    <n v="0"/>
    <n v="0"/>
    <n v="0"/>
    <n v="26.44"/>
    <n v="26.44"/>
    <n v="26.44"/>
    <n v="26.44"/>
  </r>
  <r>
    <s v="split"/>
    <x v="0"/>
    <n v="0"/>
    <n v="0"/>
    <n v="0"/>
    <n v="0"/>
    <n v="200.92"/>
    <n v="200.92"/>
    <n v="200.92"/>
    <n v="200.92"/>
    <n v="200.92"/>
    <n v="200.92"/>
    <n v="200.92"/>
    <n v="200.92"/>
    <n v="200.92"/>
    <n v="200.92"/>
    <n v="200.92"/>
    <n v="200.92"/>
    <n v="200.92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split"/>
    <x v="0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split"/>
    <x v="0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split"/>
    <x v="0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3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s v="main"/>
    <x v="3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s v="main"/>
    <x v="3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s v="main"/>
    <x v="3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s v="main"/>
    <x v="3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s v="main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3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s v="main"/>
    <x v="3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3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main"/>
    <x v="3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s v="main"/>
    <x v="3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s v="main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3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s v="main"/>
    <x v="3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s v="main"/>
    <x v="3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s v="main"/>
    <x v="3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3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3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3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3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main"/>
    <x v="3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s v="main"/>
    <x v="3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s v="main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main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main"/>
    <x v="3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main"/>
    <x v="3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main"/>
    <x v="3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main"/>
    <x v="3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main"/>
    <x v="3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main"/>
    <x v="3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main"/>
    <x v="3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main"/>
    <x v="3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s v="main"/>
    <x v="3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s v="main"/>
    <x v="3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s v="main"/>
    <x v="3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s v="main"/>
    <x v="3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s v="main"/>
    <x v="3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s v="main"/>
    <x v="3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s v="main"/>
    <x v="3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s v="basement"/>
    <x v="3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s v="basement"/>
    <x v="3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s v="basement"/>
    <x v="3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s v="basement"/>
    <x v="3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s v="basement"/>
    <x v="3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s v="basement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basement"/>
    <x v="3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s v="basement"/>
    <x v="3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basement"/>
    <x v="3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basement"/>
    <x v="3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s v="basement"/>
    <x v="3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s v="basement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3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s v="basement"/>
    <x v="3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s v="basement"/>
    <x v="3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s v="basement"/>
    <x v="3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3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3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3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3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basement"/>
    <x v="3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s v="basement"/>
    <x v="3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s v="basement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basement"/>
    <x v="3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basement"/>
    <x v="3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basement"/>
    <x v="3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basement"/>
    <x v="3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basement"/>
    <x v="3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basement"/>
    <x v="3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basement"/>
    <x v="3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basement"/>
    <x v="3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s v="basement"/>
    <x v="3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s v="basement"/>
    <x v="3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s v="basement"/>
    <x v="3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s v="basement"/>
    <x v="3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s v="basement"/>
    <x v="3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s v="basement"/>
    <x v="3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s v="basement"/>
    <x v="3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s v="basement"/>
    <x v="4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4"/>
    <n v="0"/>
    <n v="0"/>
    <n v="0"/>
    <n v="0"/>
    <n v="0"/>
    <n v="0"/>
    <n v="0"/>
    <n v="0"/>
    <n v="0"/>
    <n v="0"/>
    <n v="0"/>
    <n v="101.51"/>
    <n v="101.51"/>
    <n v="101.51"/>
    <n v="101.51"/>
    <n v="101.51"/>
    <n v="101.51"/>
  </r>
  <r>
    <s v="basement"/>
    <x v="4"/>
    <n v="0"/>
    <n v="0"/>
    <n v="0"/>
    <n v="0"/>
    <n v="0"/>
    <n v="0"/>
    <n v="0"/>
    <n v="0"/>
    <n v="0"/>
    <n v="0"/>
    <n v="0"/>
    <n v="168.96"/>
    <n v="168.96"/>
    <n v="168.96"/>
    <n v="168.96"/>
    <n v="168.96"/>
    <n v="168.96"/>
  </r>
  <r>
    <s v="basement"/>
    <x v="4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s v="basement"/>
    <x v="4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4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4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4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4"/>
    <n v="0"/>
    <n v="0"/>
    <n v="0"/>
    <n v="0"/>
    <n v="0"/>
    <n v="0"/>
    <n v="0"/>
    <n v="0"/>
    <n v="0"/>
    <n v="0"/>
    <n v="0"/>
    <n v="27.87"/>
    <n v="27.87"/>
    <n v="27.87"/>
    <n v="27.87"/>
    <n v="27.87"/>
    <n v="27.87"/>
  </r>
  <r>
    <s v="basement"/>
    <x v="4"/>
    <n v="0"/>
    <n v="0"/>
    <n v="0"/>
    <n v="192.73"/>
    <n v="192.73"/>
    <n v="192.73"/>
    <n v="192.73"/>
    <n v="192.73"/>
    <n v="192.73"/>
    <n v="192.73"/>
    <n v="192.73"/>
    <n v="192.73"/>
    <n v="192.73"/>
    <n v="192.73"/>
    <n v="192.73"/>
    <n v="192.73"/>
    <n v="192.73"/>
  </r>
  <r>
    <s v="basement"/>
    <x v="4"/>
    <n v="0"/>
    <n v="0"/>
    <n v="0"/>
    <n v="0"/>
    <n v="0"/>
    <n v="0"/>
    <n v="0"/>
    <n v="0"/>
    <n v="0"/>
    <n v="0"/>
    <n v="0"/>
    <n v="0"/>
    <n v="0"/>
    <n v="0"/>
    <n v="61.32"/>
    <n v="61.32"/>
    <n v="61.32"/>
  </r>
  <r>
    <s v="basement"/>
    <x v="4"/>
    <n v="0"/>
    <n v="0"/>
    <n v="0"/>
    <n v="0"/>
    <n v="282.08"/>
    <n v="282.08"/>
    <n v="282.08"/>
    <n v="282.08"/>
    <n v="282.08"/>
    <n v="282.08"/>
    <n v="282.08"/>
    <n v="282.08"/>
    <n v="282.08"/>
    <n v="282.08"/>
    <n v="282.08"/>
    <n v="282.08"/>
    <n v="282.08"/>
  </r>
  <r>
    <s v="basement"/>
    <x v="4"/>
    <n v="0"/>
    <n v="0"/>
    <n v="0"/>
    <n v="240.61"/>
    <n v="240.61"/>
    <n v="240.61"/>
    <n v="240.61"/>
    <n v="481.22"/>
    <n v="481.22"/>
    <n v="481.22"/>
    <n v="481.22"/>
    <n v="962.44"/>
    <n v="962.44"/>
    <n v="962.44"/>
    <n v="962.44"/>
    <n v="962.44"/>
    <n v="962.44"/>
  </r>
  <r>
    <s v="basement"/>
    <x v="4"/>
    <n v="0"/>
    <n v="0"/>
    <n v="0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</r>
  <r>
    <s v="basement"/>
    <x v="4"/>
    <n v="0"/>
    <n v="0"/>
    <n v="0"/>
    <n v="180.72"/>
    <n v="180.72"/>
    <n v="180.72"/>
    <n v="180.72"/>
    <n v="180.72"/>
    <n v="180.72"/>
    <n v="180.72"/>
    <n v="180.72"/>
    <n v="180.72"/>
    <n v="180.72"/>
    <n v="180.72"/>
    <n v="180.72"/>
    <n v="180.72"/>
    <n v="180.72"/>
  </r>
  <r>
    <s v="basement"/>
    <x v="4"/>
    <n v="0"/>
    <n v="0"/>
    <n v="0"/>
    <n v="44.51"/>
    <n v="44.51"/>
    <n v="44.51"/>
    <n v="44.51"/>
    <n v="89.02"/>
    <n v="89.02"/>
    <n v="89.02"/>
    <n v="89.02"/>
    <n v="178.04"/>
    <n v="178.04"/>
    <n v="178.04"/>
    <n v="178.04"/>
    <n v="178.04"/>
    <n v="178.04"/>
  </r>
  <r>
    <s v="basement"/>
    <x v="4"/>
    <n v="0"/>
    <n v="0"/>
    <n v="0"/>
    <n v="0"/>
    <n v="0"/>
    <n v="0"/>
    <n v="0"/>
    <n v="0"/>
    <n v="0"/>
    <n v="0"/>
    <n v="0"/>
    <n v="0"/>
    <n v="0"/>
    <n v="0"/>
    <n v="45.37"/>
    <n v="45.37"/>
    <n v="45.37"/>
  </r>
  <r>
    <s v="basement"/>
    <x v="4"/>
    <n v="0"/>
    <n v="0"/>
    <n v="0"/>
    <n v="47.53"/>
    <n v="47.53"/>
    <n v="47.53"/>
    <n v="47.53"/>
    <n v="47.53"/>
    <n v="47.53"/>
    <n v="47.53"/>
    <n v="47.53"/>
    <n v="47.53"/>
    <n v="47.53"/>
    <n v="47.53"/>
    <n v="47.53"/>
    <n v="47.53"/>
    <n v="47.53"/>
  </r>
  <r>
    <s v="basement"/>
    <x v="4"/>
    <n v="0"/>
    <n v="0"/>
    <n v="0"/>
    <n v="0"/>
    <n v="0"/>
    <n v="0"/>
    <n v="166.21"/>
    <n v="166.21"/>
    <n v="166.21"/>
    <n v="166.21"/>
    <n v="166.21"/>
    <n v="166.21"/>
    <n v="166.21"/>
    <n v="166.21"/>
    <n v="166.21"/>
    <n v="166.21"/>
    <n v="166.21"/>
  </r>
  <r>
    <s v="basement"/>
    <x v="4"/>
    <n v="0"/>
    <n v="0"/>
    <n v="0"/>
    <n v="91.8"/>
    <n v="91.8"/>
    <n v="91.8"/>
    <n v="91.8"/>
    <n v="91.8"/>
    <n v="91.8"/>
    <n v="91.8"/>
    <n v="91.8"/>
    <n v="91.8"/>
    <n v="91.8"/>
    <n v="91.8"/>
    <n v="91.8"/>
    <n v="91.8"/>
    <n v="91.8"/>
  </r>
  <r>
    <s v="basement"/>
    <x v="4"/>
    <n v="0"/>
    <n v="0"/>
    <n v="0"/>
    <n v="231.98"/>
    <n v="231.98"/>
    <n v="231.98"/>
    <n v="231.98"/>
    <n v="231.98"/>
    <n v="231.98"/>
    <n v="231.98"/>
    <n v="231.98"/>
    <n v="231.98"/>
    <n v="231.98"/>
    <n v="231.98"/>
    <n v="231.98"/>
    <n v="231.98"/>
    <n v="231.98"/>
  </r>
  <r>
    <s v="basement"/>
    <x v="4"/>
    <n v="0"/>
    <n v="0"/>
    <n v="0"/>
    <n v="10.8"/>
    <n v="10.8"/>
    <n v="10.8"/>
    <n v="10.8"/>
    <n v="10.8"/>
    <n v="10.8"/>
    <n v="10.8"/>
    <n v="10.8"/>
    <n v="10.8"/>
    <n v="10.8"/>
    <n v="10.8"/>
    <n v="10.8"/>
    <n v="10.8"/>
    <n v="10.8"/>
  </r>
  <r>
    <s v="basement"/>
    <x v="4"/>
    <n v="0"/>
    <n v="0"/>
    <n v="0"/>
    <n v="87.69"/>
    <n v="87.69"/>
    <n v="87.69"/>
    <n v="87.69"/>
    <n v="87.69"/>
    <n v="87.69"/>
    <n v="87.69"/>
    <n v="87.69"/>
    <n v="87.69"/>
    <n v="87.69"/>
    <n v="87.69"/>
    <n v="87.69"/>
    <n v="87.69"/>
    <n v="87.69"/>
  </r>
  <r>
    <s v="main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main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main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main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main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main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main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5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s v="main"/>
    <x v="5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s v="main"/>
    <x v="5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s v="main"/>
    <x v="5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s v="main"/>
    <x v="5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s v="main"/>
    <x v="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main"/>
    <x v="5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s v="main"/>
    <x v="5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s v="main"/>
    <x v="5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s v="main"/>
    <x v="5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s v="main"/>
    <x v="5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s v="main"/>
    <x v="5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s v="main"/>
    <x v="5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s v="main"/>
    <x v="5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s v="main"/>
    <x v="6"/>
    <n v="0"/>
    <n v="0"/>
    <n v="0"/>
    <n v="0"/>
    <n v="0"/>
    <n v="0"/>
    <n v="45.16"/>
    <n v="45.16"/>
    <n v="45.16"/>
    <n v="45.16"/>
    <n v="45.16"/>
    <n v="45.16"/>
    <n v="45.16"/>
    <n v="45.16"/>
    <n v="45.16"/>
    <n v="45.16"/>
    <n v="45.16"/>
  </r>
  <r>
    <s v="main"/>
    <x v="6"/>
    <n v="0"/>
    <n v="0"/>
    <n v="0"/>
    <n v="0"/>
    <n v="0"/>
    <n v="0"/>
    <n v="0"/>
    <n v="0"/>
    <n v="53.556000000000004"/>
    <n v="53.556000000000004"/>
    <n v="53.556000000000004"/>
    <n v="53.556000000000004"/>
    <n v="53.556000000000004"/>
    <n v="53.556000000000004"/>
    <n v="89.26"/>
    <n v="89.26"/>
    <n v="89.26"/>
  </r>
  <r>
    <s v="main"/>
    <x v="6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s v="main"/>
    <x v="6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6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6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s v="main"/>
    <x v="6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6"/>
    <n v="0"/>
    <n v="0"/>
    <n v="0"/>
    <n v="0"/>
    <n v="0"/>
    <n v="0"/>
    <n v="0"/>
    <n v="0"/>
    <n v="0"/>
    <n v="0"/>
    <n v="0"/>
    <n v="0"/>
    <n v="0"/>
    <n v="0"/>
    <n v="151.22999999999999"/>
    <n v="151.22999999999999"/>
    <n v="151.22999999999999"/>
  </r>
  <r>
    <s v="main"/>
    <x v="6"/>
    <n v="0"/>
    <n v="0"/>
    <n v="0"/>
    <n v="0"/>
    <n v="1839.32"/>
    <n v="1839.32"/>
    <n v="1839.32"/>
    <n v="1839.32"/>
    <n v="1839.32"/>
    <n v="1839.32"/>
    <n v="1839.32"/>
    <n v="1839.32"/>
    <n v="1839.32"/>
    <n v="1839.32"/>
    <n v="1839.32"/>
    <n v="1839.32"/>
    <n v="1839.32"/>
  </r>
  <r>
    <s v="main"/>
    <x v="6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6"/>
    <n v="0"/>
    <n v="0"/>
    <n v="0"/>
    <n v="0"/>
    <n v="0"/>
    <n v="0"/>
    <n v="0"/>
    <n v="0"/>
    <n v="0"/>
    <n v="0"/>
    <n v="363.88"/>
    <n v="363.88"/>
    <n v="363.88"/>
    <n v="363.88"/>
    <n v="363.88"/>
    <n v="363.88"/>
    <n v="363.88"/>
  </r>
  <r>
    <s v="main"/>
    <x v="6"/>
    <n v="0"/>
    <n v="0"/>
    <n v="0"/>
    <n v="0"/>
    <n v="0"/>
    <n v="0"/>
    <n v="0"/>
    <n v="0"/>
    <n v="0"/>
    <n v="0"/>
    <n v="0"/>
    <n v="0"/>
    <n v="3701.72"/>
    <n v="3701.72"/>
    <n v="3701.72"/>
    <n v="3701.72"/>
    <n v="3701.72"/>
  </r>
  <r>
    <s v="main"/>
    <x v="6"/>
    <n v="0"/>
    <n v="0"/>
    <n v="0"/>
    <n v="0"/>
    <n v="6072.38"/>
    <n v="6072.38"/>
    <n v="6072.38"/>
    <n v="6072.38"/>
    <n v="6072.38"/>
    <n v="6072.38"/>
    <n v="6072.38"/>
    <n v="6072.38"/>
    <n v="6072.38"/>
    <n v="6072.38"/>
    <n v="6072.38"/>
    <n v="6072.38"/>
    <n v="6072.38"/>
  </r>
  <r>
    <s v="main"/>
    <x v="6"/>
    <n v="0"/>
    <n v="0"/>
    <n v="0"/>
    <n v="0"/>
    <n v="0"/>
    <n v="0"/>
    <n v="0"/>
    <n v="0"/>
    <n v="0"/>
    <n v="0"/>
    <n v="0"/>
    <n v="0"/>
    <n v="0"/>
    <n v="651.26"/>
    <n v="651.26"/>
    <n v="651.26"/>
    <n v="651.26"/>
  </r>
  <r>
    <s v="main"/>
    <x v="6"/>
    <n v="0"/>
    <n v="0"/>
    <n v="0"/>
    <n v="0"/>
    <n v="0"/>
    <n v="0"/>
    <n v="0"/>
    <n v="0"/>
    <n v="0"/>
    <n v="0"/>
    <n v="3906.04"/>
    <n v="3906.04"/>
    <n v="3906.04"/>
    <n v="3906.04"/>
    <n v="3906.04"/>
    <n v="3906.04"/>
    <n v="3906.04"/>
  </r>
  <r>
    <s v="main"/>
    <x v="6"/>
    <n v="0"/>
    <n v="0"/>
    <n v="0"/>
    <n v="0"/>
    <n v="0"/>
    <n v="0"/>
    <n v="0"/>
    <n v="0"/>
    <n v="0"/>
    <n v="0"/>
    <n v="1464.76"/>
    <n v="1464.76"/>
    <n v="1464.76"/>
    <n v="1464.76"/>
    <n v="1464.76"/>
    <n v="1464.76"/>
    <n v="1464.76"/>
  </r>
  <r>
    <s v="main"/>
    <x v="6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s v="main"/>
    <x v="6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s v="main"/>
    <x v="6"/>
    <n v="0"/>
    <n v="0"/>
    <n v="0"/>
    <n v="0"/>
    <n v="0"/>
    <n v="0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</r>
  <r>
    <s v="main"/>
    <x v="6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6"/>
    <n v="0"/>
    <n v="0"/>
    <n v="0"/>
    <n v="0"/>
    <n v="0"/>
    <n v="0"/>
    <n v="0"/>
    <n v="0"/>
    <n v="0"/>
    <n v="0"/>
    <n v="2053.88"/>
    <n v="2053.88"/>
    <n v="2053.88"/>
    <n v="2053.88"/>
    <n v="2053.88"/>
    <n v="2053.88"/>
    <n v="2053.88"/>
  </r>
  <r>
    <s v="main"/>
    <x v="6"/>
    <n v="0"/>
    <n v="0"/>
    <n v="0"/>
    <n v="0"/>
    <n v="0"/>
    <n v="0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</r>
  <r>
    <s v="main"/>
    <x v="6"/>
    <n v="0"/>
    <n v="0"/>
    <n v="0"/>
    <n v="0"/>
    <n v="0"/>
    <n v="0"/>
    <n v="0"/>
    <n v="0"/>
    <n v="0"/>
    <n v="0"/>
    <n v="0"/>
    <n v="48.92"/>
    <n v="48.92"/>
    <n v="48.92"/>
    <n v="48.92"/>
    <n v="48.92"/>
    <n v="48.92"/>
  </r>
  <r>
    <s v="main"/>
    <x v="6"/>
    <n v="0"/>
    <n v="0"/>
    <n v="0"/>
    <n v="337.91"/>
    <n v="337.91"/>
    <n v="337.91"/>
    <n v="337.91"/>
    <n v="337.91"/>
    <n v="337.91"/>
    <n v="337.91"/>
    <n v="337.91"/>
    <n v="337.91"/>
    <n v="337.91"/>
    <n v="337.91"/>
    <n v="337.91"/>
    <n v="337.91"/>
    <n v="337.91"/>
  </r>
  <r>
    <s v="main"/>
    <x v="6"/>
    <n v="0"/>
    <n v="0"/>
    <n v="0"/>
    <n v="0"/>
    <n v="0"/>
    <n v="0"/>
    <n v="0"/>
    <n v="0"/>
    <n v="0"/>
    <n v="0"/>
    <n v="0"/>
    <n v="0"/>
    <n v="0"/>
    <n v="0"/>
    <n v="107.52"/>
    <n v="107.52"/>
    <n v="107.52"/>
  </r>
  <r>
    <s v="main"/>
    <x v="6"/>
    <n v="0"/>
    <n v="0"/>
    <n v="0"/>
    <n v="0"/>
    <n v="494.6"/>
    <n v="494.6"/>
    <n v="494.6"/>
    <n v="494.6"/>
    <n v="494.6"/>
    <n v="494.6"/>
    <n v="494.6"/>
    <n v="494.6"/>
    <n v="494.6"/>
    <n v="494.6"/>
    <n v="494.6"/>
    <n v="494.6"/>
    <n v="494.6"/>
  </r>
  <r>
    <s v="main"/>
    <x v="6"/>
    <n v="0"/>
    <n v="0"/>
    <n v="0"/>
    <n v="421.88499999999999"/>
    <n v="421.88499999999999"/>
    <n v="421.88499999999999"/>
    <n v="421.88499999999999"/>
    <n v="843.77"/>
    <n v="843.77"/>
    <n v="843.77"/>
    <n v="843.77"/>
    <n v="1687.54"/>
    <n v="1687.54"/>
    <n v="1687.54"/>
    <n v="1687.54"/>
    <n v="1687.54"/>
    <n v="1687.54"/>
  </r>
  <r>
    <s v="main"/>
    <x v="6"/>
    <n v="0"/>
    <n v="0"/>
    <n v="0"/>
    <n v="134.66"/>
    <n v="134.66"/>
    <n v="134.66"/>
    <n v="134.66"/>
    <n v="134.66"/>
    <n v="134.66"/>
    <n v="134.66"/>
    <n v="134.66"/>
    <n v="134.66"/>
    <n v="134.66"/>
    <n v="134.66"/>
    <n v="134.66"/>
    <n v="134.66"/>
    <n v="134.66"/>
  </r>
  <r>
    <s v="main"/>
    <x v="6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s v="main"/>
    <x v="6"/>
    <n v="0"/>
    <n v="0"/>
    <n v="0"/>
    <n v="140.32"/>
    <n v="140.32"/>
    <n v="140.32"/>
    <n v="140.32"/>
    <n v="280.64"/>
    <n v="280.64"/>
    <n v="280.64"/>
    <n v="280.64"/>
    <n v="561.28"/>
    <n v="561.28"/>
    <n v="561.28"/>
    <n v="561.28"/>
    <n v="561.28"/>
    <n v="561.28"/>
  </r>
  <r>
    <s v="main"/>
    <x v="6"/>
    <n v="0"/>
    <n v="0"/>
    <n v="0"/>
    <n v="0"/>
    <n v="0"/>
    <n v="0"/>
    <n v="0"/>
    <n v="0"/>
    <n v="0"/>
    <n v="0"/>
    <n v="0"/>
    <n v="0"/>
    <n v="0"/>
    <n v="0"/>
    <n v="143.05000000000001"/>
    <n v="143.05000000000001"/>
    <n v="143.05000000000001"/>
  </r>
  <r>
    <s v="main"/>
    <x v="6"/>
    <n v="0"/>
    <n v="0"/>
    <n v="0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</r>
  <r>
    <s v="main"/>
    <x v="6"/>
    <n v="0"/>
    <n v="0"/>
    <n v="0"/>
    <n v="0"/>
    <n v="0"/>
    <n v="0"/>
    <n v="524.13"/>
    <n v="524.13"/>
    <n v="524.13"/>
    <n v="524.13"/>
    <n v="524.13"/>
    <n v="524.13"/>
    <n v="524.13"/>
    <n v="524.13"/>
    <n v="524.13"/>
    <n v="524.13"/>
    <n v="524.13"/>
  </r>
  <r>
    <s v="main"/>
    <x v="6"/>
    <n v="0"/>
    <n v="0"/>
    <n v="0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</r>
  <r>
    <s v="main"/>
    <x v="6"/>
    <n v="0"/>
    <n v="0"/>
    <n v="0"/>
    <n v="731.52"/>
    <n v="731.52"/>
    <n v="731.52"/>
    <n v="731.52"/>
    <n v="731.52"/>
    <n v="731.52"/>
    <n v="731.52"/>
    <n v="731.52"/>
    <n v="731.52"/>
    <n v="731.52"/>
    <n v="731.52"/>
    <n v="731.52"/>
    <n v="731.52"/>
    <n v="731.52"/>
  </r>
  <r>
    <s v="main"/>
    <x v="6"/>
    <n v="0"/>
    <n v="0"/>
    <n v="0"/>
    <n v="34.08"/>
    <n v="34.08"/>
    <n v="34.08"/>
    <n v="34.08"/>
    <n v="34.08"/>
    <n v="34.08"/>
    <n v="34.08"/>
    <n v="34.08"/>
    <n v="34.08"/>
    <n v="34.08"/>
    <n v="34.08"/>
    <n v="34.08"/>
    <n v="34.08"/>
    <n v="34.08"/>
  </r>
  <r>
    <s v="main"/>
    <x v="6"/>
    <n v="0"/>
    <n v="0"/>
    <n v="0"/>
    <n v="276.52"/>
    <n v="276.52"/>
    <n v="276.52"/>
    <n v="276.52"/>
    <n v="276.52"/>
    <n v="276.52"/>
    <n v="276.52"/>
    <n v="276.52"/>
    <n v="276.52"/>
    <n v="276.52"/>
    <n v="276.52"/>
    <n v="276.52"/>
    <n v="276.52"/>
    <n v="276.52"/>
  </r>
  <r>
    <s v="basement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basement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basement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basement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basement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basement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5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s v="basement"/>
    <x v="5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s v="basement"/>
    <x v="5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s v="basement"/>
    <x v="5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s v="basement"/>
    <x v="5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s v="basement"/>
    <x v="5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s v="basement"/>
    <x v="5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s v="basement"/>
    <x v="5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s v="basement"/>
    <x v="5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s v="basement"/>
    <x v="5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s v="basement"/>
    <x v="5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s v="basement"/>
    <x v="5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s v="basement"/>
    <x v="5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s v="basement"/>
    <x v="5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s v="basement"/>
    <x v="5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s v="main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main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main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main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main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main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main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main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main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main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main"/>
    <x v="5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s v="main"/>
    <x v="5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s v="main"/>
    <x v="5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s v="main"/>
    <x v="5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s v="main"/>
    <x v="5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s v="main"/>
    <x v="5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5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s v="main"/>
    <x v="5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s v="main"/>
    <x v="5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s v="main"/>
    <x v="5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s v="main"/>
    <x v="5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s v="main"/>
    <x v="5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s v="main"/>
    <x v="5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s v="main"/>
    <x v="5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s v="main"/>
    <x v="5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s v="main"/>
    <x v="7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s v="main"/>
    <x v="7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s v="main"/>
    <x v="7"/>
    <n v="0"/>
    <n v="0"/>
    <n v="0"/>
    <n v="0"/>
    <n v="0"/>
    <n v="0"/>
    <n v="0"/>
    <n v="0"/>
    <n v="0"/>
    <n v="0"/>
    <n v="0"/>
    <n v="32.47"/>
    <n v="32.47"/>
    <n v="32.47"/>
    <n v="32.47"/>
    <n v="32.47"/>
    <n v="32.47"/>
  </r>
  <r>
    <s v="main"/>
    <x v="7"/>
    <n v="0"/>
    <n v="0"/>
    <n v="0"/>
    <n v="224.41"/>
    <n v="224.41"/>
    <n v="224.41"/>
    <n v="224.41"/>
    <n v="224.41"/>
    <n v="224.41"/>
    <n v="224.41"/>
    <n v="224.41"/>
    <n v="224.41"/>
    <n v="224.41"/>
    <n v="224.41"/>
    <n v="224.41"/>
    <n v="224.41"/>
    <n v="224.41"/>
  </r>
  <r>
    <s v="main"/>
    <x v="7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s v="main"/>
    <x v="7"/>
    <n v="0"/>
    <n v="0"/>
    <n v="0"/>
    <n v="0"/>
    <n v="328.44"/>
    <n v="328.44"/>
    <n v="328.44"/>
    <n v="328.44"/>
    <n v="328.44"/>
    <n v="328.44"/>
    <n v="328.44"/>
    <n v="328.44"/>
    <n v="328.44"/>
    <n v="328.44"/>
    <n v="328.44"/>
    <n v="328.44"/>
    <n v="328.44"/>
  </r>
  <r>
    <s v="main"/>
    <x v="7"/>
    <n v="0"/>
    <n v="0"/>
    <n v="0"/>
    <n v="280.16500000000002"/>
    <n v="280.16500000000002"/>
    <n v="280.16500000000002"/>
    <n v="280.16500000000002"/>
    <n v="560.33000000000004"/>
    <n v="560.33000000000004"/>
    <n v="560.33000000000004"/>
    <n v="560.33000000000004"/>
    <n v="1120.6600000000001"/>
    <n v="1120.6600000000001"/>
    <n v="1120.6600000000001"/>
    <n v="1120.6600000000001"/>
    <n v="1120.6600000000001"/>
    <n v="1120.6600000000001"/>
  </r>
  <r>
    <s v="main"/>
    <x v="7"/>
    <n v="0"/>
    <n v="0"/>
    <n v="0"/>
    <n v="89.41"/>
    <n v="89.41"/>
    <n v="89.41"/>
    <n v="89.41"/>
    <n v="89.41"/>
    <n v="89.41"/>
    <n v="89.41"/>
    <n v="89.41"/>
    <n v="89.41"/>
    <n v="89.41"/>
    <n v="89.41"/>
    <n v="89.41"/>
    <n v="89.41"/>
    <n v="89.41"/>
  </r>
  <r>
    <s v="main"/>
    <x v="7"/>
    <n v="0"/>
    <n v="0"/>
    <n v="0"/>
    <n v="210.44"/>
    <n v="210.44"/>
    <n v="210.44"/>
    <n v="210.44"/>
    <n v="210.44"/>
    <n v="210.44"/>
    <n v="210.44"/>
    <n v="210.44"/>
    <n v="210.44"/>
    <n v="210.44"/>
    <n v="210.44"/>
    <n v="210.44"/>
    <n v="210.44"/>
    <n v="210.44"/>
  </r>
  <r>
    <s v="main"/>
    <x v="7"/>
    <n v="0"/>
    <n v="0"/>
    <n v="0"/>
    <n v="60.774999999999999"/>
    <n v="60.774999999999999"/>
    <n v="60.774999999999999"/>
    <n v="60.774999999999999"/>
    <n v="121.55"/>
    <n v="121.55"/>
    <n v="121.55"/>
    <n v="121.55"/>
    <n v="243.1"/>
    <n v="243.1"/>
    <n v="243.1"/>
    <n v="243.1"/>
    <n v="243.1"/>
    <n v="243.1"/>
  </r>
  <r>
    <s v="main"/>
    <x v="7"/>
    <n v="0"/>
    <n v="0"/>
    <n v="0"/>
    <n v="0"/>
    <n v="0"/>
    <n v="0"/>
    <n v="0"/>
    <n v="0"/>
    <n v="0"/>
    <n v="0"/>
    <n v="0"/>
    <n v="0"/>
    <n v="0"/>
    <n v="0"/>
    <n v="61.95"/>
    <n v="61.95"/>
    <n v="61.95"/>
  </r>
  <r>
    <s v="main"/>
    <x v="7"/>
    <n v="0"/>
    <n v="0"/>
    <n v="0"/>
    <n v="64.91"/>
    <n v="64.91"/>
    <n v="64.91"/>
    <n v="64.91"/>
    <n v="64.91"/>
    <n v="64.91"/>
    <n v="64.91"/>
    <n v="64.91"/>
    <n v="64.91"/>
    <n v="64.91"/>
    <n v="64.91"/>
    <n v="64.91"/>
    <n v="64.91"/>
    <n v="64.91"/>
  </r>
  <r>
    <s v="main"/>
    <x v="7"/>
    <n v="0"/>
    <n v="0"/>
    <n v="0"/>
    <n v="0"/>
    <n v="0"/>
    <n v="0"/>
    <n v="226.96"/>
    <n v="226.96"/>
    <n v="226.96"/>
    <n v="226.96"/>
    <n v="226.96"/>
    <n v="226.96"/>
    <n v="226.96"/>
    <n v="226.96"/>
    <n v="226.96"/>
    <n v="226.96"/>
    <n v="226.96"/>
  </r>
  <r>
    <s v="main"/>
    <x v="7"/>
    <n v="0"/>
    <n v="0"/>
    <n v="0"/>
    <n v="125.41"/>
    <n v="125.41"/>
    <n v="125.41"/>
    <n v="125.41"/>
    <n v="125.41"/>
    <n v="125.41"/>
    <n v="125.41"/>
    <n v="125.41"/>
    <n v="125.41"/>
    <n v="125.41"/>
    <n v="125.41"/>
    <n v="125.41"/>
    <n v="125.41"/>
    <n v="125.41"/>
  </r>
  <r>
    <s v="main"/>
    <x v="7"/>
    <n v="0"/>
    <n v="0"/>
    <n v="0"/>
    <n v="316.92"/>
    <n v="316.92"/>
    <n v="316.92"/>
    <n v="316.92"/>
    <n v="316.92"/>
    <n v="316.92"/>
    <n v="316.92"/>
    <n v="316.92"/>
    <n v="316.92"/>
    <n v="316.92"/>
    <n v="316.92"/>
    <n v="316.92"/>
    <n v="316.92"/>
    <n v="316.92"/>
  </r>
  <r>
    <s v="main"/>
    <x v="7"/>
    <n v="0"/>
    <n v="0"/>
    <n v="0"/>
    <n v="14.76"/>
    <n v="14.76"/>
    <n v="14.76"/>
    <n v="14.76"/>
    <n v="14.76"/>
    <n v="14.76"/>
    <n v="14.76"/>
    <n v="14.76"/>
    <n v="14.76"/>
    <n v="14.76"/>
    <n v="14.76"/>
    <n v="14.76"/>
    <n v="14.76"/>
    <n v="14.76"/>
  </r>
  <r>
    <s v="main"/>
    <x v="7"/>
    <n v="0"/>
    <n v="0"/>
    <n v="0"/>
    <n v="119.79"/>
    <n v="119.79"/>
    <n v="119.79"/>
    <n v="119.79"/>
    <n v="119.79"/>
    <n v="119.79"/>
    <n v="119.79"/>
    <n v="119.79"/>
    <n v="119.79"/>
    <n v="119.79"/>
    <n v="119.79"/>
    <n v="119.79"/>
    <n v="119.79"/>
    <n v="119.79"/>
  </r>
  <r>
    <s v="basement"/>
    <x v="8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8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basement"/>
    <x v="8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8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basement"/>
    <x v="8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s v="basement"/>
    <x v="8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s v="basement"/>
    <x v="8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s v="basement"/>
    <x v="8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s v="basement"/>
    <x v="8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s v="basement"/>
    <x v="8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s v="basement"/>
    <x v="8"/>
    <n v="0"/>
    <n v="0"/>
    <n v="0"/>
    <n v="37.700000000000003"/>
    <n v="37.700000000000003"/>
    <n v="37.700000000000003"/>
    <n v="37.700000000000003"/>
    <n v="75.400000000000006"/>
    <n v="75.400000000000006"/>
    <n v="75.400000000000006"/>
    <n v="75.400000000000006"/>
    <n v="150.80000000000001"/>
    <n v="150.80000000000001"/>
    <n v="150.80000000000001"/>
    <n v="150.80000000000001"/>
    <n v="150.80000000000001"/>
    <n v="150.80000000000001"/>
  </r>
  <r>
    <s v="basement"/>
    <x v="8"/>
    <n v="0"/>
    <n v="0"/>
    <n v="0"/>
    <n v="0"/>
    <n v="0"/>
    <n v="0"/>
    <n v="0"/>
    <n v="0"/>
    <n v="0"/>
    <n v="0"/>
    <n v="0"/>
    <n v="0"/>
    <n v="0"/>
    <n v="0"/>
    <n v="38.43"/>
    <n v="38.43"/>
    <n v="38.43"/>
  </r>
  <r>
    <s v="basement"/>
    <x v="8"/>
    <n v="0"/>
    <n v="0"/>
    <n v="0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</r>
  <r>
    <s v="basement"/>
    <x v="8"/>
    <n v="0"/>
    <n v="0"/>
    <n v="0"/>
    <n v="0"/>
    <n v="0"/>
    <n v="0"/>
    <n v="140.91"/>
    <n v="140.91"/>
    <n v="140.91"/>
    <n v="140.91"/>
    <n v="140.91"/>
    <n v="140.91"/>
    <n v="140.91"/>
    <n v="140.91"/>
    <n v="140.91"/>
    <n v="140.91"/>
    <n v="140.91"/>
  </r>
  <r>
    <s v="basement"/>
    <x v="8"/>
    <n v="0"/>
    <n v="0"/>
    <n v="0"/>
    <n v="77.77"/>
    <n v="77.77"/>
    <n v="77.77"/>
    <n v="77.77"/>
    <n v="77.77"/>
    <n v="77.77"/>
    <n v="77.77"/>
    <n v="77.77"/>
    <n v="77.77"/>
    <n v="77.77"/>
    <n v="77.77"/>
    <n v="77.77"/>
    <n v="77.77"/>
    <n v="77.77"/>
  </r>
  <r>
    <s v="basement"/>
    <x v="8"/>
    <n v="0"/>
    <n v="0"/>
    <n v="0"/>
    <n v="196.55"/>
    <n v="196.55"/>
    <n v="196.55"/>
    <n v="196.55"/>
    <n v="196.55"/>
    <n v="196.55"/>
    <n v="196.55"/>
    <n v="196.55"/>
    <n v="196.55"/>
    <n v="196.55"/>
    <n v="196.55"/>
    <n v="196.55"/>
    <n v="196.55"/>
    <n v="196.55"/>
  </r>
  <r>
    <s v="basement"/>
    <x v="8"/>
    <n v="0"/>
    <n v="0"/>
    <n v="0"/>
    <n v="9.15"/>
    <n v="9.15"/>
    <n v="9.15"/>
    <n v="9.15"/>
    <n v="9.15"/>
    <n v="9.15"/>
    <n v="9.15"/>
    <n v="9.15"/>
    <n v="9.15"/>
    <n v="9.15"/>
    <n v="9.15"/>
    <n v="9.15"/>
    <n v="9.15"/>
    <n v="9.15"/>
  </r>
  <r>
    <s v="basement"/>
    <x v="8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s v="basement"/>
    <x v="5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basement"/>
    <x v="5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s v="basement"/>
    <x v="5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s v="basement"/>
    <x v="5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s v="basement"/>
    <x v="5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s v="basement"/>
    <x v="5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5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s v="basement"/>
    <x v="5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s v="basement"/>
    <x v="5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s v="basement"/>
    <x v="5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s v="basement"/>
    <x v="5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s v="basement"/>
    <x v="5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s v="basement"/>
    <x v="5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s v="basement"/>
    <x v="5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s v="basement"/>
    <x v="5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s v="basement"/>
    <x v="5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s v="basement"/>
    <x v="5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s v="basement"/>
    <x v="5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s v="basement"/>
    <x v="5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s v="basement"/>
    <x v="5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s v="basement"/>
    <x v="5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s v="basement"/>
    <x v="5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s v="basement"/>
    <x v="5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s v="basement"/>
    <x v="5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s v="basement"/>
    <x v="5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s v="basement"/>
    <x v="5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s v="basement"/>
    <x v="5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s v="main"/>
    <x v="9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s v="main"/>
    <x v="9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9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s v="main"/>
    <x v="9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s v="main"/>
    <x v="9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s v="main"/>
    <x v="9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s v="main"/>
    <x v="9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s v="main"/>
    <x v="9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s v="main"/>
    <x v="9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s v="main"/>
    <x v="9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s v="main"/>
    <x v="9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s v="main"/>
    <x v="9"/>
    <n v="0"/>
    <n v="0"/>
    <n v="0"/>
    <n v="388.07"/>
    <n v="388.07"/>
    <n v="388.07"/>
    <n v="388.07"/>
    <n v="776.14"/>
    <n v="776.14"/>
    <n v="776.14"/>
    <n v="776.14"/>
    <n v="1552.28"/>
    <n v="1552.28"/>
    <n v="1552.28"/>
    <n v="1552.28"/>
    <n v="1552.28"/>
    <n v="1552.28"/>
  </r>
  <r>
    <s v="main"/>
    <x v="9"/>
    <n v="0"/>
    <n v="0"/>
    <n v="0"/>
    <n v="0"/>
    <n v="0"/>
    <n v="0"/>
    <n v="0"/>
    <n v="0"/>
    <n v="0"/>
    <n v="0"/>
    <n v="0"/>
    <n v="0"/>
    <n v="0"/>
    <n v="0"/>
    <n v="395.61"/>
    <n v="395.61"/>
    <n v="395.61"/>
  </r>
  <r>
    <s v="main"/>
    <x v="9"/>
    <n v="0"/>
    <n v="0"/>
    <n v="0"/>
    <n v="414.45"/>
    <n v="414.45"/>
    <n v="414.45"/>
    <n v="414.45"/>
    <n v="414.45"/>
    <n v="414.45"/>
    <n v="414.45"/>
    <n v="414.45"/>
    <n v="414.45"/>
    <n v="414.45"/>
    <n v="414.45"/>
    <n v="414.45"/>
    <n v="414.45"/>
    <n v="414.45"/>
  </r>
  <r>
    <s v="main"/>
    <x v="9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s v="main"/>
    <x v="9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s v="main"/>
    <x v="9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s v="main"/>
    <x v="9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s v="main"/>
    <x v="9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  <r>
    <s v="main"/>
    <x v="2"/>
    <n v="0"/>
    <n v="0"/>
    <n v="0"/>
    <n v="0"/>
    <n v="464.88"/>
    <n v="464.88"/>
    <n v="464.88"/>
    <n v="464.88"/>
    <n v="464.88"/>
    <n v="464.88"/>
    <n v="464.88"/>
    <n v="464.88"/>
    <n v="464.88"/>
    <n v="464.88"/>
    <n v="464.88"/>
    <n v="464.88"/>
    <n v="464.88"/>
  </r>
  <r>
    <s v="main"/>
    <x v="2"/>
    <n v="0"/>
    <n v="0"/>
    <n v="0"/>
    <n v="0"/>
    <n v="0"/>
    <n v="0"/>
    <n v="0"/>
    <n v="0"/>
    <n v="19.2"/>
    <n v="19.2"/>
    <n v="19.2"/>
    <n v="19.2"/>
    <n v="19.2"/>
    <n v="19.2"/>
    <n v="19.2"/>
    <n v="19.2"/>
    <n v="19.2"/>
  </r>
  <r>
    <s v="main"/>
    <x v="2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s v="main"/>
    <x v="2"/>
    <n v="0"/>
    <n v="0"/>
    <n v="0"/>
    <n v="0"/>
    <n v="0"/>
    <n v="0"/>
    <n v="0"/>
    <n v="0"/>
    <n v="0"/>
    <n v="0"/>
    <n v="0"/>
    <n v="0"/>
    <n v="0"/>
    <n v="0"/>
    <n v="90.97"/>
    <n v="90.97"/>
    <n v="90.97"/>
  </r>
  <r>
    <s v="main"/>
    <x v="8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s v="main"/>
    <x v="8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s v="main"/>
    <x v="8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main"/>
    <x v="8"/>
    <n v="0"/>
    <n v="0"/>
    <n v="0"/>
    <n v="0"/>
    <n v="0"/>
    <n v="0"/>
    <n v="0"/>
    <n v="0"/>
    <n v="0"/>
    <n v="0"/>
    <n v="0"/>
    <n v="44.15"/>
    <n v="44.15"/>
    <n v="44.15"/>
    <n v="44.15"/>
    <n v="44.15"/>
    <n v="44.15"/>
  </r>
  <r>
    <s v="main"/>
    <x v="8"/>
    <n v="0"/>
    <n v="0"/>
    <n v="0"/>
    <n v="304.92"/>
    <n v="304.92"/>
    <n v="304.92"/>
    <n v="304.92"/>
    <n v="304.92"/>
    <n v="304.92"/>
    <n v="304.92"/>
    <n v="304.92"/>
    <n v="304.92"/>
    <n v="304.92"/>
    <n v="304.92"/>
    <n v="304.92"/>
    <n v="304.92"/>
    <n v="304.92"/>
  </r>
  <r>
    <s v="main"/>
    <x v="8"/>
    <n v="0"/>
    <n v="0"/>
    <n v="0"/>
    <n v="0"/>
    <n v="0"/>
    <n v="0"/>
    <n v="0"/>
    <n v="0"/>
    <n v="0"/>
    <n v="0"/>
    <n v="0"/>
    <n v="0"/>
    <n v="0"/>
    <n v="0"/>
    <n v="97.03"/>
    <n v="97.03"/>
    <n v="97.03"/>
  </r>
  <r>
    <s v="main"/>
    <x v="8"/>
    <n v="0"/>
    <n v="0"/>
    <n v="0"/>
    <n v="0"/>
    <n v="446.29"/>
    <n v="446.29"/>
    <n v="446.29"/>
    <n v="446.29"/>
    <n v="446.29"/>
    <n v="446.29"/>
    <n v="446.29"/>
    <n v="446.29"/>
    <n v="446.29"/>
    <n v="446.29"/>
    <n v="446.29"/>
    <n v="446.29"/>
    <n v="446.29"/>
  </r>
  <r>
    <s v="main"/>
    <x v="8"/>
    <n v="0"/>
    <n v="0"/>
    <n v="0"/>
    <n v="380.69"/>
    <n v="380.69"/>
    <n v="380.69"/>
    <n v="380.69"/>
    <n v="761.38"/>
    <n v="761.38"/>
    <n v="761.38"/>
    <n v="761.38"/>
    <n v="1522.76"/>
    <n v="1522.76"/>
    <n v="1522.76"/>
    <n v="1522.76"/>
    <n v="1522.76"/>
    <n v="1522.76"/>
  </r>
  <r>
    <s v="main"/>
    <x v="8"/>
    <n v="0"/>
    <n v="0"/>
    <n v="0"/>
    <n v="121.52"/>
    <n v="121.52"/>
    <n v="121.52"/>
    <n v="121.52"/>
    <n v="121.52"/>
    <n v="121.52"/>
    <n v="121.52"/>
    <n v="121.52"/>
    <n v="121.52"/>
    <n v="121.52"/>
    <n v="121.52"/>
    <n v="121.52"/>
    <n v="121.52"/>
    <n v="121.52"/>
  </r>
  <r>
    <s v="main"/>
    <x v="8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s v="main"/>
    <x v="8"/>
    <n v="0"/>
    <n v="0"/>
    <n v="0"/>
    <n v="76.547499999999999"/>
    <n v="76.547499999999999"/>
    <n v="76.547499999999999"/>
    <n v="76.547499999999999"/>
    <n v="153.095"/>
    <n v="153.095"/>
    <n v="153.095"/>
    <n v="153.095"/>
    <n v="306.19"/>
    <n v="306.19"/>
    <n v="306.19"/>
    <n v="306.19"/>
    <n v="306.19"/>
    <n v="306.19"/>
  </r>
  <r>
    <s v="main"/>
    <x v="8"/>
    <n v="0"/>
    <n v="0"/>
    <n v="0"/>
    <n v="0"/>
    <n v="0"/>
    <n v="0"/>
    <n v="0"/>
    <n v="0"/>
    <n v="0"/>
    <n v="0"/>
    <n v="0"/>
    <n v="0"/>
    <n v="0"/>
    <n v="0"/>
    <n v="78.03"/>
    <n v="78.03"/>
    <n v="78.03"/>
  </r>
  <r>
    <s v="main"/>
    <x v="8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s v="main"/>
    <x v="8"/>
    <n v="0"/>
    <n v="0"/>
    <n v="0"/>
    <n v="0"/>
    <n v="0"/>
    <n v="0"/>
    <n v="285.88"/>
    <n v="285.88"/>
    <n v="285.88"/>
    <n v="285.88"/>
    <n v="285.88"/>
    <n v="285.88"/>
    <n v="285.88"/>
    <n v="285.88"/>
    <n v="285.88"/>
    <n v="285.88"/>
    <n v="285.88"/>
  </r>
  <r>
    <s v="main"/>
    <x v="8"/>
    <n v="0"/>
    <n v="0"/>
    <n v="0"/>
    <n v="157.94"/>
    <n v="157.94"/>
    <n v="157.94"/>
    <n v="157.94"/>
    <n v="157.94"/>
    <n v="157.94"/>
    <n v="157.94"/>
    <n v="157.94"/>
    <n v="157.94"/>
    <n v="157.94"/>
    <n v="157.94"/>
    <n v="157.94"/>
    <n v="157.94"/>
    <n v="157.94"/>
  </r>
  <r>
    <s v="main"/>
    <x v="8"/>
    <n v="0"/>
    <n v="0"/>
    <n v="0"/>
    <n v="399.14"/>
    <n v="399.14"/>
    <n v="399.14"/>
    <n v="399.14"/>
    <n v="399.14"/>
    <n v="399.14"/>
    <n v="399.14"/>
    <n v="399.14"/>
    <n v="399.14"/>
    <n v="399.14"/>
    <n v="399.14"/>
    <n v="399.14"/>
    <n v="399.14"/>
    <n v="399.14"/>
  </r>
  <r>
    <s v="main"/>
    <x v="8"/>
    <n v="0"/>
    <n v="0"/>
    <n v="0"/>
    <n v="18.59"/>
    <n v="18.59"/>
    <n v="18.59"/>
    <n v="18.59"/>
    <n v="18.59"/>
    <n v="18.59"/>
    <n v="18.59"/>
    <n v="18.59"/>
    <n v="18.59"/>
    <n v="18.59"/>
    <n v="18.59"/>
    <n v="18.59"/>
    <n v="18.59"/>
    <n v="18.59"/>
  </r>
  <r>
    <s v="main"/>
    <x v="8"/>
    <n v="0"/>
    <n v="0"/>
    <n v="0"/>
    <n v="150.88"/>
    <n v="150.88"/>
    <n v="150.88"/>
    <n v="150.88"/>
    <n v="150.88"/>
    <n v="150.88"/>
    <n v="150.88"/>
    <n v="150.88"/>
    <n v="150.88"/>
    <n v="150.88"/>
    <n v="150.88"/>
    <n v="150.88"/>
    <n v="150.88"/>
    <n v="150.88"/>
  </r>
  <r>
    <s v="basement"/>
    <x v="9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s v="basement"/>
    <x v="9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s v="basement"/>
    <x v="9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s v="basement"/>
    <x v="9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s v="basement"/>
    <x v="9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s v="basement"/>
    <x v="9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s v="basement"/>
    <x v="9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s v="basement"/>
    <x v="9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s v="basement"/>
    <x v="9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s v="basement"/>
    <x v="9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s v="basement"/>
    <x v="9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s v="basement"/>
    <x v="9"/>
    <n v="0"/>
    <n v="0"/>
    <n v="0"/>
    <n v="274.44"/>
    <n v="274.44"/>
    <n v="274.44"/>
    <n v="274.44"/>
    <n v="548.88"/>
    <n v="548.88"/>
    <n v="548.88"/>
    <n v="548.88"/>
    <n v="1097.76"/>
    <n v="1097.76"/>
    <n v="1097.76"/>
    <n v="1097.76"/>
    <n v="1097.76"/>
    <n v="1097.76"/>
  </r>
  <r>
    <s v="basement"/>
    <x v="9"/>
    <n v="0"/>
    <n v="0"/>
    <n v="0"/>
    <n v="0"/>
    <n v="0"/>
    <n v="0"/>
    <n v="0"/>
    <n v="0"/>
    <n v="0"/>
    <n v="0"/>
    <n v="0"/>
    <n v="0"/>
    <n v="0"/>
    <n v="0"/>
    <n v="279.76"/>
    <n v="279.76"/>
    <n v="279.76"/>
  </r>
  <r>
    <s v="basement"/>
    <x v="9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s v="basement"/>
    <x v="9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s v="basement"/>
    <x v="9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s v="basement"/>
    <x v="9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s v="basement"/>
    <x v="9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s v="basement"/>
    <x v="9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s v="general-split"/>
    <n v="0"/>
    <n v="0"/>
    <n v="0"/>
    <n v="0"/>
    <n v="0"/>
    <n v="0"/>
    <n v="0"/>
    <n v="0"/>
    <n v="0"/>
    <n v="0"/>
    <n v="0"/>
    <n v="289.08"/>
    <n v="289.08"/>
    <n v="289.08"/>
    <n v="289.08"/>
    <n v="289.08"/>
    <n v="289.08"/>
  </r>
  <r>
    <x v="0"/>
    <s v="general-split"/>
    <n v="0"/>
    <n v="0"/>
    <n v="0"/>
    <n v="0"/>
    <n v="0"/>
    <n v="0"/>
    <n v="0"/>
    <n v="0"/>
    <n v="0"/>
    <n v="0"/>
    <n v="0"/>
    <n v="304.27"/>
    <n v="304.27"/>
    <n v="304.27"/>
    <n v="304.27"/>
    <n v="304.27"/>
    <n v="304.2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0.51"/>
    <n v="190.51"/>
    <n v="190.51"/>
  </r>
  <r>
    <x v="0"/>
    <s v="general-split"/>
    <n v="0"/>
    <n v="0"/>
    <n v="0"/>
    <n v="0"/>
    <n v="0"/>
    <n v="0"/>
    <n v="0"/>
    <n v="0"/>
    <n v="101.41"/>
    <n v="101.41"/>
    <n v="101.41"/>
    <n v="101.41"/>
    <n v="101.41"/>
    <n v="101.41"/>
    <n v="101.41"/>
    <n v="101.41"/>
    <n v="101.41"/>
  </r>
  <r>
    <x v="0"/>
    <s v="general-split"/>
    <n v="0"/>
    <n v="0"/>
    <n v="0"/>
    <n v="0"/>
    <n v="0"/>
    <n v="0"/>
    <n v="0"/>
    <n v="0"/>
    <n v="0"/>
    <n v="0"/>
    <n v="0"/>
    <n v="63.72"/>
    <n v="63.72"/>
    <n v="63.72"/>
    <n v="63.72"/>
    <n v="63.72"/>
    <n v="63.72"/>
  </r>
  <r>
    <x v="0"/>
    <s v="general-split"/>
    <n v="0"/>
    <n v="0"/>
    <n v="0"/>
    <n v="0"/>
    <n v="0"/>
    <n v="0"/>
    <n v="0"/>
    <n v="0"/>
    <n v="0"/>
    <n v="0"/>
    <n v="0"/>
    <n v="0"/>
    <n v="0"/>
    <n v="364.68"/>
    <n v="364.68"/>
    <n v="364.68"/>
    <n v="364.68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230.71"/>
    <n v="230.71"/>
    <n v="230.71"/>
    <n v="230.71"/>
    <n v="230.71"/>
    <n v="230.71"/>
  </r>
  <r>
    <x v="0"/>
    <s v="general-split"/>
    <n v="0"/>
    <n v="0"/>
    <n v="0"/>
    <n v="0"/>
    <n v="0"/>
    <n v="0"/>
    <n v="0"/>
    <n v="0"/>
    <n v="0"/>
    <n v="0"/>
    <n v="0"/>
    <n v="384"/>
    <n v="384"/>
    <n v="384"/>
    <n v="384"/>
    <n v="384"/>
    <n v="384"/>
  </r>
  <r>
    <x v="0"/>
    <s v="general-split"/>
    <n v="0"/>
    <n v="0"/>
    <n v="0"/>
    <n v="0"/>
    <n v="235.7"/>
    <n v="235.7"/>
    <n v="235.7"/>
    <n v="235.7"/>
    <n v="235.7"/>
    <n v="235.7"/>
    <n v="235.7"/>
    <n v="235.7"/>
    <n v="235.7"/>
    <n v="235.7"/>
    <n v="235.7"/>
    <n v="235.7"/>
    <n v="235.7"/>
  </r>
  <r>
    <x v="0"/>
    <s v="general-split"/>
    <n v="0"/>
    <n v="0"/>
    <n v="0"/>
    <n v="150.79"/>
    <n v="150.79"/>
    <n v="150.79"/>
    <n v="150.79"/>
    <n v="301.58"/>
    <n v="301.58"/>
    <n v="301.58"/>
    <n v="301.58"/>
    <n v="603.16"/>
    <n v="603.16"/>
    <n v="603.16"/>
    <n v="603.16"/>
    <n v="603.16"/>
    <n v="603.16"/>
  </r>
  <r>
    <x v="0"/>
    <s v="general-split"/>
    <n v="0"/>
    <n v="0"/>
    <n v="0"/>
    <n v="0"/>
    <n v="0"/>
    <n v="0"/>
    <n v="0"/>
    <n v="0"/>
    <n v="0"/>
    <n v="0"/>
    <n v="0"/>
    <n v="76.17"/>
    <n v="76.17"/>
    <n v="76.17"/>
    <n v="76.17"/>
    <n v="76.17"/>
    <n v="76.17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0"/>
    <s v="general-split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0"/>
    <s v="general-split"/>
    <n v="0"/>
    <n v="0"/>
    <n v="0"/>
    <n v="958.97"/>
    <n v="958.97"/>
    <n v="958.97"/>
    <n v="958.97"/>
    <n v="958.97"/>
    <n v="1917.94"/>
    <n v="1917.94"/>
    <n v="1917.94"/>
    <n v="1917.94"/>
    <n v="3835.88"/>
    <n v="3835.88"/>
    <n v="3835.88"/>
    <n v="3835.88"/>
    <n v="3835.88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1"/>
    <s v="general-mechanical"/>
    <n v="0"/>
    <n v="0"/>
    <n v="0"/>
    <n v="0"/>
    <n v="0"/>
    <n v="0"/>
    <n v="5266.53"/>
    <n v="5266.53"/>
    <n v="5266.53"/>
    <n v="5266.53"/>
    <n v="5266.53"/>
    <n v="5266.53"/>
    <n v="5266.53"/>
    <n v="5266.53"/>
    <n v="5266.53"/>
    <n v="5266.53"/>
    <n v="5266.5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00.58"/>
    <n v="7000.58"/>
  </r>
  <r>
    <x v="0"/>
    <s v="general-split"/>
    <n v="0"/>
    <n v="0"/>
    <n v="0"/>
    <n v="0"/>
    <n v="0"/>
    <n v="0"/>
    <n v="0"/>
    <n v="0"/>
    <n v="0"/>
    <n v="0"/>
    <n v="0"/>
    <n v="0"/>
    <n v="0"/>
    <n v="205.08"/>
    <n v="205.08"/>
    <n v="205.08"/>
    <n v="205.08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8.58999999999997"/>
    <n v="308.58999999999997"/>
    <n v="308.58999999999997"/>
  </r>
  <r>
    <x v="2"/>
    <s v="general-main"/>
    <n v="0"/>
    <n v="0"/>
    <n v="0"/>
    <n v="0"/>
    <n v="0"/>
    <n v="0"/>
    <n v="0"/>
    <n v="0"/>
    <n v="0"/>
    <n v="0"/>
    <n v="0"/>
    <n v="0"/>
    <n v="0"/>
    <n v="0"/>
    <n v="224.42"/>
    <n v="224.42"/>
    <n v="224.42"/>
  </r>
  <r>
    <x v="2"/>
    <s v="general-main"/>
    <n v="0"/>
    <n v="0"/>
    <n v="0"/>
    <n v="0"/>
    <n v="0"/>
    <n v="0"/>
    <n v="0"/>
    <n v="0"/>
    <n v="0"/>
    <n v="0"/>
    <n v="0"/>
    <n v="255.4"/>
    <n v="255.4"/>
    <n v="255.4"/>
    <n v="255.4"/>
    <n v="255.4"/>
    <n v="255.4"/>
  </r>
  <r>
    <x v="2"/>
    <s v="general-main"/>
    <n v="0"/>
    <n v="0"/>
    <n v="0"/>
    <n v="0"/>
    <n v="0"/>
    <n v="1146.5"/>
    <n v="1146.5"/>
    <n v="1146.5"/>
    <n v="1146.5"/>
    <n v="1146.5"/>
    <n v="1146.5"/>
    <n v="1146.5"/>
    <n v="1146.5"/>
    <n v="1146.5"/>
    <n v="1146.5"/>
    <n v="1146.5"/>
    <n v="1146.5"/>
  </r>
  <r>
    <x v="2"/>
    <s v="general-main"/>
    <n v="0"/>
    <n v="0"/>
    <n v="0"/>
    <n v="0"/>
    <n v="0"/>
    <n v="1389.64"/>
    <n v="1389.64"/>
    <n v="1389.64"/>
    <n v="1389.64"/>
    <n v="1389.64"/>
    <n v="1389.64"/>
    <n v="1389.64"/>
    <n v="1389.64"/>
    <n v="1389.64"/>
    <n v="1389.64"/>
    <n v="1389.64"/>
    <n v="1389.64"/>
  </r>
  <r>
    <x v="0"/>
    <s v="general-split"/>
    <n v="0"/>
    <n v="0"/>
    <n v="0"/>
    <n v="0"/>
    <n v="0"/>
    <n v="0"/>
    <n v="0"/>
    <n v="0"/>
    <n v="49.2"/>
    <n v="49.2"/>
    <n v="49.2"/>
    <n v="49.2"/>
    <n v="49.2"/>
    <n v="49.2"/>
    <n v="49.2"/>
    <n v="49.2"/>
    <n v="49.2"/>
  </r>
  <r>
    <x v="1"/>
    <s v="general-mechanical"/>
    <n v="0"/>
    <n v="0"/>
    <n v="0"/>
    <n v="0"/>
    <n v="0"/>
    <n v="0"/>
    <n v="0"/>
    <n v="0"/>
    <n v="0"/>
    <n v="0"/>
    <n v="0"/>
    <n v="1097.03"/>
    <n v="1097.03"/>
    <n v="1097.03"/>
    <n v="1097.03"/>
    <n v="1097.03"/>
    <n v="1097.03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4"/>
    <n v="98.4"/>
    <n v="98.4"/>
    <n v="98.4"/>
    <n v="98.4"/>
    <n v="98.4"/>
    <n v="98.4"/>
    <n v="98.4"/>
    <n v="98.4"/>
  </r>
  <r>
    <x v="2"/>
    <s v="general-main"/>
    <n v="0"/>
    <n v="0"/>
    <n v="0"/>
    <n v="0"/>
    <n v="0"/>
    <n v="0"/>
    <n v="0"/>
    <n v="0"/>
    <n v="56.36"/>
    <n v="56.36"/>
    <n v="56.36"/>
    <n v="56.36"/>
    <n v="56.36"/>
    <n v="56.36"/>
    <n v="56.36"/>
    <n v="56.36"/>
    <n v="56.36"/>
  </r>
  <r>
    <x v="0"/>
    <s v="general-split"/>
    <n v="0"/>
    <n v="0"/>
    <n v="0"/>
    <n v="0"/>
    <n v="0"/>
    <n v="0"/>
    <n v="0"/>
    <n v="0"/>
    <n v="5456.16"/>
    <n v="5456.16"/>
    <n v="5456.16"/>
    <n v="5456.16"/>
    <n v="5456.16"/>
    <n v="5456.16"/>
    <n v="5456.16"/>
    <n v="5456.16"/>
    <n v="5456.16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36.92"/>
    <n v="36.92"/>
    <n v="36.92"/>
    <n v="36.92"/>
    <n v="36.92"/>
    <n v="36.92"/>
  </r>
  <r>
    <x v="0"/>
    <s v="general-split"/>
    <n v="0"/>
    <n v="0"/>
    <n v="0"/>
    <n v="0"/>
    <n v="0"/>
    <n v="0"/>
    <n v="0"/>
    <n v="0"/>
    <n v="0"/>
    <n v="0"/>
    <n v="0"/>
    <n v="61.44"/>
    <n v="61.44"/>
    <n v="61.44"/>
    <n v="61.44"/>
    <n v="61.44"/>
    <n v="61.44"/>
  </r>
  <r>
    <x v="0"/>
    <s v="general-split"/>
    <n v="0"/>
    <n v="0"/>
    <n v="0"/>
    <n v="0"/>
    <n v="0"/>
    <n v="0"/>
    <n v="0"/>
    <n v="0"/>
    <n v="0"/>
    <n v="0"/>
    <n v="0"/>
    <n v="0"/>
    <n v="0"/>
    <n v="26.44"/>
    <n v="26.44"/>
    <n v="26.44"/>
    <n v="26.44"/>
  </r>
  <r>
    <x v="0"/>
    <s v="general-split"/>
    <n v="0"/>
    <n v="0"/>
    <n v="0"/>
    <n v="0"/>
    <n v="200.92"/>
    <n v="200.92"/>
    <n v="200.92"/>
    <n v="200.92"/>
    <n v="200.92"/>
    <n v="200.92"/>
    <n v="200.92"/>
    <n v="200.92"/>
    <n v="200.92"/>
    <n v="200.92"/>
    <n v="200.92"/>
    <n v="200.92"/>
    <n v="200.92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0"/>
    <s v="general-split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0"/>
    <s v="general-split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0"/>
    <s v="general-split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Full Bath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x v="2"/>
    <s v="Full Bath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x v="2"/>
    <s v="Full Bath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x v="2"/>
    <s v="Full Bath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x v="2"/>
    <s v="Full Bath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x v="2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Full Bath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x v="2"/>
    <s v="Full Bath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Full Bath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2"/>
    <s v="Full Bath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x v="2"/>
    <s v="Full Bath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x v="2"/>
    <s v="Full Bath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x v="2"/>
    <s v="Full Bath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Full Bath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Full Bath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Full Bath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Full Bath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2"/>
    <s v="Full Bath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x v="2"/>
    <s v="Full Bath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x v="2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2"/>
    <s v="Full Bath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2"/>
    <s v="Full Bath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2"/>
    <s v="Full Bath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2"/>
    <s v="Full Bath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2"/>
    <s v="Full Bath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2"/>
    <s v="Full Bath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2"/>
    <s v="Full Bath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2"/>
    <s v="Full Bath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x v="2"/>
    <s v="Full Bath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x v="2"/>
    <s v="Full Bath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x v="2"/>
    <s v="Full Bath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x v="2"/>
    <s v="Full Bath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x v="2"/>
    <s v="Full Bath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x v="2"/>
    <s v="Full Bath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x v="2"/>
    <s v="Full Bath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x v="3"/>
    <s v="Full Bath"/>
    <n v="0"/>
    <n v="0"/>
    <n v="0"/>
    <n v="510.01749999999998"/>
    <n v="510.01749999999998"/>
    <n v="510.01749999999998"/>
    <n v="510.01749999999998"/>
    <n v="510.01749999999998"/>
    <n v="1020.035"/>
    <n v="1020.035"/>
    <n v="1020.035"/>
    <n v="2040.07"/>
    <n v="2040.07"/>
    <n v="2040.07"/>
    <n v="2040.07"/>
    <n v="2040.07"/>
    <n v="2040.07"/>
  </r>
  <r>
    <x v="3"/>
    <s v="Full Bath"/>
    <n v="0"/>
    <n v="0"/>
    <n v="0"/>
    <n v="811.15"/>
    <n v="811.15"/>
    <n v="811.15"/>
    <n v="811.15"/>
    <n v="811.15"/>
    <n v="811.15"/>
    <n v="811.15"/>
    <n v="811.15"/>
    <n v="811.15"/>
    <n v="811.15"/>
    <n v="811.15"/>
    <n v="811.15"/>
    <n v="811.15"/>
    <n v="811.15"/>
  </r>
  <r>
    <x v="3"/>
    <s v="Full Bath"/>
    <n v="0"/>
    <n v="0"/>
    <n v="0"/>
    <n v="0"/>
    <n v="0"/>
    <n v="0"/>
    <n v="0"/>
    <n v="0"/>
    <n v="0"/>
    <n v="0"/>
    <n v="0"/>
    <n v="44.76"/>
    <n v="44.76"/>
    <n v="44.76"/>
    <n v="44.76"/>
    <n v="44.76"/>
    <n v="44.76"/>
  </r>
  <r>
    <x v="3"/>
    <s v="Full Bath"/>
    <n v="0"/>
    <n v="0"/>
    <n v="0"/>
    <n v="0"/>
    <n v="0"/>
    <n v="0"/>
    <n v="0"/>
    <n v="0"/>
    <n v="0"/>
    <n v="0"/>
    <n v="0"/>
    <n v="110.74"/>
    <n v="110.74"/>
    <n v="110.74"/>
    <n v="110.74"/>
    <n v="110.74"/>
    <n v="110.74"/>
  </r>
  <r>
    <x v="3"/>
    <s v="Full Bath"/>
    <n v="0"/>
    <n v="0"/>
    <n v="0"/>
    <n v="0"/>
    <n v="0"/>
    <n v="0"/>
    <n v="0"/>
    <n v="0"/>
    <n v="0"/>
    <n v="0"/>
    <n v="0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3"/>
    <s v="Full Bath"/>
    <n v="0"/>
    <n v="0"/>
    <n v="0"/>
    <n v="0"/>
    <n v="0"/>
    <n v="0"/>
    <n v="0"/>
    <n v="0"/>
    <n v="0"/>
    <n v="40.67"/>
    <n v="40.67"/>
    <n v="40.67"/>
    <n v="40.67"/>
    <n v="40.67"/>
    <n v="40.67"/>
    <n v="40.67"/>
    <n v="40.67"/>
  </r>
  <r>
    <x v="3"/>
    <s v="Full Bath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3"/>
    <s v="Full Bath"/>
    <n v="0"/>
    <n v="0"/>
    <n v="0"/>
    <n v="0"/>
    <n v="0"/>
    <n v="0"/>
    <n v="0"/>
    <n v="0"/>
    <n v="0"/>
    <n v="0"/>
    <n v="0"/>
    <n v="136.72"/>
    <n v="136.72"/>
    <n v="136.72"/>
    <n v="136.72"/>
    <n v="136.72"/>
    <n v="136.72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3"/>
    <s v="Full Bath"/>
    <n v="0"/>
    <n v="0"/>
    <n v="0"/>
    <n v="0"/>
    <n v="0"/>
    <n v="0"/>
    <n v="0"/>
    <n v="0"/>
    <n v="0"/>
    <n v="1062.43"/>
    <n v="1062.43"/>
    <n v="1062.43"/>
    <n v="1062.43"/>
    <n v="1062.43"/>
    <n v="1062.43"/>
    <n v="1062.43"/>
    <n v="1062.43"/>
  </r>
  <r>
    <x v="3"/>
    <s v="Full Bath"/>
    <n v="0"/>
    <n v="0"/>
    <n v="0"/>
    <n v="0"/>
    <n v="0"/>
    <n v="0"/>
    <n v="0"/>
    <n v="0"/>
    <n v="0"/>
    <n v="0"/>
    <n v="0"/>
    <n v="42.27"/>
    <n v="42.27"/>
    <n v="42.27"/>
    <n v="42.27"/>
    <n v="42.27"/>
    <n v="42.27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28"/>
    <n v="95.28"/>
    <n v="95.28"/>
  </r>
  <r>
    <x v="3"/>
    <s v="Full Bath"/>
    <n v="0"/>
    <n v="0"/>
    <n v="0"/>
    <n v="0"/>
    <n v="0"/>
    <n v="0"/>
    <n v="0"/>
    <n v="0"/>
    <n v="0"/>
    <n v="0"/>
    <n v="0"/>
    <n v="0"/>
    <n v="0"/>
    <n v="0"/>
    <n v="160.36000000000001"/>
    <n v="160.36000000000001"/>
    <n v="160.36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8.71"/>
    <n v="138.71"/>
    <n v="138.71"/>
  </r>
  <r>
    <x v="3"/>
    <s v="Full Bath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Full Bath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Full Bath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Full Bath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Full Bath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3"/>
    <s v="Full Bath"/>
    <n v="0"/>
    <n v="0"/>
    <n v="0"/>
    <n v="0"/>
    <n v="868.32"/>
    <n v="868.32"/>
    <n v="868.32"/>
    <n v="868.32"/>
    <n v="868.32"/>
    <n v="868.32"/>
    <n v="868.32"/>
    <n v="868.32"/>
    <n v="868.32"/>
    <n v="868.32"/>
    <n v="868.32"/>
    <n v="868.32"/>
    <n v="868.32"/>
  </r>
  <r>
    <x v="3"/>
    <s v="Full Bath"/>
    <n v="0"/>
    <n v="0"/>
    <n v="0"/>
    <n v="0"/>
    <n v="0"/>
    <n v="0"/>
    <n v="0"/>
    <n v="0"/>
    <n v="0"/>
    <n v="0"/>
    <n v="732.38"/>
    <n v="732.38"/>
    <n v="732.38"/>
    <n v="732.38"/>
    <n v="732.38"/>
    <n v="732.38"/>
    <n v="732.38"/>
  </r>
  <r>
    <x v="3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3"/>
    <s v="Full Bath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3"/>
    <s v="Full Bath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3"/>
    <s v="Full Bath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3"/>
    <s v="Full Bath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3"/>
    <s v="Full Bath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3"/>
    <s v="Full Bath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3"/>
    <s v="Full Bath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3"/>
    <s v="Full Bath"/>
    <n v="0"/>
    <n v="0"/>
    <n v="0"/>
    <n v="50.787500000000001"/>
    <n v="50.787500000000001"/>
    <n v="50.787500000000001"/>
    <n v="50.787500000000001"/>
    <n v="101.575"/>
    <n v="101.575"/>
    <n v="101.575"/>
    <n v="101.575"/>
    <n v="203.15"/>
    <n v="203.15"/>
    <n v="203.15"/>
    <n v="203.15"/>
    <n v="203.15"/>
    <n v="203.15"/>
  </r>
  <r>
    <x v="3"/>
    <s v="Full Bath"/>
    <n v="0"/>
    <n v="0"/>
    <n v="0"/>
    <n v="0"/>
    <n v="0"/>
    <n v="0"/>
    <n v="0"/>
    <n v="0"/>
    <n v="0"/>
    <n v="0"/>
    <n v="0"/>
    <n v="0"/>
    <n v="0"/>
    <n v="0"/>
    <n v="51.76"/>
    <n v="51.76"/>
    <n v="51.76"/>
  </r>
  <r>
    <x v="3"/>
    <s v="Full Bath"/>
    <n v="0"/>
    <n v="0"/>
    <n v="0"/>
    <n v="54.24"/>
    <n v="54.24"/>
    <n v="54.24"/>
    <n v="54.24"/>
    <n v="54.24"/>
    <n v="54.24"/>
    <n v="54.24"/>
    <n v="54.24"/>
    <n v="54.24"/>
    <n v="54.24"/>
    <n v="54.24"/>
    <n v="54.24"/>
    <n v="54.24"/>
    <n v="54.24"/>
  </r>
  <r>
    <x v="3"/>
    <s v="Full Bath"/>
    <n v="0"/>
    <n v="0"/>
    <n v="0"/>
    <n v="0"/>
    <n v="0"/>
    <n v="0"/>
    <n v="189.68"/>
    <n v="189.68"/>
    <n v="189.68"/>
    <n v="189.68"/>
    <n v="189.68"/>
    <n v="189.68"/>
    <n v="189.68"/>
    <n v="189.68"/>
    <n v="189.68"/>
    <n v="189.68"/>
    <n v="189.68"/>
  </r>
  <r>
    <x v="3"/>
    <s v="Full Bath"/>
    <n v="0"/>
    <n v="0"/>
    <n v="0"/>
    <n v="104.8"/>
    <n v="104.8"/>
    <n v="104.8"/>
    <n v="104.8"/>
    <n v="104.8"/>
    <n v="104.8"/>
    <n v="104.8"/>
    <n v="104.8"/>
    <n v="104.8"/>
    <n v="104.8"/>
    <n v="104.8"/>
    <n v="104.8"/>
    <n v="104.8"/>
    <n v="104.8"/>
  </r>
  <r>
    <x v="3"/>
    <s v="Full Bath"/>
    <n v="0"/>
    <n v="0"/>
    <n v="0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  <n v="264.85000000000002"/>
  </r>
  <r>
    <x v="3"/>
    <s v="Full Bath"/>
    <n v="0"/>
    <n v="0"/>
    <n v="0"/>
    <n v="12.33"/>
    <n v="12.33"/>
    <n v="12.33"/>
    <n v="12.33"/>
    <n v="12.33"/>
    <n v="12.33"/>
    <n v="12.33"/>
    <n v="12.33"/>
    <n v="12.33"/>
    <n v="12.33"/>
    <n v="12.33"/>
    <n v="12.33"/>
    <n v="12.33"/>
    <n v="12.33"/>
  </r>
  <r>
    <x v="3"/>
    <s v="Full Bath"/>
    <n v="0"/>
    <n v="0"/>
    <n v="0"/>
    <n v="100.06"/>
    <n v="100.06"/>
    <n v="100.06"/>
    <n v="100.06"/>
    <n v="100.06"/>
    <n v="100.06"/>
    <n v="100.06"/>
    <n v="100.06"/>
    <n v="100.06"/>
    <n v="100.06"/>
    <n v="100.06"/>
    <n v="100.06"/>
    <n v="100.06"/>
    <n v="100.06"/>
  </r>
  <r>
    <x v="3"/>
    <s v="Utility 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Utility Room"/>
    <n v="0"/>
    <n v="0"/>
    <n v="0"/>
    <n v="0"/>
    <n v="0"/>
    <n v="0"/>
    <n v="0"/>
    <n v="0"/>
    <n v="0"/>
    <n v="0"/>
    <n v="0"/>
    <n v="101.51"/>
    <n v="101.51"/>
    <n v="101.51"/>
    <n v="101.51"/>
    <n v="101.51"/>
    <n v="101.51"/>
  </r>
  <r>
    <x v="3"/>
    <s v="Utility Room"/>
    <n v="0"/>
    <n v="0"/>
    <n v="0"/>
    <n v="0"/>
    <n v="0"/>
    <n v="0"/>
    <n v="0"/>
    <n v="0"/>
    <n v="0"/>
    <n v="0"/>
    <n v="0"/>
    <n v="168.96"/>
    <n v="168.96"/>
    <n v="168.96"/>
    <n v="168.96"/>
    <n v="168.96"/>
    <n v="168.96"/>
  </r>
  <r>
    <x v="3"/>
    <s v="Utility Room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x v="3"/>
    <s v="Utility 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Utility 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Utility 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Utility 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Utility Room"/>
    <n v="0"/>
    <n v="0"/>
    <n v="0"/>
    <n v="0"/>
    <n v="0"/>
    <n v="0"/>
    <n v="0"/>
    <n v="0"/>
    <n v="0"/>
    <n v="0"/>
    <n v="0"/>
    <n v="27.87"/>
    <n v="27.87"/>
    <n v="27.87"/>
    <n v="27.87"/>
    <n v="27.87"/>
    <n v="27.87"/>
  </r>
  <r>
    <x v="3"/>
    <s v="Utility Room"/>
    <n v="0"/>
    <n v="0"/>
    <n v="0"/>
    <n v="192.73"/>
    <n v="192.73"/>
    <n v="192.73"/>
    <n v="192.73"/>
    <n v="192.73"/>
    <n v="192.73"/>
    <n v="192.73"/>
    <n v="192.73"/>
    <n v="192.73"/>
    <n v="192.73"/>
    <n v="192.73"/>
    <n v="192.73"/>
    <n v="192.73"/>
    <n v="192.73"/>
  </r>
  <r>
    <x v="3"/>
    <s v="Utility Room"/>
    <n v="0"/>
    <n v="0"/>
    <n v="0"/>
    <n v="0"/>
    <n v="0"/>
    <n v="0"/>
    <n v="0"/>
    <n v="0"/>
    <n v="0"/>
    <n v="0"/>
    <n v="0"/>
    <n v="0"/>
    <n v="0"/>
    <n v="0"/>
    <n v="61.32"/>
    <n v="61.32"/>
    <n v="61.32"/>
  </r>
  <r>
    <x v="3"/>
    <s v="Utility Room"/>
    <n v="0"/>
    <n v="0"/>
    <n v="0"/>
    <n v="0"/>
    <n v="282.08"/>
    <n v="282.08"/>
    <n v="282.08"/>
    <n v="282.08"/>
    <n v="282.08"/>
    <n v="282.08"/>
    <n v="282.08"/>
    <n v="282.08"/>
    <n v="282.08"/>
    <n v="282.08"/>
    <n v="282.08"/>
    <n v="282.08"/>
    <n v="282.08"/>
  </r>
  <r>
    <x v="3"/>
    <s v="Utility Room"/>
    <n v="0"/>
    <n v="0"/>
    <n v="0"/>
    <n v="240.61"/>
    <n v="240.61"/>
    <n v="240.61"/>
    <n v="240.61"/>
    <n v="481.22"/>
    <n v="481.22"/>
    <n v="481.22"/>
    <n v="481.22"/>
    <n v="962.44"/>
    <n v="962.44"/>
    <n v="962.44"/>
    <n v="962.44"/>
    <n v="962.44"/>
    <n v="962.44"/>
  </r>
  <r>
    <x v="3"/>
    <s v="Utility Room"/>
    <n v="0"/>
    <n v="0"/>
    <n v="0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  <n v="76.790000000000006"/>
  </r>
  <r>
    <x v="3"/>
    <s v="Utility Room"/>
    <n v="0"/>
    <n v="0"/>
    <n v="0"/>
    <n v="180.72"/>
    <n v="180.72"/>
    <n v="180.72"/>
    <n v="180.72"/>
    <n v="180.72"/>
    <n v="180.72"/>
    <n v="180.72"/>
    <n v="180.72"/>
    <n v="180.72"/>
    <n v="180.72"/>
    <n v="180.72"/>
    <n v="180.72"/>
    <n v="180.72"/>
    <n v="180.72"/>
  </r>
  <r>
    <x v="3"/>
    <s v="Utility Room"/>
    <n v="0"/>
    <n v="0"/>
    <n v="0"/>
    <n v="44.51"/>
    <n v="44.51"/>
    <n v="44.51"/>
    <n v="44.51"/>
    <n v="89.02"/>
    <n v="89.02"/>
    <n v="89.02"/>
    <n v="89.02"/>
    <n v="178.04"/>
    <n v="178.04"/>
    <n v="178.04"/>
    <n v="178.04"/>
    <n v="178.04"/>
    <n v="178.04"/>
  </r>
  <r>
    <x v="3"/>
    <s v="Utility Room"/>
    <n v="0"/>
    <n v="0"/>
    <n v="0"/>
    <n v="0"/>
    <n v="0"/>
    <n v="0"/>
    <n v="0"/>
    <n v="0"/>
    <n v="0"/>
    <n v="0"/>
    <n v="0"/>
    <n v="0"/>
    <n v="0"/>
    <n v="0"/>
    <n v="45.37"/>
    <n v="45.37"/>
    <n v="45.37"/>
  </r>
  <r>
    <x v="3"/>
    <s v="Utility Room"/>
    <n v="0"/>
    <n v="0"/>
    <n v="0"/>
    <n v="47.53"/>
    <n v="47.53"/>
    <n v="47.53"/>
    <n v="47.53"/>
    <n v="47.53"/>
    <n v="47.53"/>
    <n v="47.53"/>
    <n v="47.53"/>
    <n v="47.53"/>
    <n v="47.53"/>
    <n v="47.53"/>
    <n v="47.53"/>
    <n v="47.53"/>
    <n v="47.53"/>
  </r>
  <r>
    <x v="3"/>
    <s v="Utility Room"/>
    <n v="0"/>
    <n v="0"/>
    <n v="0"/>
    <n v="0"/>
    <n v="0"/>
    <n v="0"/>
    <n v="166.21"/>
    <n v="166.21"/>
    <n v="166.21"/>
    <n v="166.21"/>
    <n v="166.21"/>
    <n v="166.21"/>
    <n v="166.21"/>
    <n v="166.21"/>
    <n v="166.21"/>
    <n v="166.21"/>
    <n v="166.21"/>
  </r>
  <r>
    <x v="3"/>
    <s v="Utility Room"/>
    <n v="0"/>
    <n v="0"/>
    <n v="0"/>
    <n v="91.8"/>
    <n v="91.8"/>
    <n v="91.8"/>
    <n v="91.8"/>
    <n v="91.8"/>
    <n v="91.8"/>
    <n v="91.8"/>
    <n v="91.8"/>
    <n v="91.8"/>
    <n v="91.8"/>
    <n v="91.8"/>
    <n v="91.8"/>
    <n v="91.8"/>
    <n v="91.8"/>
  </r>
  <r>
    <x v="3"/>
    <s v="Utility Room"/>
    <n v="0"/>
    <n v="0"/>
    <n v="0"/>
    <n v="231.98"/>
    <n v="231.98"/>
    <n v="231.98"/>
    <n v="231.98"/>
    <n v="231.98"/>
    <n v="231.98"/>
    <n v="231.98"/>
    <n v="231.98"/>
    <n v="231.98"/>
    <n v="231.98"/>
    <n v="231.98"/>
    <n v="231.98"/>
    <n v="231.98"/>
    <n v="231.98"/>
  </r>
  <r>
    <x v="3"/>
    <s v="Utility Room"/>
    <n v="0"/>
    <n v="0"/>
    <n v="0"/>
    <n v="10.8"/>
    <n v="10.8"/>
    <n v="10.8"/>
    <n v="10.8"/>
    <n v="10.8"/>
    <n v="10.8"/>
    <n v="10.8"/>
    <n v="10.8"/>
    <n v="10.8"/>
    <n v="10.8"/>
    <n v="10.8"/>
    <n v="10.8"/>
    <n v="10.8"/>
    <n v="10.8"/>
  </r>
  <r>
    <x v="3"/>
    <s v="Utility Room"/>
    <n v="0"/>
    <n v="0"/>
    <n v="0"/>
    <n v="87.69"/>
    <n v="87.69"/>
    <n v="87.69"/>
    <n v="87.69"/>
    <n v="87.69"/>
    <n v="87.69"/>
    <n v="87.69"/>
    <n v="87.69"/>
    <n v="87.69"/>
    <n v="87.69"/>
    <n v="87.69"/>
    <n v="87.69"/>
    <n v="87.69"/>
    <n v="87.69"/>
  </r>
  <r>
    <x v="2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2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2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2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2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2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2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Bedroom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x v="2"/>
    <s v="Bedroom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x v="2"/>
    <s v="Bedroom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x v="2"/>
    <s v="Bedroom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x v="2"/>
    <s v="Bedroom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x v="2"/>
    <s v="Bedroom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Bedroom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2"/>
    <s v="Bedroom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x v="2"/>
    <s v="Bedroom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x v="2"/>
    <s v="Bedroom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x v="2"/>
    <s v="Bedroom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x v="2"/>
    <s v="Bedroom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x v="2"/>
    <s v="Bedroom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x v="2"/>
    <s v="Bedroom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x v="2"/>
    <s v="Bedroom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x v="2"/>
    <s v="Kitchen"/>
    <n v="0"/>
    <n v="0"/>
    <n v="0"/>
    <n v="0"/>
    <n v="0"/>
    <n v="0"/>
    <n v="45.16"/>
    <n v="45.16"/>
    <n v="45.16"/>
    <n v="45.16"/>
    <n v="45.16"/>
    <n v="45.16"/>
    <n v="45.16"/>
    <n v="45.16"/>
    <n v="45.16"/>
    <n v="45.16"/>
    <n v="45.16"/>
  </r>
  <r>
    <x v="2"/>
    <s v="Kitchen"/>
    <n v="0"/>
    <n v="0"/>
    <n v="0"/>
    <n v="0"/>
    <n v="0"/>
    <n v="0"/>
    <n v="0"/>
    <n v="0"/>
    <n v="53.556000000000004"/>
    <n v="53.556000000000004"/>
    <n v="53.556000000000004"/>
    <n v="53.556000000000004"/>
    <n v="53.556000000000004"/>
    <n v="53.556000000000004"/>
    <n v="89.26"/>
    <n v="89.26"/>
    <n v="89.26"/>
  </r>
  <r>
    <x v="2"/>
    <s v="Kitchen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x v="2"/>
    <s v="Kitchen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22999999999999"/>
    <n v="151.22999999999999"/>
    <n v="151.22999999999999"/>
  </r>
  <r>
    <x v="2"/>
    <s v="Kitchen"/>
    <n v="0"/>
    <n v="0"/>
    <n v="0"/>
    <n v="0"/>
    <n v="1839.32"/>
    <n v="1839.32"/>
    <n v="1839.32"/>
    <n v="1839.32"/>
    <n v="1839.32"/>
    <n v="1839.32"/>
    <n v="1839.32"/>
    <n v="1839.32"/>
    <n v="1839.32"/>
    <n v="1839.32"/>
    <n v="1839.32"/>
    <n v="1839.32"/>
    <n v="1839.3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3.88"/>
    <n v="363.88"/>
    <n v="363.88"/>
    <n v="363.88"/>
    <n v="363.88"/>
    <n v="363.88"/>
    <n v="363.88"/>
  </r>
  <r>
    <x v="2"/>
    <s v="Kitchen"/>
    <n v="0"/>
    <n v="0"/>
    <n v="0"/>
    <n v="0"/>
    <n v="0"/>
    <n v="0"/>
    <n v="0"/>
    <n v="0"/>
    <n v="0"/>
    <n v="0"/>
    <n v="0"/>
    <n v="0"/>
    <n v="3701.72"/>
    <n v="3701.72"/>
    <n v="3701.72"/>
    <n v="3701.72"/>
    <n v="3701.72"/>
  </r>
  <r>
    <x v="2"/>
    <s v="Kitchen"/>
    <n v="0"/>
    <n v="0"/>
    <n v="0"/>
    <n v="0"/>
    <n v="6072.38"/>
    <n v="6072.38"/>
    <n v="6072.38"/>
    <n v="6072.38"/>
    <n v="6072.38"/>
    <n v="6072.38"/>
    <n v="6072.38"/>
    <n v="6072.38"/>
    <n v="6072.38"/>
    <n v="6072.38"/>
    <n v="6072.38"/>
    <n v="6072.38"/>
    <n v="6072.38"/>
  </r>
  <r>
    <x v="2"/>
    <s v="Kitchen"/>
    <n v="0"/>
    <n v="0"/>
    <n v="0"/>
    <n v="0"/>
    <n v="0"/>
    <n v="0"/>
    <n v="0"/>
    <n v="0"/>
    <n v="0"/>
    <n v="0"/>
    <n v="0"/>
    <n v="0"/>
    <n v="0"/>
    <n v="651.26"/>
    <n v="651.26"/>
    <n v="651.26"/>
    <n v="651.26"/>
  </r>
  <r>
    <x v="2"/>
    <s v="Kitchen"/>
    <n v="0"/>
    <n v="0"/>
    <n v="0"/>
    <n v="0"/>
    <n v="0"/>
    <n v="0"/>
    <n v="0"/>
    <n v="0"/>
    <n v="0"/>
    <n v="0"/>
    <n v="3906.04"/>
    <n v="3906.04"/>
    <n v="3906.04"/>
    <n v="3906.04"/>
    <n v="3906.04"/>
    <n v="3906.04"/>
    <n v="3906.04"/>
  </r>
  <r>
    <x v="2"/>
    <s v="Kitchen"/>
    <n v="0"/>
    <n v="0"/>
    <n v="0"/>
    <n v="0"/>
    <n v="0"/>
    <n v="0"/>
    <n v="0"/>
    <n v="0"/>
    <n v="0"/>
    <n v="0"/>
    <n v="1464.76"/>
    <n v="1464.76"/>
    <n v="1464.76"/>
    <n v="1464.76"/>
    <n v="1464.76"/>
    <n v="1464.76"/>
    <n v="1464.76"/>
  </r>
  <r>
    <x v="2"/>
    <s v="Kitchen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x v="2"/>
    <s v="Kitchen"/>
    <n v="0"/>
    <n v="0"/>
    <n v="0"/>
    <n v="0"/>
    <n v="0"/>
    <n v="0"/>
    <n v="0"/>
    <n v="0"/>
    <n v="63.095999999999997"/>
    <n v="63.095999999999997"/>
    <n v="63.095999999999997"/>
    <n v="63.095999999999997"/>
    <n v="63.095999999999997"/>
    <n v="63.095999999999997"/>
    <n v="105.16"/>
    <n v="105.16"/>
    <n v="105.16"/>
  </r>
  <r>
    <x v="2"/>
    <s v="Kitchen"/>
    <n v="0"/>
    <n v="0"/>
    <n v="0"/>
    <n v="0"/>
    <n v="0"/>
    <n v="0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  <n v="265.3500000000000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3.88"/>
    <n v="2053.88"/>
    <n v="2053.88"/>
    <n v="2053.88"/>
    <n v="2053.88"/>
    <n v="2053.88"/>
    <n v="2053.88"/>
  </r>
  <r>
    <x v="2"/>
    <s v="Kitchen"/>
    <n v="0"/>
    <n v="0"/>
    <n v="0"/>
    <n v="0"/>
    <n v="0"/>
    <n v="0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  <n v="1197.5999999999999"/>
  </r>
  <r>
    <x v="2"/>
    <s v="Kitchen"/>
    <n v="0"/>
    <n v="0"/>
    <n v="0"/>
    <n v="0"/>
    <n v="0"/>
    <n v="0"/>
    <n v="0"/>
    <n v="0"/>
    <n v="0"/>
    <n v="0"/>
    <n v="0"/>
    <n v="48.92"/>
    <n v="48.92"/>
    <n v="48.92"/>
    <n v="48.92"/>
    <n v="48.92"/>
    <n v="48.92"/>
  </r>
  <r>
    <x v="2"/>
    <s v="Kitchen"/>
    <n v="0"/>
    <n v="0"/>
    <n v="0"/>
    <n v="337.91"/>
    <n v="337.91"/>
    <n v="337.91"/>
    <n v="337.91"/>
    <n v="337.91"/>
    <n v="337.91"/>
    <n v="337.91"/>
    <n v="337.91"/>
    <n v="337.91"/>
    <n v="337.91"/>
    <n v="337.91"/>
    <n v="337.91"/>
    <n v="337.91"/>
    <n v="337.91"/>
  </r>
  <r>
    <x v="2"/>
    <s v="Kitchen"/>
    <n v="0"/>
    <n v="0"/>
    <n v="0"/>
    <n v="0"/>
    <n v="0"/>
    <n v="0"/>
    <n v="0"/>
    <n v="0"/>
    <n v="0"/>
    <n v="0"/>
    <n v="0"/>
    <n v="0"/>
    <n v="0"/>
    <n v="0"/>
    <n v="107.52"/>
    <n v="107.52"/>
    <n v="107.52"/>
  </r>
  <r>
    <x v="2"/>
    <s v="Kitchen"/>
    <n v="0"/>
    <n v="0"/>
    <n v="0"/>
    <n v="0"/>
    <n v="494.6"/>
    <n v="494.6"/>
    <n v="494.6"/>
    <n v="494.6"/>
    <n v="494.6"/>
    <n v="494.6"/>
    <n v="494.6"/>
    <n v="494.6"/>
    <n v="494.6"/>
    <n v="494.6"/>
    <n v="494.6"/>
    <n v="494.6"/>
    <n v="494.6"/>
  </r>
  <r>
    <x v="2"/>
    <s v="Kitchen"/>
    <n v="0"/>
    <n v="0"/>
    <n v="0"/>
    <n v="421.88499999999999"/>
    <n v="421.88499999999999"/>
    <n v="421.88499999999999"/>
    <n v="421.88499999999999"/>
    <n v="843.77"/>
    <n v="843.77"/>
    <n v="843.77"/>
    <n v="843.77"/>
    <n v="1687.54"/>
    <n v="1687.54"/>
    <n v="1687.54"/>
    <n v="1687.54"/>
    <n v="1687.54"/>
    <n v="1687.54"/>
  </r>
  <r>
    <x v="2"/>
    <s v="Kitchen"/>
    <n v="0"/>
    <n v="0"/>
    <n v="0"/>
    <n v="134.66"/>
    <n v="134.66"/>
    <n v="134.66"/>
    <n v="134.66"/>
    <n v="134.66"/>
    <n v="134.66"/>
    <n v="134.66"/>
    <n v="134.66"/>
    <n v="134.66"/>
    <n v="134.66"/>
    <n v="134.66"/>
    <n v="134.66"/>
    <n v="134.66"/>
    <n v="134.66"/>
  </r>
  <r>
    <x v="2"/>
    <s v="Kitchen"/>
    <n v="0"/>
    <n v="0"/>
    <n v="0"/>
    <n v="316.95"/>
    <n v="316.95"/>
    <n v="316.95"/>
    <n v="316.95"/>
    <n v="316.95"/>
    <n v="316.95"/>
    <n v="316.95"/>
    <n v="316.95"/>
    <n v="316.95"/>
    <n v="316.95"/>
    <n v="316.95"/>
    <n v="316.95"/>
    <n v="316.95"/>
    <n v="316.95"/>
  </r>
  <r>
    <x v="2"/>
    <s v="Kitchen"/>
    <n v="0"/>
    <n v="0"/>
    <n v="0"/>
    <n v="140.32"/>
    <n v="140.32"/>
    <n v="140.32"/>
    <n v="140.32"/>
    <n v="280.64"/>
    <n v="280.64"/>
    <n v="280.64"/>
    <n v="280.64"/>
    <n v="561.28"/>
    <n v="561.28"/>
    <n v="561.28"/>
    <n v="561.28"/>
    <n v="561.28"/>
    <n v="561.28"/>
  </r>
  <r>
    <x v="2"/>
    <s v="Kitchen"/>
    <n v="0"/>
    <n v="0"/>
    <n v="0"/>
    <n v="0"/>
    <n v="0"/>
    <n v="0"/>
    <n v="0"/>
    <n v="0"/>
    <n v="0"/>
    <n v="0"/>
    <n v="0"/>
    <n v="0"/>
    <n v="0"/>
    <n v="0"/>
    <n v="143.05000000000001"/>
    <n v="143.05000000000001"/>
    <n v="143.05000000000001"/>
  </r>
  <r>
    <x v="2"/>
    <s v="Kitchen"/>
    <n v="0"/>
    <n v="0"/>
    <n v="0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  <n v="149.86000000000001"/>
  </r>
  <r>
    <x v="2"/>
    <s v="Kitchen"/>
    <n v="0"/>
    <n v="0"/>
    <n v="0"/>
    <n v="0"/>
    <n v="0"/>
    <n v="0"/>
    <n v="524.13"/>
    <n v="524.13"/>
    <n v="524.13"/>
    <n v="524.13"/>
    <n v="524.13"/>
    <n v="524.13"/>
    <n v="524.13"/>
    <n v="524.13"/>
    <n v="524.13"/>
    <n v="524.13"/>
    <n v="524.13"/>
  </r>
  <r>
    <x v="2"/>
    <s v="Kitchen"/>
    <n v="0"/>
    <n v="0"/>
    <n v="0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  <n v="289.47000000000003"/>
  </r>
  <r>
    <x v="2"/>
    <s v="Kitchen"/>
    <n v="0"/>
    <n v="0"/>
    <n v="0"/>
    <n v="731.52"/>
    <n v="731.52"/>
    <n v="731.52"/>
    <n v="731.52"/>
    <n v="731.52"/>
    <n v="731.52"/>
    <n v="731.52"/>
    <n v="731.52"/>
    <n v="731.52"/>
    <n v="731.52"/>
    <n v="731.52"/>
    <n v="731.52"/>
    <n v="731.52"/>
    <n v="731.52"/>
  </r>
  <r>
    <x v="2"/>
    <s v="Kitchen"/>
    <n v="0"/>
    <n v="0"/>
    <n v="0"/>
    <n v="34.08"/>
    <n v="34.08"/>
    <n v="34.08"/>
    <n v="34.08"/>
    <n v="34.08"/>
    <n v="34.08"/>
    <n v="34.08"/>
    <n v="34.08"/>
    <n v="34.08"/>
    <n v="34.08"/>
    <n v="34.08"/>
    <n v="34.08"/>
    <n v="34.08"/>
    <n v="34.08"/>
  </r>
  <r>
    <x v="2"/>
    <s v="Kitchen"/>
    <n v="0"/>
    <n v="0"/>
    <n v="0"/>
    <n v="276.52"/>
    <n v="276.52"/>
    <n v="276.52"/>
    <n v="276.52"/>
    <n v="276.52"/>
    <n v="276.52"/>
    <n v="276.52"/>
    <n v="276.52"/>
    <n v="276.52"/>
    <n v="276.52"/>
    <n v="276.52"/>
    <n v="276.52"/>
    <n v="276.52"/>
    <n v="276.52"/>
  </r>
  <r>
    <x v="3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3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3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3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3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3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Bedroom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x v="3"/>
    <s v="Bedroom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x v="3"/>
    <s v="Bedroom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x v="3"/>
    <s v="Bedroom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x v="3"/>
    <s v="Bedroom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x v="3"/>
    <s v="Bedroom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x v="3"/>
    <s v="Bedroom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x v="3"/>
    <s v="Bedroom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x v="3"/>
    <s v="Bedroom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x v="3"/>
    <s v="Bedroom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x v="3"/>
    <s v="Bedroom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x v="3"/>
    <s v="Bedroom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x v="3"/>
    <s v="Bedroom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x v="3"/>
    <s v="Bedroom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x v="3"/>
    <s v="Bedroom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x v="2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2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2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2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2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2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2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2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2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2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2"/>
    <s v="Bedroom"/>
    <n v="0"/>
    <n v="0"/>
    <n v="0"/>
    <n v="0"/>
    <n v="0"/>
    <n v="0"/>
    <n v="0"/>
    <n v="0"/>
    <n v="0"/>
    <n v="0"/>
    <n v="0"/>
    <n v="46.63"/>
    <n v="46.63"/>
    <n v="46.63"/>
    <n v="46.63"/>
    <n v="46.63"/>
    <n v="46.63"/>
  </r>
  <r>
    <x v="2"/>
    <s v="Bedroom"/>
    <n v="0"/>
    <n v="0"/>
    <n v="0"/>
    <n v="322.07"/>
    <n v="322.07"/>
    <n v="322.07"/>
    <n v="322.07"/>
    <n v="322.07"/>
    <n v="322.07"/>
    <n v="322.07"/>
    <n v="322.07"/>
    <n v="322.07"/>
    <n v="322.07"/>
    <n v="322.07"/>
    <n v="322.07"/>
    <n v="322.07"/>
    <n v="322.07"/>
  </r>
  <r>
    <x v="2"/>
    <s v="Bedroom"/>
    <n v="0"/>
    <n v="0"/>
    <n v="0"/>
    <n v="0"/>
    <n v="0"/>
    <n v="0"/>
    <n v="0"/>
    <n v="0"/>
    <n v="0"/>
    <n v="0"/>
    <n v="0"/>
    <n v="0"/>
    <n v="0"/>
    <n v="0"/>
    <n v="102.48"/>
    <n v="102.48"/>
    <n v="102.48"/>
  </r>
  <r>
    <x v="2"/>
    <s v="Bedroom"/>
    <n v="0"/>
    <n v="0"/>
    <n v="0"/>
    <n v="0"/>
    <n v="471.4"/>
    <n v="471.4"/>
    <n v="471.4"/>
    <n v="471.4"/>
    <n v="471.4"/>
    <n v="471.4"/>
    <n v="471.4"/>
    <n v="471.4"/>
    <n v="471.4"/>
    <n v="471.4"/>
    <n v="471.4"/>
    <n v="471.4"/>
    <n v="471.4"/>
  </r>
  <r>
    <x v="2"/>
    <s v="Bedroom"/>
    <n v="0"/>
    <n v="0"/>
    <n v="0"/>
    <n v="402.11"/>
    <n v="402.11"/>
    <n v="402.11"/>
    <n v="402.11"/>
    <n v="804.22"/>
    <n v="804.22"/>
    <n v="804.22"/>
    <n v="804.22"/>
    <n v="1608.44"/>
    <n v="1608.44"/>
    <n v="1608.44"/>
    <n v="1608.44"/>
    <n v="1608.44"/>
    <n v="1608.44"/>
  </r>
  <r>
    <x v="2"/>
    <s v="Bedroom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Bedroom"/>
    <n v="0"/>
    <n v="0"/>
    <n v="0"/>
    <n v="302.11"/>
    <n v="302.11"/>
    <n v="302.11"/>
    <n v="302.11"/>
    <n v="302.11"/>
    <n v="302.11"/>
    <n v="302.11"/>
    <n v="302.11"/>
    <n v="302.11"/>
    <n v="302.11"/>
    <n v="302.11"/>
    <n v="302.11"/>
    <n v="302.11"/>
    <n v="302.11"/>
  </r>
  <r>
    <x v="2"/>
    <s v="Bedroom"/>
    <n v="0"/>
    <n v="0"/>
    <n v="0"/>
    <n v="127.75"/>
    <n v="127.75"/>
    <n v="127.75"/>
    <n v="127.75"/>
    <n v="255.5"/>
    <n v="255.5"/>
    <n v="255.5"/>
    <n v="255.5"/>
    <n v="511"/>
    <n v="511"/>
    <n v="511"/>
    <n v="511"/>
    <n v="511"/>
    <n v="511"/>
  </r>
  <r>
    <x v="2"/>
    <s v="Bedroom"/>
    <n v="0"/>
    <n v="0"/>
    <n v="0"/>
    <n v="0"/>
    <n v="0"/>
    <n v="0"/>
    <n v="0"/>
    <n v="0"/>
    <n v="0"/>
    <n v="0"/>
    <n v="0"/>
    <n v="0"/>
    <n v="0"/>
    <n v="0"/>
    <n v="130.22999999999999"/>
    <n v="130.22999999999999"/>
    <n v="130.22999999999999"/>
  </r>
  <r>
    <x v="2"/>
    <s v="Bedroom"/>
    <n v="0"/>
    <n v="0"/>
    <n v="0"/>
    <n v="136.44"/>
    <n v="136.44"/>
    <n v="136.44"/>
    <n v="136.44"/>
    <n v="136.44"/>
    <n v="136.44"/>
    <n v="136.44"/>
    <n v="136.44"/>
    <n v="136.44"/>
    <n v="136.44"/>
    <n v="136.44"/>
    <n v="136.44"/>
    <n v="136.44"/>
    <n v="136.44"/>
  </r>
  <r>
    <x v="2"/>
    <s v="Bedroom"/>
    <n v="0"/>
    <n v="0"/>
    <n v="0"/>
    <n v="0"/>
    <n v="0"/>
    <n v="0"/>
    <n v="477.22"/>
    <n v="477.22"/>
    <n v="477.22"/>
    <n v="477.22"/>
    <n v="477.22"/>
    <n v="477.22"/>
    <n v="477.22"/>
    <n v="477.22"/>
    <n v="477.22"/>
    <n v="477.22"/>
    <n v="477.22"/>
  </r>
  <r>
    <x v="2"/>
    <s v="Bedroom"/>
    <n v="0"/>
    <n v="0"/>
    <n v="0"/>
    <n v="263.56"/>
    <n v="263.56"/>
    <n v="263.56"/>
    <n v="263.56"/>
    <n v="263.56"/>
    <n v="263.56"/>
    <n v="263.56"/>
    <n v="263.56"/>
    <n v="263.56"/>
    <n v="263.56"/>
    <n v="263.56"/>
    <n v="263.56"/>
    <n v="263.56"/>
    <n v="263.56"/>
  </r>
  <r>
    <x v="2"/>
    <s v="Bedroom"/>
    <n v="0"/>
    <n v="0"/>
    <n v="0"/>
    <n v="666.04"/>
    <n v="666.04"/>
    <n v="666.04"/>
    <n v="666.04"/>
    <n v="666.04"/>
    <n v="666.04"/>
    <n v="666.04"/>
    <n v="666.04"/>
    <n v="666.04"/>
    <n v="666.04"/>
    <n v="666.04"/>
    <n v="666.04"/>
    <n v="666.04"/>
    <n v="666.04"/>
  </r>
  <r>
    <x v="2"/>
    <s v="Bedroom"/>
    <n v="0"/>
    <n v="0"/>
    <n v="0"/>
    <n v="31.04"/>
    <n v="31.04"/>
    <n v="31.04"/>
    <n v="31.04"/>
    <n v="31.04"/>
    <n v="31.04"/>
    <n v="31.04"/>
    <n v="31.04"/>
    <n v="31.04"/>
    <n v="31.04"/>
    <n v="31.04"/>
    <n v="31.04"/>
    <n v="31.04"/>
    <n v="31.04"/>
  </r>
  <r>
    <x v="2"/>
    <s v="Bedroom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x v="2"/>
    <s v="Nook"/>
    <n v="0"/>
    <n v="0"/>
    <n v="0"/>
    <n v="0"/>
    <n v="0"/>
    <n v="0"/>
    <n v="0"/>
    <n v="0"/>
    <n v="76.8"/>
    <n v="76.8"/>
    <n v="76.8"/>
    <n v="76.8"/>
    <n v="76.8"/>
    <n v="76.8"/>
    <n v="76.8"/>
    <n v="76.8"/>
    <n v="76.8"/>
  </r>
  <r>
    <x v="2"/>
    <s v="Nook"/>
    <n v="0"/>
    <n v="0"/>
    <n v="0"/>
    <n v="0"/>
    <n v="0"/>
    <n v="0"/>
    <n v="0"/>
    <n v="0"/>
    <n v="0"/>
    <n v="0"/>
    <n v="0"/>
    <n v="0"/>
    <n v="0"/>
    <n v="0"/>
    <n v="66.599999999999994"/>
    <n v="66.599999999999994"/>
    <n v="66.599999999999994"/>
  </r>
  <r>
    <x v="2"/>
    <s v="Nook"/>
    <n v="0"/>
    <n v="0"/>
    <n v="0"/>
    <n v="0"/>
    <n v="0"/>
    <n v="0"/>
    <n v="0"/>
    <n v="0"/>
    <n v="0"/>
    <n v="0"/>
    <n v="0"/>
    <n v="32.47"/>
    <n v="32.47"/>
    <n v="32.47"/>
    <n v="32.47"/>
    <n v="32.47"/>
    <n v="32.47"/>
  </r>
  <r>
    <x v="2"/>
    <s v="Nook"/>
    <n v="0"/>
    <n v="0"/>
    <n v="0"/>
    <n v="224.41"/>
    <n v="224.41"/>
    <n v="224.41"/>
    <n v="224.41"/>
    <n v="224.41"/>
    <n v="224.41"/>
    <n v="224.41"/>
    <n v="224.41"/>
    <n v="224.41"/>
    <n v="224.41"/>
    <n v="224.41"/>
    <n v="224.41"/>
    <n v="224.41"/>
    <n v="224.41"/>
  </r>
  <r>
    <x v="2"/>
    <s v="Nook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x v="2"/>
    <s v="Nook"/>
    <n v="0"/>
    <n v="0"/>
    <n v="0"/>
    <n v="0"/>
    <n v="328.44"/>
    <n v="328.44"/>
    <n v="328.44"/>
    <n v="328.44"/>
    <n v="328.44"/>
    <n v="328.44"/>
    <n v="328.44"/>
    <n v="328.44"/>
    <n v="328.44"/>
    <n v="328.44"/>
    <n v="328.44"/>
    <n v="328.44"/>
    <n v="328.44"/>
  </r>
  <r>
    <x v="2"/>
    <s v="Nook"/>
    <n v="0"/>
    <n v="0"/>
    <n v="0"/>
    <n v="280.16500000000002"/>
    <n v="280.16500000000002"/>
    <n v="280.16500000000002"/>
    <n v="280.16500000000002"/>
    <n v="560.33000000000004"/>
    <n v="560.33000000000004"/>
    <n v="560.33000000000004"/>
    <n v="560.33000000000004"/>
    <n v="1120.6600000000001"/>
    <n v="1120.6600000000001"/>
    <n v="1120.6600000000001"/>
    <n v="1120.6600000000001"/>
    <n v="1120.6600000000001"/>
    <n v="1120.6600000000001"/>
  </r>
  <r>
    <x v="2"/>
    <s v="Nook"/>
    <n v="0"/>
    <n v="0"/>
    <n v="0"/>
    <n v="89.41"/>
    <n v="89.41"/>
    <n v="89.41"/>
    <n v="89.41"/>
    <n v="89.41"/>
    <n v="89.41"/>
    <n v="89.41"/>
    <n v="89.41"/>
    <n v="89.41"/>
    <n v="89.41"/>
    <n v="89.41"/>
    <n v="89.41"/>
    <n v="89.41"/>
    <n v="89.41"/>
  </r>
  <r>
    <x v="2"/>
    <s v="Nook"/>
    <n v="0"/>
    <n v="0"/>
    <n v="0"/>
    <n v="210.44"/>
    <n v="210.44"/>
    <n v="210.44"/>
    <n v="210.44"/>
    <n v="210.44"/>
    <n v="210.44"/>
    <n v="210.44"/>
    <n v="210.44"/>
    <n v="210.44"/>
    <n v="210.44"/>
    <n v="210.44"/>
    <n v="210.44"/>
    <n v="210.44"/>
    <n v="210.44"/>
  </r>
  <r>
    <x v="2"/>
    <s v="Nook"/>
    <n v="0"/>
    <n v="0"/>
    <n v="0"/>
    <n v="60.774999999999999"/>
    <n v="60.774999999999999"/>
    <n v="60.774999999999999"/>
    <n v="60.774999999999999"/>
    <n v="121.55"/>
    <n v="121.55"/>
    <n v="121.55"/>
    <n v="121.55"/>
    <n v="243.1"/>
    <n v="243.1"/>
    <n v="243.1"/>
    <n v="243.1"/>
    <n v="243.1"/>
    <n v="243.1"/>
  </r>
  <r>
    <x v="2"/>
    <s v="Nook"/>
    <n v="0"/>
    <n v="0"/>
    <n v="0"/>
    <n v="0"/>
    <n v="0"/>
    <n v="0"/>
    <n v="0"/>
    <n v="0"/>
    <n v="0"/>
    <n v="0"/>
    <n v="0"/>
    <n v="0"/>
    <n v="0"/>
    <n v="0"/>
    <n v="61.95"/>
    <n v="61.95"/>
    <n v="61.95"/>
  </r>
  <r>
    <x v="2"/>
    <s v="Nook"/>
    <n v="0"/>
    <n v="0"/>
    <n v="0"/>
    <n v="64.91"/>
    <n v="64.91"/>
    <n v="64.91"/>
    <n v="64.91"/>
    <n v="64.91"/>
    <n v="64.91"/>
    <n v="64.91"/>
    <n v="64.91"/>
    <n v="64.91"/>
    <n v="64.91"/>
    <n v="64.91"/>
    <n v="64.91"/>
    <n v="64.91"/>
    <n v="64.91"/>
  </r>
  <r>
    <x v="2"/>
    <s v="Nook"/>
    <n v="0"/>
    <n v="0"/>
    <n v="0"/>
    <n v="0"/>
    <n v="0"/>
    <n v="0"/>
    <n v="226.96"/>
    <n v="226.96"/>
    <n v="226.96"/>
    <n v="226.96"/>
    <n v="226.96"/>
    <n v="226.96"/>
    <n v="226.96"/>
    <n v="226.96"/>
    <n v="226.96"/>
    <n v="226.96"/>
    <n v="226.96"/>
  </r>
  <r>
    <x v="2"/>
    <s v="Nook"/>
    <n v="0"/>
    <n v="0"/>
    <n v="0"/>
    <n v="125.41"/>
    <n v="125.41"/>
    <n v="125.41"/>
    <n v="125.41"/>
    <n v="125.41"/>
    <n v="125.41"/>
    <n v="125.41"/>
    <n v="125.41"/>
    <n v="125.41"/>
    <n v="125.41"/>
    <n v="125.41"/>
    <n v="125.41"/>
    <n v="125.41"/>
    <n v="125.41"/>
  </r>
  <r>
    <x v="2"/>
    <s v="Nook"/>
    <n v="0"/>
    <n v="0"/>
    <n v="0"/>
    <n v="316.92"/>
    <n v="316.92"/>
    <n v="316.92"/>
    <n v="316.92"/>
    <n v="316.92"/>
    <n v="316.92"/>
    <n v="316.92"/>
    <n v="316.92"/>
    <n v="316.92"/>
    <n v="316.92"/>
    <n v="316.92"/>
    <n v="316.92"/>
    <n v="316.92"/>
    <n v="316.92"/>
  </r>
  <r>
    <x v="2"/>
    <s v="Nook"/>
    <n v="0"/>
    <n v="0"/>
    <n v="0"/>
    <n v="14.76"/>
    <n v="14.76"/>
    <n v="14.76"/>
    <n v="14.76"/>
    <n v="14.76"/>
    <n v="14.76"/>
    <n v="14.76"/>
    <n v="14.76"/>
    <n v="14.76"/>
    <n v="14.76"/>
    <n v="14.76"/>
    <n v="14.76"/>
    <n v="14.76"/>
    <n v="14.76"/>
  </r>
  <r>
    <x v="2"/>
    <s v="Nook"/>
    <n v="0"/>
    <n v="0"/>
    <n v="0"/>
    <n v="119.79"/>
    <n v="119.79"/>
    <n v="119.79"/>
    <n v="119.79"/>
    <n v="119.79"/>
    <n v="119.79"/>
    <n v="119.79"/>
    <n v="119.79"/>
    <n v="119.79"/>
    <n v="119.79"/>
    <n v="119.79"/>
    <n v="119.79"/>
    <n v="119.79"/>
    <n v="119.79"/>
  </r>
  <r>
    <x v="3"/>
    <s v="Hallway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Hallway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3"/>
    <s v="Hallway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Hallway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3"/>
    <s v="Hallway"/>
    <n v="0"/>
    <n v="0"/>
    <n v="0"/>
    <n v="208.57"/>
    <n v="208.57"/>
    <n v="208.57"/>
    <n v="208.57"/>
    <n v="208.57"/>
    <n v="208.57"/>
    <n v="208.57"/>
    <n v="208.57"/>
    <n v="208.57"/>
    <n v="208.57"/>
    <n v="208.57"/>
    <n v="208.57"/>
    <n v="208.57"/>
    <n v="208.57"/>
  </r>
  <r>
    <x v="3"/>
    <s v="Hallway"/>
    <n v="0"/>
    <n v="0"/>
    <n v="0"/>
    <n v="0"/>
    <n v="0"/>
    <n v="0"/>
    <n v="0"/>
    <n v="0"/>
    <n v="0"/>
    <n v="0"/>
    <n v="0"/>
    <n v="0"/>
    <n v="0"/>
    <n v="0"/>
    <n v="66.36"/>
    <n v="66.36"/>
    <n v="66.36"/>
  </r>
  <r>
    <x v="3"/>
    <s v="Hallway"/>
    <n v="0"/>
    <n v="0"/>
    <n v="0"/>
    <n v="0"/>
    <n v="305.26"/>
    <n v="305.26"/>
    <n v="305.26"/>
    <n v="305.26"/>
    <n v="305.26"/>
    <n v="305.26"/>
    <n v="305.26"/>
    <n v="305.26"/>
    <n v="305.26"/>
    <n v="305.26"/>
    <n v="305.26"/>
    <n v="305.26"/>
    <n v="305.26"/>
  </r>
  <r>
    <x v="3"/>
    <s v="Hallway"/>
    <n v="0"/>
    <n v="0"/>
    <n v="0"/>
    <n v="260.39"/>
    <n v="260.39"/>
    <n v="260.39"/>
    <n v="260.39"/>
    <n v="520.78"/>
    <n v="520.78"/>
    <n v="520.78"/>
    <n v="520.78"/>
    <n v="1041.56"/>
    <n v="1041.56"/>
    <n v="1041.56"/>
    <n v="1041.56"/>
    <n v="1041.56"/>
    <n v="1041.56"/>
  </r>
  <r>
    <x v="3"/>
    <s v="Hallway"/>
    <n v="0"/>
    <n v="0"/>
    <n v="0"/>
    <n v="83.11"/>
    <n v="83.11"/>
    <n v="83.11"/>
    <n v="83.11"/>
    <n v="83.11"/>
    <n v="83.11"/>
    <n v="83.11"/>
    <n v="83.11"/>
    <n v="83.11"/>
    <n v="83.11"/>
    <n v="83.11"/>
    <n v="83.11"/>
    <n v="83.11"/>
    <n v="83.11"/>
  </r>
  <r>
    <x v="3"/>
    <s v="Hallway"/>
    <n v="0"/>
    <n v="0"/>
    <n v="0"/>
    <n v="195.58"/>
    <n v="195.58"/>
    <n v="195.58"/>
    <n v="195.58"/>
    <n v="195.58"/>
    <n v="195.58"/>
    <n v="195.58"/>
    <n v="195.58"/>
    <n v="195.58"/>
    <n v="195.58"/>
    <n v="195.58"/>
    <n v="195.58"/>
    <n v="195.58"/>
    <n v="195.58"/>
  </r>
  <r>
    <x v="3"/>
    <s v="Hallway"/>
    <n v="0"/>
    <n v="0"/>
    <n v="0"/>
    <n v="37.700000000000003"/>
    <n v="37.700000000000003"/>
    <n v="37.700000000000003"/>
    <n v="37.700000000000003"/>
    <n v="75.400000000000006"/>
    <n v="75.400000000000006"/>
    <n v="75.400000000000006"/>
    <n v="75.400000000000006"/>
    <n v="150.80000000000001"/>
    <n v="150.80000000000001"/>
    <n v="150.80000000000001"/>
    <n v="150.80000000000001"/>
    <n v="150.80000000000001"/>
    <n v="150.80000000000001"/>
  </r>
  <r>
    <x v="3"/>
    <s v="Hallway"/>
    <n v="0"/>
    <n v="0"/>
    <n v="0"/>
    <n v="0"/>
    <n v="0"/>
    <n v="0"/>
    <n v="0"/>
    <n v="0"/>
    <n v="0"/>
    <n v="0"/>
    <n v="0"/>
    <n v="0"/>
    <n v="0"/>
    <n v="0"/>
    <n v="38.43"/>
    <n v="38.43"/>
    <n v="38.43"/>
  </r>
  <r>
    <x v="3"/>
    <s v="Hallway"/>
    <n v="0"/>
    <n v="0"/>
    <n v="0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  <n v="40.270000000000003"/>
  </r>
  <r>
    <x v="3"/>
    <s v="Hallway"/>
    <n v="0"/>
    <n v="0"/>
    <n v="0"/>
    <n v="0"/>
    <n v="0"/>
    <n v="0"/>
    <n v="140.91"/>
    <n v="140.91"/>
    <n v="140.91"/>
    <n v="140.91"/>
    <n v="140.91"/>
    <n v="140.91"/>
    <n v="140.91"/>
    <n v="140.91"/>
    <n v="140.91"/>
    <n v="140.91"/>
    <n v="140.91"/>
  </r>
  <r>
    <x v="3"/>
    <s v="Hallway"/>
    <n v="0"/>
    <n v="0"/>
    <n v="0"/>
    <n v="77.77"/>
    <n v="77.77"/>
    <n v="77.77"/>
    <n v="77.77"/>
    <n v="77.77"/>
    <n v="77.77"/>
    <n v="77.77"/>
    <n v="77.77"/>
    <n v="77.77"/>
    <n v="77.77"/>
    <n v="77.77"/>
    <n v="77.77"/>
    <n v="77.77"/>
    <n v="77.77"/>
  </r>
  <r>
    <x v="3"/>
    <s v="Hallway"/>
    <n v="0"/>
    <n v="0"/>
    <n v="0"/>
    <n v="196.55"/>
    <n v="196.55"/>
    <n v="196.55"/>
    <n v="196.55"/>
    <n v="196.55"/>
    <n v="196.55"/>
    <n v="196.55"/>
    <n v="196.55"/>
    <n v="196.55"/>
    <n v="196.55"/>
    <n v="196.55"/>
    <n v="196.55"/>
    <n v="196.55"/>
    <n v="196.55"/>
  </r>
  <r>
    <x v="3"/>
    <s v="Hallway"/>
    <n v="0"/>
    <n v="0"/>
    <n v="0"/>
    <n v="9.15"/>
    <n v="9.15"/>
    <n v="9.15"/>
    <n v="9.15"/>
    <n v="9.15"/>
    <n v="9.15"/>
    <n v="9.15"/>
    <n v="9.15"/>
    <n v="9.15"/>
    <n v="9.15"/>
    <n v="9.15"/>
    <n v="9.15"/>
    <n v="9.15"/>
    <n v="9.15"/>
  </r>
  <r>
    <x v="3"/>
    <s v="Hallway"/>
    <n v="0"/>
    <n v="0"/>
    <n v="0"/>
    <n v="74.3"/>
    <n v="74.3"/>
    <n v="74.3"/>
    <n v="74.3"/>
    <n v="74.3"/>
    <n v="74.3"/>
    <n v="74.3"/>
    <n v="74.3"/>
    <n v="74.3"/>
    <n v="74.3"/>
    <n v="74.3"/>
    <n v="74.3"/>
    <n v="74.3"/>
    <n v="74.3"/>
  </r>
  <r>
    <x v="3"/>
    <s v="Bedroom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3"/>
    <s v="Bedroom"/>
    <n v="0"/>
    <n v="0"/>
    <n v="0"/>
    <n v="0"/>
    <n v="0"/>
    <n v="0"/>
    <n v="0"/>
    <n v="0"/>
    <n v="0"/>
    <n v="0"/>
    <n v="0"/>
    <n v="46.15"/>
    <n v="46.15"/>
    <n v="46.15"/>
    <n v="46.15"/>
    <n v="46.15"/>
    <n v="46.15"/>
  </r>
  <r>
    <x v="3"/>
    <s v="Bedroom"/>
    <n v="0"/>
    <n v="0"/>
    <n v="0"/>
    <n v="0"/>
    <n v="0"/>
    <n v="0"/>
    <n v="0"/>
    <n v="0"/>
    <n v="0"/>
    <n v="0"/>
    <n v="0"/>
    <n v="76.8"/>
    <n v="76.8"/>
    <n v="76.8"/>
    <n v="76.8"/>
    <n v="76.8"/>
    <n v="76.8"/>
  </r>
  <r>
    <x v="3"/>
    <s v="Bedroom"/>
    <n v="0"/>
    <n v="0"/>
    <n v="0"/>
    <n v="0"/>
    <n v="0"/>
    <n v="0"/>
    <n v="0"/>
    <n v="0"/>
    <n v="0"/>
    <n v="0"/>
    <n v="0"/>
    <n v="0"/>
    <n v="0"/>
    <n v="33.07"/>
    <n v="33.07"/>
    <n v="33.07"/>
    <n v="33.07"/>
  </r>
  <r>
    <x v="3"/>
    <s v="Bedroom"/>
    <n v="0"/>
    <n v="0"/>
    <n v="0"/>
    <n v="0"/>
    <n v="0"/>
    <n v="0"/>
    <n v="0"/>
    <n v="0"/>
    <n v="115.2"/>
    <n v="115.2"/>
    <n v="115.2"/>
    <n v="115.2"/>
    <n v="115.2"/>
    <n v="115.2"/>
    <n v="115.2"/>
    <n v="115.2"/>
    <n v="115.2"/>
  </r>
  <r>
    <x v="3"/>
    <s v="Bedroom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Bedroom"/>
    <n v="0"/>
    <n v="0"/>
    <n v="0"/>
    <n v="0"/>
    <n v="0"/>
    <n v="0"/>
    <n v="0"/>
    <n v="0"/>
    <n v="0"/>
    <n v="0"/>
    <n v="0"/>
    <n v="58.82"/>
    <n v="58.82"/>
    <n v="58.82"/>
    <n v="58.82"/>
    <n v="58.82"/>
    <n v="58.82"/>
  </r>
  <r>
    <x v="3"/>
    <s v="Bedroom"/>
    <n v="0"/>
    <n v="0"/>
    <n v="0"/>
    <n v="197.52"/>
    <n v="197.52"/>
    <n v="197.52"/>
    <n v="197.52"/>
    <n v="197.52"/>
    <n v="197.52"/>
    <n v="197.52"/>
    <n v="197.52"/>
    <n v="197.52"/>
    <n v="197.52"/>
    <n v="197.52"/>
    <n v="197.52"/>
    <n v="197.52"/>
    <n v="197.52"/>
  </r>
  <r>
    <x v="3"/>
    <s v="Bedroom"/>
    <n v="0"/>
    <n v="0"/>
    <n v="0"/>
    <n v="0"/>
    <n v="531.72"/>
    <n v="531.72"/>
    <n v="531.72"/>
    <n v="531.72"/>
    <n v="531.72"/>
    <n v="531.72"/>
    <n v="531.72"/>
    <n v="531.72"/>
    <n v="531.72"/>
    <n v="531.72"/>
    <n v="531.72"/>
    <n v="531.72"/>
    <n v="531.72"/>
  </r>
  <r>
    <x v="3"/>
    <s v="Bedroom"/>
    <n v="0"/>
    <n v="0"/>
    <n v="0"/>
    <n v="150.1"/>
    <n v="150.1"/>
    <n v="150.1"/>
    <n v="150.1"/>
    <n v="150.1"/>
    <n v="150.1"/>
    <n v="150.1"/>
    <n v="150.1"/>
    <n v="150.1"/>
    <n v="150.1"/>
    <n v="150.1"/>
    <n v="150.1"/>
    <n v="150.1"/>
    <n v="150.1"/>
  </r>
  <r>
    <x v="3"/>
    <s v="Bedroom"/>
    <n v="0"/>
    <n v="0"/>
    <n v="0"/>
    <n v="126.64"/>
    <n v="126.64"/>
    <n v="126.64"/>
    <n v="126.64"/>
    <n v="126.64"/>
    <n v="126.64"/>
    <n v="126.64"/>
    <n v="126.64"/>
    <n v="126.64"/>
    <n v="126.64"/>
    <n v="126.64"/>
    <n v="126.64"/>
    <n v="126.64"/>
    <n v="126.64"/>
  </r>
  <r>
    <x v="3"/>
    <s v="Bedroom"/>
    <n v="0"/>
    <n v="0"/>
    <n v="0"/>
    <n v="0"/>
    <n v="493.12"/>
    <n v="493.12"/>
    <n v="493.12"/>
    <n v="493.12"/>
    <n v="493.12"/>
    <n v="493.12"/>
    <n v="493.12"/>
    <n v="493.12"/>
    <n v="493.12"/>
    <n v="493.12"/>
    <n v="493.12"/>
    <n v="493.12"/>
    <n v="493.12"/>
  </r>
  <r>
    <x v="3"/>
    <s v="Bedroom"/>
    <n v="0"/>
    <n v="0"/>
    <n v="0"/>
    <n v="0"/>
    <n v="0"/>
    <n v="0"/>
    <n v="0"/>
    <n v="0"/>
    <n v="0"/>
    <n v="0"/>
    <n v="0"/>
    <n v="60.37"/>
    <n v="60.37"/>
    <n v="60.37"/>
    <n v="60.37"/>
    <n v="60.37"/>
    <n v="60.37"/>
  </r>
  <r>
    <x v="3"/>
    <s v="Bedroom"/>
    <n v="0"/>
    <n v="0"/>
    <n v="0"/>
    <n v="417.11"/>
    <n v="417.11"/>
    <n v="417.11"/>
    <n v="417.11"/>
    <n v="417.11"/>
    <n v="417.11"/>
    <n v="417.11"/>
    <n v="417.11"/>
    <n v="417.11"/>
    <n v="417.11"/>
    <n v="417.11"/>
    <n v="417.11"/>
    <n v="417.11"/>
    <n v="417.11"/>
  </r>
  <r>
    <x v="3"/>
    <s v="Bedroom"/>
    <n v="0"/>
    <n v="0"/>
    <n v="0"/>
    <n v="0"/>
    <n v="0"/>
    <n v="0"/>
    <n v="0"/>
    <n v="0"/>
    <n v="0"/>
    <n v="0"/>
    <n v="0"/>
    <n v="0"/>
    <n v="0"/>
    <n v="0"/>
    <n v="132.72"/>
    <n v="132.72"/>
    <n v="132.72"/>
  </r>
  <r>
    <x v="3"/>
    <s v="Bedroom"/>
    <n v="0"/>
    <n v="0"/>
    <n v="0"/>
    <n v="0"/>
    <n v="610.52"/>
    <n v="610.52"/>
    <n v="610.52"/>
    <n v="610.52"/>
    <n v="610.52"/>
    <n v="610.52"/>
    <n v="610.52"/>
    <n v="610.52"/>
    <n v="610.52"/>
    <n v="610.52"/>
    <n v="610.52"/>
    <n v="610.52"/>
    <n v="610.52"/>
  </r>
  <r>
    <x v="3"/>
    <s v="Bedroom"/>
    <n v="0"/>
    <n v="0"/>
    <n v="0"/>
    <n v="520.76499999999999"/>
    <n v="520.76499999999999"/>
    <n v="520.76499999999999"/>
    <n v="520.76499999999999"/>
    <n v="1041.53"/>
    <n v="1041.53"/>
    <n v="1041.53"/>
    <n v="1041.53"/>
    <n v="2083.06"/>
    <n v="2083.06"/>
    <n v="2083.06"/>
    <n v="2083.06"/>
    <n v="2083.06"/>
    <n v="2083.06"/>
  </r>
  <r>
    <x v="3"/>
    <s v="Bedroom"/>
    <n v="0"/>
    <n v="0"/>
    <n v="0"/>
    <n v="166.22"/>
    <n v="166.22"/>
    <n v="166.22"/>
    <n v="166.22"/>
    <n v="166.22"/>
    <n v="166.22"/>
    <n v="166.22"/>
    <n v="166.22"/>
    <n v="166.22"/>
    <n v="166.22"/>
    <n v="166.22"/>
    <n v="166.22"/>
    <n v="166.22"/>
    <n v="166.22"/>
  </r>
  <r>
    <x v="3"/>
    <s v="Bedroom"/>
    <n v="0"/>
    <n v="0"/>
    <n v="0"/>
    <n v="391.23"/>
    <n v="391.23"/>
    <n v="391.23"/>
    <n v="391.23"/>
    <n v="391.23"/>
    <n v="391.23"/>
    <n v="391.23"/>
    <n v="391.23"/>
    <n v="391.23"/>
    <n v="391.23"/>
    <n v="391.23"/>
    <n v="391.23"/>
    <n v="391.23"/>
    <n v="391.23"/>
  </r>
  <r>
    <x v="3"/>
    <s v="Bedroom"/>
    <n v="0"/>
    <n v="0"/>
    <n v="0"/>
    <n v="213.035"/>
    <n v="213.035"/>
    <n v="213.035"/>
    <n v="213.035"/>
    <n v="426.07"/>
    <n v="426.07"/>
    <n v="426.07"/>
    <n v="426.07"/>
    <n v="852.14"/>
    <n v="852.14"/>
    <n v="852.14"/>
    <n v="852.14"/>
    <n v="852.14"/>
    <n v="852.14"/>
  </r>
  <r>
    <x v="3"/>
    <s v="Bedroom"/>
    <n v="0"/>
    <n v="0"/>
    <n v="0"/>
    <n v="0"/>
    <n v="0"/>
    <n v="0"/>
    <n v="0"/>
    <n v="0"/>
    <n v="0"/>
    <n v="0"/>
    <n v="0"/>
    <n v="0"/>
    <n v="0"/>
    <n v="0"/>
    <n v="217.18"/>
    <n v="217.18"/>
    <n v="217.18"/>
  </r>
  <r>
    <x v="3"/>
    <s v="Bedroom"/>
    <n v="0"/>
    <n v="0"/>
    <n v="0"/>
    <n v="227.52"/>
    <n v="227.52"/>
    <n v="227.52"/>
    <n v="227.52"/>
    <n v="227.52"/>
    <n v="227.52"/>
    <n v="227.52"/>
    <n v="227.52"/>
    <n v="227.52"/>
    <n v="227.52"/>
    <n v="227.52"/>
    <n v="227.52"/>
    <n v="227.52"/>
    <n v="227.52"/>
  </r>
  <r>
    <x v="3"/>
    <s v="Bedroom"/>
    <n v="0"/>
    <n v="0"/>
    <n v="0"/>
    <n v="0"/>
    <n v="0"/>
    <n v="0"/>
    <n v="795.8"/>
    <n v="795.8"/>
    <n v="795.8"/>
    <n v="795.8"/>
    <n v="795.8"/>
    <n v="795.8"/>
    <n v="795.8"/>
    <n v="795.8"/>
    <n v="795.8"/>
    <n v="795.8"/>
    <n v="795.8"/>
  </r>
  <r>
    <x v="3"/>
    <s v="Bedroom"/>
    <n v="0"/>
    <n v="0"/>
    <n v="0"/>
    <n v="439.53"/>
    <n v="439.53"/>
    <n v="439.53"/>
    <n v="439.53"/>
    <n v="439.53"/>
    <n v="439.53"/>
    <n v="439.53"/>
    <n v="439.53"/>
    <n v="439.53"/>
    <n v="439.53"/>
    <n v="439.53"/>
    <n v="439.53"/>
    <n v="439.53"/>
    <n v="439.53"/>
  </r>
  <r>
    <x v="3"/>
    <s v="Bedroom"/>
    <n v="0"/>
    <n v="0"/>
    <n v="0"/>
    <n v="1110.69"/>
    <n v="1110.69"/>
    <n v="1110.69"/>
    <n v="1110.69"/>
    <n v="1110.69"/>
    <n v="1110.69"/>
    <n v="1110.69"/>
    <n v="1110.69"/>
    <n v="1110.69"/>
    <n v="1110.69"/>
    <n v="1110.69"/>
    <n v="1110.69"/>
    <n v="1110.69"/>
    <n v="1110.69"/>
  </r>
  <r>
    <x v="3"/>
    <s v="Bedroom"/>
    <n v="0"/>
    <n v="0"/>
    <n v="0"/>
    <n v="51.73"/>
    <n v="51.73"/>
    <n v="51.73"/>
    <n v="51.73"/>
    <n v="51.73"/>
    <n v="51.73"/>
    <n v="51.73"/>
    <n v="51.73"/>
    <n v="51.73"/>
    <n v="51.73"/>
    <n v="51.73"/>
    <n v="51.73"/>
    <n v="51.73"/>
    <n v="51.73"/>
  </r>
  <r>
    <x v="3"/>
    <s v="Bedroom"/>
    <n v="0"/>
    <n v="0"/>
    <n v="0"/>
    <n v="419.78"/>
    <n v="419.78"/>
    <n v="419.78"/>
    <n v="419.78"/>
    <n v="419.78"/>
    <n v="419.78"/>
    <n v="419.78"/>
    <n v="419.78"/>
    <n v="419.78"/>
    <n v="419.78"/>
    <n v="419.78"/>
    <n v="419.78"/>
    <n v="419.78"/>
    <n v="419.78"/>
  </r>
  <r>
    <x v="2"/>
    <s v="Living Area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Living Area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x v="2"/>
    <s v="Living Area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x v="2"/>
    <s v="Living Area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x v="2"/>
    <s v="Living Area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x v="2"/>
    <s v="Living Area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x v="2"/>
    <s v="Living Area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x v="2"/>
    <s v="Living Area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x v="2"/>
    <s v="Living Area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x v="2"/>
    <s v="Living Area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x v="2"/>
    <s v="Living Area"/>
    <n v="0"/>
    <n v="0"/>
    <n v="0"/>
    <n v="388.07"/>
    <n v="388.07"/>
    <n v="388.07"/>
    <n v="388.07"/>
    <n v="776.14"/>
    <n v="776.14"/>
    <n v="776.14"/>
    <n v="776.14"/>
    <n v="1552.28"/>
    <n v="1552.28"/>
    <n v="1552.28"/>
    <n v="1552.28"/>
    <n v="1552.28"/>
    <n v="1552.28"/>
  </r>
  <r>
    <x v="2"/>
    <s v="Living Area"/>
    <n v="0"/>
    <n v="0"/>
    <n v="0"/>
    <n v="0"/>
    <n v="0"/>
    <n v="0"/>
    <n v="0"/>
    <n v="0"/>
    <n v="0"/>
    <n v="0"/>
    <n v="0"/>
    <n v="0"/>
    <n v="0"/>
    <n v="0"/>
    <n v="395.61"/>
    <n v="395.61"/>
    <n v="395.61"/>
  </r>
  <r>
    <x v="2"/>
    <s v="Living Area"/>
    <n v="0"/>
    <n v="0"/>
    <n v="0"/>
    <n v="414.45"/>
    <n v="414.45"/>
    <n v="414.45"/>
    <n v="414.45"/>
    <n v="414.45"/>
    <n v="414.45"/>
    <n v="414.45"/>
    <n v="414.45"/>
    <n v="414.45"/>
    <n v="414.45"/>
    <n v="414.45"/>
    <n v="414.45"/>
    <n v="414.45"/>
    <n v="414.45"/>
  </r>
  <r>
    <x v="2"/>
    <s v="Living Area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x v="2"/>
    <s v="Living Area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x v="2"/>
    <s v="Living Area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x v="2"/>
    <s v="Living Area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x v="2"/>
    <s v="Living Area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  <r>
    <x v="2"/>
    <s v="general-main"/>
    <n v="0"/>
    <n v="0"/>
    <n v="0"/>
    <n v="0"/>
    <n v="464.88"/>
    <n v="464.88"/>
    <n v="464.88"/>
    <n v="464.88"/>
    <n v="464.88"/>
    <n v="464.88"/>
    <n v="464.88"/>
    <n v="464.88"/>
    <n v="464.88"/>
    <n v="464.88"/>
    <n v="464.88"/>
    <n v="464.88"/>
    <n v="464.88"/>
  </r>
  <r>
    <x v="2"/>
    <s v="general-main"/>
    <n v="0"/>
    <n v="0"/>
    <n v="0"/>
    <n v="0"/>
    <n v="0"/>
    <n v="0"/>
    <n v="0"/>
    <n v="0"/>
    <n v="19.2"/>
    <n v="19.2"/>
    <n v="19.2"/>
    <n v="19.2"/>
    <n v="19.2"/>
    <n v="19.2"/>
    <n v="19.2"/>
    <n v="19.2"/>
    <n v="19.2"/>
  </r>
  <r>
    <x v="2"/>
    <s v="general-main"/>
    <n v="0"/>
    <n v="0"/>
    <n v="0"/>
    <n v="0"/>
    <n v="0"/>
    <n v="0"/>
    <n v="0"/>
    <n v="0"/>
    <n v="26.778000000000002"/>
    <n v="26.778000000000002"/>
    <n v="26.778000000000002"/>
    <n v="26.778000000000002"/>
    <n v="26.778000000000002"/>
    <n v="26.778000000000002"/>
    <n v="44.63"/>
    <n v="44.63"/>
    <n v="44.63"/>
  </r>
  <r>
    <x v="2"/>
    <s v="general-main"/>
    <n v="0"/>
    <n v="0"/>
    <n v="0"/>
    <n v="0"/>
    <n v="0"/>
    <n v="0"/>
    <n v="0"/>
    <n v="0"/>
    <n v="0"/>
    <n v="0"/>
    <n v="0"/>
    <n v="0"/>
    <n v="0"/>
    <n v="0"/>
    <n v="90.97"/>
    <n v="90.97"/>
    <n v="90.97"/>
  </r>
  <r>
    <x v="2"/>
    <s v="Hallway"/>
    <n v="0"/>
    <n v="0"/>
    <n v="0"/>
    <n v="0"/>
    <n v="0"/>
    <n v="0"/>
    <n v="0"/>
    <n v="0"/>
    <n v="0"/>
    <n v="0"/>
    <n v="0"/>
    <n v="0"/>
    <n v="0"/>
    <n v="0"/>
    <n v="80.540000000000006"/>
    <n v="80.540000000000006"/>
    <n v="80.540000000000006"/>
  </r>
  <r>
    <x v="2"/>
    <s v="Hallway"/>
    <n v="0"/>
    <n v="0"/>
    <n v="0"/>
    <n v="0"/>
    <n v="0"/>
    <n v="0"/>
    <n v="0"/>
    <n v="0"/>
    <n v="38.4"/>
    <n v="38.4"/>
    <n v="38.4"/>
    <n v="38.4"/>
    <n v="38.4"/>
    <n v="38.4"/>
    <n v="38.4"/>
    <n v="38.4"/>
    <n v="38.4"/>
  </r>
  <r>
    <x v="2"/>
    <s v="Hallway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2"/>
    <s v="Hallway"/>
    <n v="0"/>
    <n v="0"/>
    <n v="0"/>
    <n v="0"/>
    <n v="0"/>
    <n v="0"/>
    <n v="0"/>
    <n v="0"/>
    <n v="0"/>
    <n v="0"/>
    <n v="0"/>
    <n v="44.15"/>
    <n v="44.15"/>
    <n v="44.15"/>
    <n v="44.15"/>
    <n v="44.15"/>
    <n v="44.15"/>
  </r>
  <r>
    <x v="2"/>
    <s v="Hallway"/>
    <n v="0"/>
    <n v="0"/>
    <n v="0"/>
    <n v="304.92"/>
    <n v="304.92"/>
    <n v="304.92"/>
    <n v="304.92"/>
    <n v="304.92"/>
    <n v="304.92"/>
    <n v="304.92"/>
    <n v="304.92"/>
    <n v="304.92"/>
    <n v="304.92"/>
    <n v="304.92"/>
    <n v="304.92"/>
    <n v="304.92"/>
    <n v="304.92"/>
  </r>
  <r>
    <x v="2"/>
    <s v="Hallway"/>
    <n v="0"/>
    <n v="0"/>
    <n v="0"/>
    <n v="0"/>
    <n v="0"/>
    <n v="0"/>
    <n v="0"/>
    <n v="0"/>
    <n v="0"/>
    <n v="0"/>
    <n v="0"/>
    <n v="0"/>
    <n v="0"/>
    <n v="0"/>
    <n v="97.03"/>
    <n v="97.03"/>
    <n v="97.03"/>
  </r>
  <r>
    <x v="2"/>
    <s v="Hallway"/>
    <n v="0"/>
    <n v="0"/>
    <n v="0"/>
    <n v="0"/>
    <n v="446.29"/>
    <n v="446.29"/>
    <n v="446.29"/>
    <n v="446.29"/>
    <n v="446.29"/>
    <n v="446.29"/>
    <n v="446.29"/>
    <n v="446.29"/>
    <n v="446.29"/>
    <n v="446.29"/>
    <n v="446.29"/>
    <n v="446.29"/>
    <n v="446.29"/>
  </r>
  <r>
    <x v="2"/>
    <s v="Hallway"/>
    <n v="0"/>
    <n v="0"/>
    <n v="0"/>
    <n v="380.69"/>
    <n v="380.69"/>
    <n v="380.69"/>
    <n v="380.69"/>
    <n v="761.38"/>
    <n v="761.38"/>
    <n v="761.38"/>
    <n v="761.38"/>
    <n v="1522.76"/>
    <n v="1522.76"/>
    <n v="1522.76"/>
    <n v="1522.76"/>
    <n v="1522.76"/>
    <n v="1522.76"/>
  </r>
  <r>
    <x v="2"/>
    <s v="Hallway"/>
    <n v="0"/>
    <n v="0"/>
    <n v="0"/>
    <n v="121.52"/>
    <n v="121.52"/>
    <n v="121.52"/>
    <n v="121.52"/>
    <n v="121.52"/>
    <n v="121.52"/>
    <n v="121.52"/>
    <n v="121.52"/>
    <n v="121.52"/>
    <n v="121.52"/>
    <n v="121.52"/>
    <n v="121.52"/>
    <n v="121.52"/>
    <n v="121.52"/>
  </r>
  <r>
    <x v="2"/>
    <s v="Hallway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x v="2"/>
    <s v="Hallway"/>
    <n v="0"/>
    <n v="0"/>
    <n v="0"/>
    <n v="76.547499999999999"/>
    <n v="76.547499999999999"/>
    <n v="76.547499999999999"/>
    <n v="76.547499999999999"/>
    <n v="153.095"/>
    <n v="153.095"/>
    <n v="153.095"/>
    <n v="153.095"/>
    <n v="306.19"/>
    <n v="306.19"/>
    <n v="306.19"/>
    <n v="306.19"/>
    <n v="306.19"/>
    <n v="306.19"/>
  </r>
  <r>
    <x v="2"/>
    <s v="Hallway"/>
    <n v="0"/>
    <n v="0"/>
    <n v="0"/>
    <n v="0"/>
    <n v="0"/>
    <n v="0"/>
    <n v="0"/>
    <n v="0"/>
    <n v="0"/>
    <n v="0"/>
    <n v="0"/>
    <n v="0"/>
    <n v="0"/>
    <n v="0"/>
    <n v="78.03"/>
    <n v="78.03"/>
    <n v="78.03"/>
  </r>
  <r>
    <x v="2"/>
    <s v="Hallway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x v="2"/>
    <s v="Hallway"/>
    <n v="0"/>
    <n v="0"/>
    <n v="0"/>
    <n v="0"/>
    <n v="0"/>
    <n v="0"/>
    <n v="285.88"/>
    <n v="285.88"/>
    <n v="285.88"/>
    <n v="285.88"/>
    <n v="285.88"/>
    <n v="285.88"/>
    <n v="285.88"/>
    <n v="285.88"/>
    <n v="285.88"/>
    <n v="285.88"/>
    <n v="285.88"/>
  </r>
  <r>
    <x v="2"/>
    <s v="Hallway"/>
    <n v="0"/>
    <n v="0"/>
    <n v="0"/>
    <n v="157.94"/>
    <n v="157.94"/>
    <n v="157.94"/>
    <n v="157.94"/>
    <n v="157.94"/>
    <n v="157.94"/>
    <n v="157.94"/>
    <n v="157.94"/>
    <n v="157.94"/>
    <n v="157.94"/>
    <n v="157.94"/>
    <n v="157.94"/>
    <n v="157.94"/>
    <n v="157.94"/>
  </r>
  <r>
    <x v="2"/>
    <s v="Hallway"/>
    <n v="0"/>
    <n v="0"/>
    <n v="0"/>
    <n v="399.14"/>
    <n v="399.14"/>
    <n v="399.14"/>
    <n v="399.14"/>
    <n v="399.14"/>
    <n v="399.14"/>
    <n v="399.14"/>
    <n v="399.14"/>
    <n v="399.14"/>
    <n v="399.14"/>
    <n v="399.14"/>
    <n v="399.14"/>
    <n v="399.14"/>
    <n v="399.14"/>
  </r>
  <r>
    <x v="2"/>
    <s v="Hallway"/>
    <n v="0"/>
    <n v="0"/>
    <n v="0"/>
    <n v="18.59"/>
    <n v="18.59"/>
    <n v="18.59"/>
    <n v="18.59"/>
    <n v="18.59"/>
    <n v="18.59"/>
    <n v="18.59"/>
    <n v="18.59"/>
    <n v="18.59"/>
    <n v="18.59"/>
    <n v="18.59"/>
    <n v="18.59"/>
    <n v="18.59"/>
    <n v="18.59"/>
  </r>
  <r>
    <x v="2"/>
    <s v="Hallway"/>
    <n v="0"/>
    <n v="0"/>
    <n v="0"/>
    <n v="150.88"/>
    <n v="150.88"/>
    <n v="150.88"/>
    <n v="150.88"/>
    <n v="150.88"/>
    <n v="150.88"/>
    <n v="150.88"/>
    <n v="150.88"/>
    <n v="150.88"/>
    <n v="150.88"/>
    <n v="150.88"/>
    <n v="150.88"/>
    <n v="150.88"/>
    <n v="150.88"/>
  </r>
  <r>
    <x v="3"/>
    <s v="Living Area"/>
    <n v="0"/>
    <n v="0"/>
    <n v="0"/>
    <n v="0"/>
    <n v="0"/>
    <n v="0"/>
    <n v="0"/>
    <n v="0"/>
    <n v="153.6"/>
    <n v="153.6"/>
    <n v="153.6"/>
    <n v="153.6"/>
    <n v="153.6"/>
    <n v="153.6"/>
    <n v="153.6"/>
    <n v="153.6"/>
    <n v="153.6"/>
  </r>
  <r>
    <x v="3"/>
    <s v="Living Area"/>
    <n v="0"/>
    <n v="0"/>
    <n v="0"/>
    <n v="0"/>
    <n v="0"/>
    <n v="0"/>
    <n v="0"/>
    <n v="0"/>
    <n v="0"/>
    <n v="0"/>
    <n v="0"/>
    <n v="0"/>
    <n v="0"/>
    <n v="0"/>
    <n v="85.15"/>
    <n v="85.15"/>
    <n v="85.15"/>
  </r>
  <r>
    <x v="3"/>
    <s v="Living Area"/>
    <n v="0"/>
    <n v="0"/>
    <n v="0"/>
    <n v="0"/>
    <n v="0"/>
    <n v="0"/>
    <n v="0"/>
    <n v="0"/>
    <n v="0"/>
    <n v="0"/>
    <n v="0"/>
    <n v="69.72"/>
    <n v="69.72"/>
    <n v="69.72"/>
    <n v="69.72"/>
    <n v="69.72"/>
    <n v="69.72"/>
  </r>
  <r>
    <x v="3"/>
    <s v="Living Area"/>
    <n v="0"/>
    <n v="0"/>
    <n v="0"/>
    <n v="481.81"/>
    <n v="481.81"/>
    <n v="481.81"/>
    <n v="481.81"/>
    <n v="481.81"/>
    <n v="481.81"/>
    <n v="481.81"/>
    <n v="481.81"/>
    <n v="481.81"/>
    <n v="481.81"/>
    <n v="481.81"/>
    <n v="481.81"/>
    <n v="481.81"/>
    <n v="481.81"/>
  </r>
  <r>
    <x v="3"/>
    <s v="Living Area"/>
    <n v="0"/>
    <n v="0"/>
    <n v="0"/>
    <n v="0"/>
    <n v="0"/>
    <n v="0"/>
    <n v="0"/>
    <n v="0"/>
    <n v="0"/>
    <n v="0"/>
    <n v="0"/>
    <n v="0"/>
    <n v="0"/>
    <n v="0"/>
    <n v="153.31"/>
    <n v="153.31"/>
    <n v="153.31"/>
  </r>
  <r>
    <x v="3"/>
    <s v="Living Area"/>
    <n v="0"/>
    <n v="0"/>
    <n v="0"/>
    <n v="0"/>
    <n v="705.19"/>
    <n v="705.19"/>
    <n v="705.19"/>
    <n v="705.19"/>
    <n v="705.19"/>
    <n v="705.19"/>
    <n v="705.19"/>
    <n v="705.19"/>
    <n v="705.19"/>
    <n v="705.19"/>
    <n v="705.19"/>
    <n v="705.19"/>
    <n v="705.19"/>
  </r>
  <r>
    <x v="3"/>
    <s v="Living Area"/>
    <n v="0"/>
    <n v="0"/>
    <n v="0"/>
    <n v="601.52499999999998"/>
    <n v="601.52499999999998"/>
    <n v="601.52499999999998"/>
    <n v="601.52499999999998"/>
    <n v="1203.05"/>
    <n v="1203.05"/>
    <n v="1203.05"/>
    <n v="1203.05"/>
    <n v="2406.1"/>
    <n v="2406.1"/>
    <n v="2406.1"/>
    <n v="2406.1"/>
    <n v="2406.1"/>
    <n v="2406.1"/>
  </r>
  <r>
    <x v="3"/>
    <s v="Living Area"/>
    <n v="0"/>
    <n v="0"/>
    <n v="0"/>
    <n v="0"/>
    <n v="0"/>
    <n v="0"/>
    <n v="0"/>
    <n v="0"/>
    <n v="0"/>
    <n v="0"/>
    <n v="0"/>
    <n v="131.38999999999999"/>
    <n v="131.38999999999999"/>
    <n v="131.38999999999999"/>
    <n v="131.38999999999999"/>
    <n v="131.38999999999999"/>
    <n v="131.38999999999999"/>
  </r>
  <r>
    <x v="3"/>
    <s v="Living Area"/>
    <n v="0"/>
    <n v="0"/>
    <n v="0"/>
    <n v="0"/>
    <n v="0"/>
    <n v="0"/>
    <n v="0"/>
    <n v="0"/>
    <n v="0"/>
    <n v="0"/>
    <n v="0"/>
    <n v="637.99"/>
    <n v="637.99"/>
    <n v="637.99"/>
    <n v="637.99"/>
    <n v="637.99"/>
    <n v="637.99"/>
  </r>
  <r>
    <x v="3"/>
    <s v="Living Area"/>
    <n v="0"/>
    <n v="0"/>
    <n v="0"/>
    <n v="191.98"/>
    <n v="191.98"/>
    <n v="191.98"/>
    <n v="191.98"/>
    <n v="191.98"/>
    <n v="191.98"/>
    <n v="191.98"/>
    <n v="191.98"/>
    <n v="191.98"/>
    <n v="191.98"/>
    <n v="191.98"/>
    <n v="191.98"/>
    <n v="191.98"/>
    <n v="191.98"/>
  </r>
  <r>
    <x v="3"/>
    <s v="Living Area"/>
    <n v="0"/>
    <n v="0"/>
    <n v="0"/>
    <n v="451.84"/>
    <n v="451.84"/>
    <n v="451.84"/>
    <n v="451.84"/>
    <n v="451.84"/>
    <n v="451.84"/>
    <n v="451.84"/>
    <n v="451.84"/>
    <n v="451.84"/>
    <n v="451.84"/>
    <n v="451.84"/>
    <n v="451.84"/>
    <n v="451.84"/>
    <n v="451.84"/>
  </r>
  <r>
    <x v="3"/>
    <s v="Living Area"/>
    <n v="0"/>
    <n v="0"/>
    <n v="0"/>
    <n v="274.44"/>
    <n v="274.44"/>
    <n v="274.44"/>
    <n v="274.44"/>
    <n v="548.88"/>
    <n v="548.88"/>
    <n v="548.88"/>
    <n v="548.88"/>
    <n v="1097.76"/>
    <n v="1097.76"/>
    <n v="1097.76"/>
    <n v="1097.76"/>
    <n v="1097.76"/>
    <n v="1097.76"/>
  </r>
  <r>
    <x v="3"/>
    <s v="Living Area"/>
    <n v="0"/>
    <n v="0"/>
    <n v="0"/>
    <n v="0"/>
    <n v="0"/>
    <n v="0"/>
    <n v="0"/>
    <n v="0"/>
    <n v="0"/>
    <n v="0"/>
    <n v="0"/>
    <n v="0"/>
    <n v="0"/>
    <n v="0"/>
    <n v="279.76"/>
    <n v="279.76"/>
    <n v="279.76"/>
  </r>
  <r>
    <x v="3"/>
    <s v="Living Area"/>
    <n v="0"/>
    <n v="0"/>
    <n v="0"/>
    <n v="293.08"/>
    <n v="293.08"/>
    <n v="293.08"/>
    <n v="293.08"/>
    <n v="293.08"/>
    <n v="293.08"/>
    <n v="293.08"/>
    <n v="293.08"/>
    <n v="293.08"/>
    <n v="293.08"/>
    <n v="293.08"/>
    <n v="293.08"/>
    <n v="293.08"/>
    <n v="293.08"/>
  </r>
  <r>
    <x v="3"/>
    <s v="Living Area"/>
    <n v="0"/>
    <n v="0"/>
    <n v="0"/>
    <n v="0"/>
    <n v="0"/>
    <n v="0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  <n v="1025.1600000000001"/>
  </r>
  <r>
    <x v="3"/>
    <s v="Living Area"/>
    <n v="0"/>
    <n v="0"/>
    <n v="0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  <n v="566.20000000000005"/>
  </r>
  <r>
    <x v="3"/>
    <s v="Living Area"/>
    <n v="0"/>
    <n v="0"/>
    <n v="0"/>
    <n v="1430.83"/>
    <n v="1430.83"/>
    <n v="1430.83"/>
    <n v="1430.83"/>
    <n v="1430.83"/>
    <n v="1430.83"/>
    <n v="1430.83"/>
    <n v="1430.83"/>
    <n v="1430.83"/>
    <n v="1430.83"/>
    <n v="1430.83"/>
    <n v="1430.83"/>
    <n v="1430.83"/>
    <n v="1430.83"/>
  </r>
  <r>
    <x v="3"/>
    <s v="Living Area"/>
    <n v="0"/>
    <n v="0"/>
    <n v="0"/>
    <n v="66.64"/>
    <n v="66.64"/>
    <n v="66.64"/>
    <n v="66.64"/>
    <n v="66.64"/>
    <n v="66.64"/>
    <n v="66.64"/>
    <n v="66.64"/>
    <n v="66.64"/>
    <n v="66.64"/>
    <n v="66.64"/>
    <n v="66.64"/>
    <n v="66.64"/>
    <n v="66.64"/>
  </r>
  <r>
    <x v="3"/>
    <s v="Living Area"/>
    <n v="0"/>
    <n v="0"/>
    <n v="0"/>
    <n v="540.85"/>
    <n v="540.85"/>
    <n v="540.85"/>
    <n v="540.85"/>
    <n v="540.85"/>
    <n v="540.85"/>
    <n v="540.85"/>
    <n v="540.85"/>
    <n v="540.85"/>
    <n v="540.85"/>
    <n v="540.85"/>
    <n v="540.85"/>
    <n v="540.85"/>
    <n v="540.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349C7-D305-40F8-8706-0E92D5D36F31}" name="grp3pivot" cacheId="1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9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BC67A-C21F-439E-A73D-927B61F37D0E}" name="grp2pivot" cacheId="1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H15" sqref="H15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/>
      <c r="E6" s="21" t="b">
        <f>COUNTIF(E8:E14,TRUE)&gt;0</f>
        <v>0</v>
      </c>
      <c r="F6" s="51"/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9"/>
      <c r="B8" s="98"/>
      <c r="C8" s="16" t="s">
        <v>76</v>
      </c>
      <c r="D8" s="96" t="s">
        <v>92</v>
      </c>
      <c r="E8" s="21"/>
      <c r="F8" s="100" t="s">
        <v>74</v>
      </c>
      <c r="G8" t="s">
        <v>92</v>
      </c>
    </row>
    <row r="9" spans="1:8" x14ac:dyDescent="0.25">
      <c r="A9" s="99"/>
      <c r="B9" s="98"/>
      <c r="C9" s="16" t="s">
        <v>80</v>
      </c>
      <c r="D9" s="96" t="s">
        <v>91</v>
      </c>
      <c r="E9" s="21"/>
      <c r="F9" s="101"/>
      <c r="G9" t="s">
        <v>91</v>
      </c>
    </row>
    <row r="10" spans="1:8" x14ac:dyDescent="0.25">
      <c r="A10" s="99"/>
      <c r="B10" s="98"/>
      <c r="C10" s="16" t="s">
        <v>71</v>
      </c>
      <c r="D10" s="96" t="s">
        <v>91</v>
      </c>
      <c r="E10" s="21"/>
      <c r="F10" s="102" t="s">
        <v>93</v>
      </c>
      <c r="G10" t="s">
        <v>91</v>
      </c>
    </row>
    <row r="11" spans="1:8" x14ac:dyDescent="0.25">
      <c r="A11" s="99"/>
      <c r="B11" s="98"/>
      <c r="C11" s="16" t="s">
        <v>72</v>
      </c>
      <c r="D11" s="96" t="s">
        <v>91</v>
      </c>
      <c r="E11" s="21"/>
      <c r="F11" s="102"/>
      <c r="G11" t="s">
        <v>91</v>
      </c>
    </row>
    <row r="12" spans="1:8" x14ac:dyDescent="0.25">
      <c r="A12" s="99"/>
      <c r="B12" s="98"/>
      <c r="C12" s="16" t="s">
        <v>70</v>
      </c>
      <c r="D12" s="96" t="s">
        <v>91</v>
      </c>
      <c r="E12" s="21"/>
      <c r="F12" s="102"/>
      <c r="G12" t="s">
        <v>91</v>
      </c>
    </row>
    <row r="13" spans="1:8" x14ac:dyDescent="0.25">
      <c r="A13" s="99"/>
      <c r="B13" s="98"/>
      <c r="C13" s="16" t="s">
        <v>88</v>
      </c>
      <c r="D13" s="96" t="s">
        <v>92</v>
      </c>
      <c r="E13" s="21"/>
      <c r="F13" s="97" t="s">
        <v>75</v>
      </c>
      <c r="G13" t="s">
        <v>92</v>
      </c>
    </row>
    <row r="14" spans="1:8" x14ac:dyDescent="0.25">
      <c r="A14" s="99"/>
      <c r="B14" s="98"/>
      <c r="C14" s="16" t="s">
        <v>73</v>
      </c>
      <c r="D14" s="96" t="s">
        <v>92</v>
      </c>
      <c r="E14" s="21"/>
      <c r="F14" s="97"/>
      <c r="G14" t="s">
        <v>92</v>
      </c>
    </row>
    <row r="15" spans="1:8" ht="15" customHeight="1" x14ac:dyDescent="0.25">
      <c r="C15" s="30" t="s">
        <v>89</v>
      </c>
      <c r="D15" s="96" t="s">
        <v>90</v>
      </c>
      <c r="E15" s="31"/>
      <c r="F15" s="35" t="s">
        <v>138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/>
      <c r="F18" s="37"/>
    </row>
    <row r="20" spans="2:8" ht="30" customHeight="1" x14ac:dyDescent="0.25">
      <c r="B20" s="59">
        <v>3</v>
      </c>
      <c r="C20" s="40" t="s">
        <v>24</v>
      </c>
      <c r="D20" s="50"/>
      <c r="E20" s="21"/>
      <c r="F20" s="37"/>
      <c r="H20" s="19"/>
    </row>
    <row r="22" spans="2:8" ht="30" customHeight="1" x14ac:dyDescent="0.25">
      <c r="B22" s="58">
        <v>4</v>
      </c>
      <c r="C22" s="40" t="s">
        <v>69</v>
      </c>
      <c r="D22" s="50"/>
      <c r="E22" s="45"/>
      <c r="F22" s="37"/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/>
      <c r="F24" s="37"/>
    </row>
    <row r="26" spans="2:8" ht="30" customHeight="1" x14ac:dyDescent="0.25">
      <c r="B26" s="58">
        <v>6</v>
      </c>
      <c r="C26" s="40" t="s">
        <v>23</v>
      </c>
      <c r="D26" s="50"/>
      <c r="E26" s="21"/>
      <c r="F26" s="37"/>
      <c r="H26" s="19"/>
    </row>
    <row r="28" spans="2:8" ht="30" customHeight="1" x14ac:dyDescent="0.25">
      <c r="B28" s="58">
        <v>7</v>
      </c>
      <c r="C28" s="40" t="s">
        <v>64</v>
      </c>
      <c r="D28" s="50"/>
      <c r="E28" s="21"/>
      <c r="F28" s="37"/>
    </row>
    <row r="30" spans="2:8" ht="30" customHeight="1" x14ac:dyDescent="0.25">
      <c r="B30" s="58">
        <v>8</v>
      </c>
      <c r="C30" s="40" t="s">
        <v>65</v>
      </c>
      <c r="D30" s="50"/>
      <c r="E30" s="21"/>
      <c r="F30" s="37"/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/>
      <c r="F32" s="37"/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9" priority="5">
      <formula>OR($E$22="1/4",$E$22="2/4",$E$22="3/4")</formula>
    </cfRule>
  </conditionalFormatting>
  <conditionalFormatting sqref="E6:E15 E18:E32">
    <cfRule type="expression" dxfId="8" priority="11">
      <formula>$E6=TRUE</formula>
    </cfRule>
    <cfRule type="expression" dxfId="7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J11" sqref="J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3" t="s">
        <v>0</v>
      </c>
      <c r="B1" s="103"/>
      <c r="C1" s="103"/>
      <c r="D1" s="103"/>
      <c r="E1" s="103"/>
      <c r="F1" s="62" t="s">
        <v>100</v>
      </c>
      <c r="G1" s="106" t="s">
        <v>53</v>
      </c>
      <c r="H1" s="107"/>
      <c r="I1" s="107"/>
      <c r="J1" s="107"/>
      <c r="K1" s="107"/>
      <c r="L1" s="107"/>
      <c r="M1" s="107"/>
      <c r="N1" s="108"/>
      <c r="O1" s="108"/>
    </row>
    <row r="2" spans="1:16" ht="52.5" customHeight="1" x14ac:dyDescent="0.25">
      <c r="A2" s="70"/>
      <c r="B2" s="105"/>
      <c r="C2" s="105"/>
      <c r="D2" s="104">
        <f>Home!F22</f>
        <v>0</v>
      </c>
      <c r="E2" s="104"/>
      <c r="F2" s="49">
        <f>Home!E22</f>
        <v>0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/>
      <c r="H3" s="66"/>
      <c r="I3" s="66"/>
      <c r="J3" s="65"/>
      <c r="K3" s="65"/>
      <c r="L3" s="65"/>
      <c r="M3" s="65"/>
      <c r="N3" s="89"/>
      <c r="O3" s="89"/>
    </row>
    <row r="4" spans="1:16" x14ac:dyDescent="0.25">
      <c r="A4" s="46"/>
      <c r="B4" s="46"/>
      <c r="C4" s="46"/>
      <c r="D4" s="1"/>
      <c r="E4" s="1"/>
      <c r="G4" s="65"/>
      <c r="H4" s="66"/>
      <c r="I4" s="66"/>
      <c r="J4" s="65"/>
      <c r="K4" s="65"/>
      <c r="L4" s="65"/>
      <c r="M4" s="65"/>
      <c r="N4" s="89"/>
      <c r="O4" s="89"/>
    </row>
    <row r="5" spans="1:16" x14ac:dyDescent="0.25">
      <c r="A5" s="41"/>
      <c r="B5" s="41"/>
      <c r="C5" s="41"/>
      <c r="D5" s="41"/>
      <c r="E5" s="41"/>
      <c r="G5" s="65"/>
      <c r="H5" s="66"/>
      <c r="I5" s="66"/>
      <c r="J5" s="65"/>
      <c r="K5" s="65"/>
      <c r="L5" s="65"/>
      <c r="M5" s="65"/>
      <c r="N5" s="89"/>
      <c r="O5" s="89"/>
    </row>
    <row r="6" spans="1:16" x14ac:dyDescent="0.25">
      <c r="A6" s="1"/>
      <c r="B6" s="5" t="s">
        <v>2</v>
      </c>
      <c r="C6" s="5" t="s">
        <v>3</v>
      </c>
      <c r="D6" s="1"/>
      <c r="E6" s="1"/>
      <c r="G6" s="65"/>
      <c r="H6" s="65"/>
      <c r="I6" s="65"/>
      <c r="J6" s="65"/>
      <c r="K6" s="65"/>
      <c r="L6" s="65"/>
      <c r="M6" s="65"/>
      <c r="N6" s="89"/>
      <c r="O6" s="89"/>
      <c r="P6" s="93"/>
    </row>
    <row r="7" spans="1:16" x14ac:dyDescent="0.25">
      <c r="A7" s="2" t="s">
        <v>17</v>
      </c>
      <c r="B7" s="67"/>
      <c r="C7" s="69"/>
      <c r="D7" s="1"/>
      <c r="E7" s="1"/>
      <c r="G7" s="65"/>
      <c r="H7" s="65"/>
      <c r="I7" s="65"/>
      <c r="J7" s="65"/>
      <c r="K7" s="65"/>
      <c r="L7" s="65"/>
      <c r="M7" s="65"/>
      <c r="N7" s="89"/>
      <c r="O7" s="89"/>
    </row>
    <row r="8" spans="1:16" x14ac:dyDescent="0.25">
      <c r="A8" s="2" t="s">
        <v>10</v>
      </c>
      <c r="B8" s="67"/>
      <c r="C8" s="1"/>
      <c r="D8" s="1"/>
      <c r="E8" s="1"/>
      <c r="G8" s="65"/>
      <c r="H8" s="65"/>
      <c r="I8" s="65"/>
      <c r="J8" s="65"/>
      <c r="K8" s="65"/>
      <c r="L8" s="65"/>
      <c r="M8" s="65"/>
      <c r="N8" s="89"/>
      <c r="O8" s="89"/>
    </row>
    <row r="9" spans="1:16" x14ac:dyDescent="0.25">
      <c r="A9" s="2" t="s">
        <v>18</v>
      </c>
      <c r="B9" s="68"/>
      <c r="C9" s="1"/>
      <c r="D9" s="1"/>
      <c r="E9" s="1"/>
      <c r="G9" s="65"/>
      <c r="H9" s="65"/>
      <c r="I9" s="65"/>
      <c r="J9" s="65"/>
      <c r="K9" s="65"/>
      <c r="L9" s="65"/>
      <c r="M9" s="65"/>
      <c r="N9" s="89"/>
      <c r="O9" s="89"/>
    </row>
    <row r="10" spans="1:16" x14ac:dyDescent="0.25">
      <c r="A10" s="94" t="s">
        <v>106</v>
      </c>
      <c r="B10" s="68"/>
      <c r="C10" s="1"/>
      <c r="D10" s="1"/>
      <c r="E10" s="1"/>
      <c r="G10" s="65"/>
      <c r="H10" s="65"/>
      <c r="I10" s="65"/>
      <c r="J10" s="65"/>
      <c r="K10" s="65"/>
      <c r="L10" s="65"/>
      <c r="M10" s="65"/>
      <c r="N10" s="89"/>
      <c r="O10" s="89"/>
    </row>
    <row r="11" spans="1:16" x14ac:dyDescent="0.25">
      <c r="A11" s="1" t="s">
        <v>57</v>
      </c>
      <c r="B11" s="42" t="e">
        <f>C14</f>
        <v>#DIV/0!</v>
      </c>
      <c r="C11" s="42" t="e">
        <f>C16</f>
        <v>#DIV/0!</v>
      </c>
      <c r="D11" s="1"/>
      <c r="E11" s="1"/>
      <c r="G11" s="65"/>
      <c r="H11" s="65"/>
      <c r="I11" s="65"/>
      <c r="J11" s="65"/>
      <c r="K11" s="65"/>
      <c r="L11" s="65"/>
      <c r="M11" s="65"/>
      <c r="N11" s="89"/>
      <c r="O11" s="89"/>
    </row>
    <row r="12" spans="1:16" x14ac:dyDescent="0.25">
      <c r="A12" s="1"/>
      <c r="B12" s="1"/>
      <c r="C12" s="1"/>
      <c r="D12" s="1"/>
      <c r="E12" s="1"/>
      <c r="G12" s="65"/>
      <c r="H12" s="65"/>
      <c r="I12" s="65"/>
      <c r="J12" s="65"/>
      <c r="K12" s="65"/>
      <c r="L12" s="65"/>
      <c r="M12" s="65"/>
      <c r="N12" s="89"/>
      <c r="O12" s="89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/>
      <c r="H13" s="65"/>
      <c r="I13" s="65"/>
      <c r="J13" s="65"/>
      <c r="K13" s="65"/>
      <c r="L13" s="65"/>
      <c r="M13" s="65"/>
      <c r="N13" s="89"/>
      <c r="O13" s="89"/>
    </row>
    <row r="14" spans="1:16" x14ac:dyDescent="0.25">
      <c r="A14" s="4" t="s">
        <v>49</v>
      </c>
      <c r="B14" s="42" t="e">
        <f>C14+D14+E14</f>
        <v>#DIV/0!</v>
      </c>
      <c r="C14" s="42" t="e">
        <f>B7/B8</f>
        <v>#DIV/0!</v>
      </c>
      <c r="D14" s="42" t="e">
        <f>C14*B9</f>
        <v>#DIV/0!</v>
      </c>
      <c r="E14" s="42" t="e">
        <f>B7-C14</f>
        <v>#DIV/0!</v>
      </c>
      <c r="F14"/>
      <c r="G14" s="65"/>
      <c r="H14" s="65"/>
      <c r="I14" s="65"/>
      <c r="J14" s="65"/>
      <c r="K14" s="65"/>
      <c r="L14" s="65"/>
      <c r="M14" s="65"/>
      <c r="N14" s="89"/>
      <c r="O14" s="89"/>
    </row>
    <row r="15" spans="1:16" x14ac:dyDescent="0.25">
      <c r="A15" s="4" t="s">
        <v>50</v>
      </c>
      <c r="B15" s="42">
        <f>SUMIFS(H:H,G:G,"&lt;&gt;mech_single",G:G,"&lt;&gt;general",G:G,"&lt;&gt;general_main")</f>
        <v>0</v>
      </c>
      <c r="C15" s="42">
        <f>SUMIFS(H:H,G:G,"&lt;&gt;general_main",J:J,C13)</f>
        <v>0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89"/>
      <c r="O15" s="89"/>
    </row>
    <row r="16" spans="1:16" x14ac:dyDescent="0.25">
      <c r="A16" s="4" t="s">
        <v>59</v>
      </c>
      <c r="B16" s="42" t="e">
        <f>B14*0.092903</f>
        <v>#DIV/0!</v>
      </c>
      <c r="C16" s="42" t="e">
        <f t="shared" ref="C16:E17" si="0">C14*0.092903</f>
        <v>#DIV/0!</v>
      </c>
      <c r="D16" s="42" t="e">
        <f t="shared" si="0"/>
        <v>#DIV/0!</v>
      </c>
      <c r="E16" s="42" t="e">
        <f t="shared" si="0"/>
        <v>#DIV/0!</v>
      </c>
      <c r="F16"/>
      <c r="G16" s="65"/>
      <c r="H16" s="65"/>
      <c r="I16" s="65"/>
      <c r="J16" s="65"/>
      <c r="K16" s="65"/>
      <c r="L16" s="65"/>
      <c r="M16" s="65"/>
      <c r="N16" s="89"/>
      <c r="O16" s="89"/>
    </row>
    <row r="17" spans="1:15" x14ac:dyDescent="0.25">
      <c r="A17" s="4" t="s">
        <v>60</v>
      </c>
      <c r="B17" s="42">
        <f>B15*0.092903</f>
        <v>0</v>
      </c>
      <c r="C17" s="42">
        <f t="shared" si="0"/>
        <v>0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 t="e">
        <f>IF(B14&gt;0,B15/B14,"")</f>
        <v>#DIV/0!</v>
      </c>
      <c r="C18" s="43" t="e">
        <f t="shared" ref="C18:E18" si="1">IF(C14&gt;0,C15/C14,"")</f>
        <v>#DIV/0!</v>
      </c>
      <c r="D18" s="43" t="e">
        <f t="shared" si="1"/>
        <v>#DIV/0!</v>
      </c>
      <c r="E18" s="43" t="e">
        <f t="shared" si="1"/>
        <v>#DIV/0!</v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 t="e">
        <f>SUM(C21:E21)</f>
        <v>#DIV/0!</v>
      </c>
      <c r="C21" s="90" t="e">
        <f>C16*VLOOKUP($A21,$M$3:$N$37,2,FALSE)</f>
        <v>#DIV/0!</v>
      </c>
      <c r="D21" s="90" t="e">
        <f t="shared" ref="D21:E21" si="2">D16*VLOOKUP($A21,$M$3:$N$37,2,FALSE)</f>
        <v>#DIV/0!</v>
      </c>
      <c r="E21" s="90" t="e">
        <f t="shared" si="2"/>
        <v>#DIV/0!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0</v>
      </c>
      <c r="C22" s="90">
        <f>SUMIFS($O$3:$O$37,$J$3:$J$37,C$20,$M$3:$M$37,$A22)</f>
        <v>0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0</v>
      </c>
      <c r="C23" s="90">
        <f t="shared" ref="C23:C24" si="5">SUMIFS($O$3:$O$37,$J$3:$J$37,C$20,$M$3:$M$37,$A23)</f>
        <v>0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 t="e">
        <f>SUM(B21:B24)</f>
        <v>#DIV/0!</v>
      </c>
      <c r="C25" s="92" t="e">
        <f t="shared" ref="C25:E25" si="6">SUM(C21:C24)</f>
        <v>#DIV/0!</v>
      </c>
      <c r="D25" s="92" t="e">
        <f t="shared" si="6"/>
        <v>#DIV/0!</v>
      </c>
      <c r="E25" s="92" t="e">
        <f t="shared" si="6"/>
        <v>#DIV/0!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 t="e">
        <f>IF(B16&gt;0,B25/B16,"")</f>
        <v>#DIV/0!</v>
      </c>
      <c r="C26" s="90" t="e">
        <f t="shared" ref="C26:E26" si="7">IF(C16&gt;0,C25/C16,"")</f>
        <v>#DIV/0!</v>
      </c>
      <c r="D26" s="90" t="e">
        <f t="shared" si="7"/>
        <v>#DIV/0!</v>
      </c>
      <c r="E26" s="90" t="e">
        <f t="shared" si="7"/>
        <v>#DIV/0!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/>
      <c r="B29" s="95"/>
      <c r="C29" s="95"/>
      <c r="D29" s="95"/>
      <c r="E29" s="95"/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/>
      <c r="B30" s="95"/>
      <c r="C30" s="95"/>
      <c r="D30" s="95"/>
      <c r="E30" s="95"/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/>
      <c r="B31" s="95"/>
      <c r="C31" s="95"/>
      <c r="D31" s="95"/>
      <c r="E31" s="95"/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/>
      <c r="B32" s="95"/>
      <c r="C32" s="95"/>
      <c r="D32" s="95"/>
      <c r="E32" s="95"/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/>
      <c r="B33" s="95"/>
      <c r="C33" s="95"/>
      <c r="D33" s="95"/>
      <c r="E33" s="95"/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/>
      <c r="B34" s="95"/>
      <c r="C34" s="95"/>
      <c r="D34" s="95"/>
      <c r="E34" s="95"/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/>
      <c r="B35" s="95"/>
      <c r="C35" s="95"/>
      <c r="D35" s="95"/>
      <c r="E35" s="95"/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8">
    <sortCondition ref="J3:J18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4" priority="11">
      <formula>OR($F$2=FALSE,$F$2="1/4",$F$2="2/4",$F$2="3/4")</formula>
    </cfRule>
    <cfRule type="expression" dxfId="3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20595.9725</v>
      </c>
      <c r="C10" s="8">
        <v>0</v>
      </c>
      <c r="D10" s="8">
        <v>2564.5699999999997</v>
      </c>
      <c r="E10" s="8">
        <v>19360.849999999999</v>
      </c>
      <c r="F10" s="8">
        <v>42521.392500000002</v>
      </c>
      <c r="G10"/>
    </row>
    <row r="11" spans="1:7" x14ac:dyDescent="0.25">
      <c r="A11" s="3" t="s">
        <v>31</v>
      </c>
      <c r="B11" s="8">
        <v>35606.252499999995</v>
      </c>
      <c r="C11" s="8">
        <v>0</v>
      </c>
      <c r="D11" s="8">
        <v>3986.6799999999994</v>
      </c>
      <c r="E11" s="8">
        <v>26083.919999999998</v>
      </c>
      <c r="F11" s="8">
        <v>65676.852499999994</v>
      </c>
      <c r="G11"/>
    </row>
    <row r="12" spans="1:7" x14ac:dyDescent="0.25">
      <c r="A12" s="3" t="s">
        <v>32</v>
      </c>
      <c r="B12" s="8">
        <v>38142.392499999994</v>
      </c>
      <c r="C12" s="8">
        <v>1836.39</v>
      </c>
      <c r="D12" s="8">
        <v>3986.6799999999994</v>
      </c>
      <c r="E12" s="8">
        <v>26083.919999999998</v>
      </c>
      <c r="F12" s="8">
        <v>70049.382499999992</v>
      </c>
      <c r="G12"/>
    </row>
    <row r="13" spans="1:7" x14ac:dyDescent="0.25">
      <c r="A13" s="3" t="s">
        <v>33</v>
      </c>
      <c r="B13" s="8">
        <v>44278.282500000008</v>
      </c>
      <c r="C13" s="8">
        <v>7102.92</v>
      </c>
      <c r="D13" s="8">
        <v>3986.6799999999994</v>
      </c>
      <c r="E13" s="8">
        <v>29197.479999999996</v>
      </c>
      <c r="F13" s="8">
        <v>84565.362500000003</v>
      </c>
      <c r="G13"/>
    </row>
    <row r="14" spans="1:7" x14ac:dyDescent="0.25">
      <c r="A14" s="3" t="s">
        <v>34</v>
      </c>
      <c r="B14" s="8">
        <v>47999.157500000008</v>
      </c>
      <c r="C14" s="8">
        <v>7102.92</v>
      </c>
      <c r="D14" s="8">
        <v>4137.47</v>
      </c>
      <c r="E14" s="8">
        <v>32435.432500000003</v>
      </c>
      <c r="F14" s="8">
        <v>91674.98000000001</v>
      </c>
      <c r="G14"/>
    </row>
    <row r="15" spans="1:7" x14ac:dyDescent="0.25">
      <c r="A15" s="3" t="s">
        <v>35</v>
      </c>
      <c r="B15" s="8">
        <v>49470.839000000022</v>
      </c>
      <c r="C15" s="8">
        <v>7102.92</v>
      </c>
      <c r="D15" s="8">
        <v>11772.06</v>
      </c>
      <c r="E15" s="8">
        <v>33548.227999999996</v>
      </c>
      <c r="F15" s="8">
        <v>101894.04700000002</v>
      </c>
      <c r="G15"/>
    </row>
    <row r="16" spans="1:7" x14ac:dyDescent="0.25">
      <c r="A16" s="3" t="s">
        <v>36</v>
      </c>
      <c r="B16" s="8">
        <v>51282.50900000002</v>
      </c>
      <c r="C16" s="8">
        <v>7102.92</v>
      </c>
      <c r="D16" s="8">
        <v>11772.06</v>
      </c>
      <c r="E16" s="8">
        <v>35359.897999999994</v>
      </c>
      <c r="F16" s="8">
        <v>105517.38700000002</v>
      </c>
      <c r="G16"/>
    </row>
    <row r="17" spans="1:23" x14ac:dyDescent="0.25">
      <c r="A17" s="3" t="s">
        <v>37</v>
      </c>
      <c r="B17" s="8">
        <v>59803.449000000001</v>
      </c>
      <c r="C17" s="8">
        <v>7102.92</v>
      </c>
      <c r="D17" s="8">
        <v>11772.06</v>
      </c>
      <c r="E17" s="8">
        <v>36092.277999999991</v>
      </c>
      <c r="F17" s="8">
        <v>114770.70699999999</v>
      </c>
      <c r="G17"/>
    </row>
    <row r="18" spans="1:23" x14ac:dyDescent="0.25">
      <c r="A18" s="3" t="s">
        <v>38</v>
      </c>
      <c r="B18" s="8">
        <v>75665.414000000019</v>
      </c>
      <c r="C18" s="8">
        <v>8199.9500000000007</v>
      </c>
      <c r="D18" s="8">
        <v>13788.43</v>
      </c>
      <c r="E18" s="8">
        <v>49398.387999999999</v>
      </c>
      <c r="F18" s="8">
        <v>147052.18200000003</v>
      </c>
      <c r="G18"/>
    </row>
    <row r="19" spans="1:23" x14ac:dyDescent="0.25">
      <c r="A19" s="3" t="s">
        <v>39</v>
      </c>
      <c r="B19" s="8">
        <v>79367.13400000002</v>
      </c>
      <c r="C19" s="8">
        <v>8199.9500000000007</v>
      </c>
      <c r="D19" s="8">
        <v>17299.369999999995</v>
      </c>
      <c r="E19" s="8">
        <v>49398.387999999999</v>
      </c>
      <c r="F19" s="8">
        <v>154264.842</v>
      </c>
      <c r="G19"/>
    </row>
    <row r="20" spans="1:23" x14ac:dyDescent="0.25">
      <c r="A20" s="3" t="s">
        <v>40</v>
      </c>
      <c r="B20" s="8">
        <v>80084.534000000029</v>
      </c>
      <c r="C20" s="8">
        <v>8199.9500000000007</v>
      </c>
      <c r="D20" s="8">
        <v>17895.569999999992</v>
      </c>
      <c r="E20" s="8">
        <v>49464.527999999998</v>
      </c>
      <c r="F20" s="8">
        <v>155644.58200000002</v>
      </c>
      <c r="G20"/>
    </row>
    <row r="21" spans="1:23" x14ac:dyDescent="0.25">
      <c r="A21" s="3" t="s">
        <v>41</v>
      </c>
      <c r="B21" s="8">
        <v>83749.890000000029</v>
      </c>
      <c r="C21" s="8">
        <v>8199.9500000000007</v>
      </c>
      <c r="D21" s="8">
        <v>18198.649999999991</v>
      </c>
      <c r="E21" s="8">
        <v>51988.020000000011</v>
      </c>
      <c r="F21" s="8">
        <v>162136.51000000004</v>
      </c>
      <c r="G21"/>
    </row>
    <row r="22" spans="1:23" x14ac:dyDescent="0.25">
      <c r="A22" s="3" t="s">
        <v>42</v>
      </c>
      <c r="B22" s="8">
        <v>83749.890000000029</v>
      </c>
      <c r="C22" s="8">
        <v>15200.53</v>
      </c>
      <c r="D22" s="8">
        <v>18198.649999999991</v>
      </c>
      <c r="E22" s="8">
        <v>51988.020000000011</v>
      </c>
      <c r="F22" s="8">
        <v>169137.09000000003</v>
      </c>
      <c r="G22"/>
    </row>
    <row r="23" spans="1:23" x14ac:dyDescent="0.25">
      <c r="A23" s="3" t="s">
        <v>43</v>
      </c>
      <c r="B23" s="8">
        <v>83749.890000000029</v>
      </c>
      <c r="C23" s="8">
        <v>15200.53</v>
      </c>
      <c r="D23" s="8">
        <v>18198.649999999991</v>
      </c>
      <c r="E23" s="8">
        <v>51988.020000000011</v>
      </c>
      <c r="F23" s="8">
        <v>169137.09000000003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2564.5699999999997</v>
      </c>
      <c r="C35" s="8">
        <v>0</v>
      </c>
      <c r="D35" s="8">
        <v>0</v>
      </c>
      <c r="E35" s="8">
        <v>5865.2500000000009</v>
      </c>
      <c r="F35" s="8">
        <v>1481.9</v>
      </c>
      <c r="G35" s="8">
        <v>15074.780000000006</v>
      </c>
      <c r="H35" s="8">
        <v>2833.1749999999997</v>
      </c>
      <c r="I35" s="8">
        <v>1506.99</v>
      </c>
      <c r="J35" s="8">
        <v>10033.39</v>
      </c>
      <c r="K35" s="8">
        <v>3161.3375000000001</v>
      </c>
      <c r="L35" s="8">
        <v>42521.392500000009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3986.6799999999994</v>
      </c>
      <c r="C36" s="8">
        <v>0</v>
      </c>
      <c r="D36" s="8">
        <v>464.88</v>
      </c>
      <c r="E36" s="8">
        <v>9198.6500000000015</v>
      </c>
      <c r="F36" s="8">
        <v>2257.1000000000004</v>
      </c>
      <c r="G36" s="8">
        <v>21337.980000000003</v>
      </c>
      <c r="H36" s="8">
        <v>11239.475000000002</v>
      </c>
      <c r="I36" s="8">
        <v>1835.4300000000003</v>
      </c>
      <c r="J36" s="8">
        <v>11443.770000000002</v>
      </c>
      <c r="K36" s="8">
        <v>3912.8875000000003</v>
      </c>
      <c r="L36" s="8">
        <v>65676.852500000023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3986.6799999999994</v>
      </c>
      <c r="C37" s="8">
        <v>1836.39</v>
      </c>
      <c r="D37" s="8">
        <v>3001.0200000000004</v>
      </c>
      <c r="E37" s="8">
        <v>9198.6500000000015</v>
      </c>
      <c r="F37" s="8">
        <v>2257.1000000000004</v>
      </c>
      <c r="G37" s="8">
        <v>21337.980000000003</v>
      </c>
      <c r="H37" s="8">
        <v>11239.475000000002</v>
      </c>
      <c r="I37" s="8">
        <v>1835.4300000000003</v>
      </c>
      <c r="J37" s="8">
        <v>11443.770000000002</v>
      </c>
      <c r="K37" s="8">
        <v>3912.8875000000003</v>
      </c>
      <c r="L37" s="8">
        <v>70049.382500000007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3986.6799999999994</v>
      </c>
      <c r="C38" s="8">
        <v>7102.92</v>
      </c>
      <c r="D38" s="8">
        <v>3001.0200000000004</v>
      </c>
      <c r="E38" s="8">
        <v>9578.01</v>
      </c>
      <c r="F38" s="8">
        <v>2423.3100000000004</v>
      </c>
      <c r="G38" s="8">
        <v>23884.019999999997</v>
      </c>
      <c r="H38" s="8">
        <v>14693.245000000001</v>
      </c>
      <c r="I38" s="8">
        <v>2062.3900000000003</v>
      </c>
      <c r="J38" s="8">
        <v>13494.090000000002</v>
      </c>
      <c r="K38" s="8">
        <v>4339.6775000000007</v>
      </c>
      <c r="L38" s="8">
        <v>84565.362500000003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4137.47</v>
      </c>
      <c r="C39" s="8">
        <v>7102.92</v>
      </c>
      <c r="D39" s="8">
        <v>3001.0200000000004</v>
      </c>
      <c r="E39" s="8">
        <v>10200.365000000003</v>
      </c>
      <c r="F39" s="8">
        <v>2708.4300000000007</v>
      </c>
      <c r="G39" s="8">
        <v>26411.339999999997</v>
      </c>
      <c r="H39" s="8">
        <v>15255.45</v>
      </c>
      <c r="I39" s="8">
        <v>2403.3300000000004</v>
      </c>
      <c r="J39" s="8">
        <v>15359.65</v>
      </c>
      <c r="K39" s="8">
        <v>5095.0049999999992</v>
      </c>
      <c r="L39" s="8">
        <v>91674.98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11772.06</v>
      </c>
      <c r="C40" s="8">
        <v>7102.92</v>
      </c>
      <c r="D40" s="8">
        <v>3103.3580000000002</v>
      </c>
      <c r="E40" s="8">
        <v>11350.756000000001</v>
      </c>
      <c r="F40" s="8">
        <v>2823.6300000000006</v>
      </c>
      <c r="G40" s="8">
        <v>26872.14</v>
      </c>
      <c r="H40" s="8">
        <v>15550.397999999999</v>
      </c>
      <c r="I40" s="8">
        <v>2480.1300000000006</v>
      </c>
      <c r="J40" s="8">
        <v>15666.849999999999</v>
      </c>
      <c r="K40" s="8">
        <v>5171.8050000000003</v>
      </c>
      <c r="L40" s="8">
        <v>101894.04699999999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11772.06</v>
      </c>
      <c r="C41" s="8">
        <v>7102.92</v>
      </c>
      <c r="D41" s="8">
        <v>3103.3580000000002</v>
      </c>
      <c r="E41" s="8">
        <v>14974.096000000001</v>
      </c>
      <c r="F41" s="8">
        <v>2823.6300000000006</v>
      </c>
      <c r="G41" s="8">
        <v>26872.14</v>
      </c>
      <c r="H41" s="8">
        <v>15550.397999999999</v>
      </c>
      <c r="I41" s="8">
        <v>2480.1300000000006</v>
      </c>
      <c r="J41" s="8">
        <v>15666.849999999999</v>
      </c>
      <c r="K41" s="8">
        <v>5171.8050000000003</v>
      </c>
      <c r="L41" s="8">
        <v>105517.38699999999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11772.06</v>
      </c>
      <c r="C42" s="8">
        <v>7102.92</v>
      </c>
      <c r="D42" s="8">
        <v>3103.3580000000002</v>
      </c>
      <c r="E42" s="8">
        <v>16438.856</v>
      </c>
      <c r="F42" s="8">
        <v>2823.6300000000006</v>
      </c>
      <c r="G42" s="8">
        <v>26872.14</v>
      </c>
      <c r="H42" s="8">
        <v>23338.958000000002</v>
      </c>
      <c r="I42" s="8">
        <v>2480.1300000000006</v>
      </c>
      <c r="J42" s="8">
        <v>15666.849999999999</v>
      </c>
      <c r="K42" s="8">
        <v>5171.8050000000003</v>
      </c>
      <c r="L42" s="8">
        <v>114770.70699999999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13788.43</v>
      </c>
      <c r="C43" s="8">
        <v>8199.9500000000007</v>
      </c>
      <c r="D43" s="8">
        <v>3358.7579999999998</v>
      </c>
      <c r="E43" s="8">
        <v>27922.576000000001</v>
      </c>
      <c r="F43" s="8">
        <v>3751.03</v>
      </c>
      <c r="G43" s="8">
        <v>32867.86</v>
      </c>
      <c r="H43" s="8">
        <v>26136.157999999999</v>
      </c>
      <c r="I43" s="8">
        <v>3194.48</v>
      </c>
      <c r="J43" s="8">
        <v>21076.17</v>
      </c>
      <c r="K43" s="8">
        <v>6756.7699999999995</v>
      </c>
      <c r="L43" s="8">
        <v>147052.18199999997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17299.369999999995</v>
      </c>
      <c r="C44" s="8">
        <v>8199.9500000000007</v>
      </c>
      <c r="D44" s="8">
        <v>3358.7579999999998</v>
      </c>
      <c r="E44" s="8">
        <v>27922.576000000001</v>
      </c>
      <c r="F44" s="8">
        <v>3751.03</v>
      </c>
      <c r="G44" s="8">
        <v>32867.86</v>
      </c>
      <c r="H44" s="8">
        <v>29837.878000000001</v>
      </c>
      <c r="I44" s="8">
        <v>3194.48</v>
      </c>
      <c r="J44" s="8">
        <v>21076.17</v>
      </c>
      <c r="K44" s="8">
        <v>6756.7699999999995</v>
      </c>
      <c r="L44" s="8">
        <v>154264.84199999998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17895.569999999992</v>
      </c>
      <c r="C45" s="8">
        <v>8199.9500000000007</v>
      </c>
      <c r="D45" s="8">
        <v>3358.7579999999998</v>
      </c>
      <c r="E45" s="8">
        <v>27922.576000000001</v>
      </c>
      <c r="F45" s="8">
        <v>3751.03</v>
      </c>
      <c r="G45" s="8">
        <v>33000.14</v>
      </c>
      <c r="H45" s="8">
        <v>30489.138000000003</v>
      </c>
      <c r="I45" s="8">
        <v>3194.48</v>
      </c>
      <c r="J45" s="8">
        <v>21076.17</v>
      </c>
      <c r="K45" s="8">
        <v>6756.7699999999995</v>
      </c>
      <c r="L45" s="8">
        <v>155644.58199999997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18198.649999999991</v>
      </c>
      <c r="C46" s="8">
        <v>8199.9500000000007</v>
      </c>
      <c r="D46" s="8">
        <v>4000.59</v>
      </c>
      <c r="E46" s="8">
        <v>28983.22</v>
      </c>
      <c r="F46" s="8">
        <v>3924.3199999999997</v>
      </c>
      <c r="G46" s="8">
        <v>34828.12000000001</v>
      </c>
      <c r="H46" s="8">
        <v>31010.77</v>
      </c>
      <c r="I46" s="8">
        <v>3394.43</v>
      </c>
      <c r="J46" s="8">
        <v>22228.46</v>
      </c>
      <c r="K46" s="8">
        <v>7368</v>
      </c>
      <c r="L46" s="8">
        <v>162136.51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18198.649999999991</v>
      </c>
      <c r="C47" s="8">
        <v>15200.53</v>
      </c>
      <c r="D47" s="8">
        <v>4000.59</v>
      </c>
      <c r="E47" s="8">
        <v>28983.22</v>
      </c>
      <c r="F47" s="8">
        <v>3924.3199999999997</v>
      </c>
      <c r="G47" s="8">
        <v>34828.12000000001</v>
      </c>
      <c r="H47" s="8">
        <v>31010.77</v>
      </c>
      <c r="I47" s="8">
        <v>3394.43</v>
      </c>
      <c r="J47" s="8">
        <v>22228.46</v>
      </c>
      <c r="K47" s="8">
        <v>7368</v>
      </c>
      <c r="L47" s="8">
        <v>169137.09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18198.649999999991</v>
      </c>
      <c r="C48" s="8">
        <v>15200.53</v>
      </c>
      <c r="D48" s="8">
        <v>4000.59</v>
      </c>
      <c r="E48" s="8">
        <v>28983.22</v>
      </c>
      <c r="F48" s="8">
        <v>3924.3199999999997</v>
      </c>
      <c r="G48" s="8">
        <v>34828.12000000001</v>
      </c>
      <c r="H48" s="8">
        <v>31010.77</v>
      </c>
      <c r="I48" s="8">
        <v>3394.43</v>
      </c>
      <c r="J48" s="8">
        <v>22228.46</v>
      </c>
      <c r="K48" s="8">
        <v>7368</v>
      </c>
      <c r="L48" s="8">
        <v>169137.09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A4"/>
  <sheetViews>
    <sheetView workbookViewId="0">
      <selection activeCell="G8" sqref="G8"/>
    </sheetView>
  </sheetViews>
  <sheetFormatPr defaultRowHeight="15" x14ac:dyDescent="0.25"/>
  <cols>
    <col min="3" max="7" width="10.7109375" customWidth="1"/>
  </cols>
  <sheetData>
    <row r="4" ht="45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K20" sqref="K20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/>
    </row>
    <row r="2" spans="1:2" x14ac:dyDescent="0.25">
      <c r="A2" s="33" t="s">
        <v>103</v>
      </c>
      <c r="B2" s="55"/>
    </row>
    <row r="3" spans="1:2" x14ac:dyDescent="0.25">
      <c r="A3" s="33" t="s">
        <v>101</v>
      </c>
      <c r="B3" s="55"/>
    </row>
    <row r="4" spans="1:2" x14ac:dyDescent="0.25">
      <c r="A4" s="33" t="s">
        <v>105</v>
      </c>
      <c r="B4" s="55"/>
    </row>
    <row r="5" spans="1:2" x14ac:dyDescent="0.25">
      <c r="A5" s="33" t="s">
        <v>104</v>
      </c>
      <c r="B5" s="55"/>
    </row>
    <row r="6" spans="1:2" x14ac:dyDescent="0.25">
      <c r="A6" s="33" t="s">
        <v>106</v>
      </c>
      <c r="B6" s="55"/>
    </row>
    <row r="7" spans="1:2" x14ac:dyDescent="0.25">
      <c r="A7" s="33" t="s">
        <v>107</v>
      </c>
      <c r="B7" s="55"/>
    </row>
    <row r="8" spans="1:2" x14ac:dyDescent="0.25">
      <c r="A8" s="33" t="s">
        <v>21</v>
      </c>
      <c r="B8" s="55"/>
    </row>
    <row r="9" spans="1:2" x14ac:dyDescent="0.25">
      <c r="A9" s="33" t="s">
        <v>20</v>
      </c>
      <c r="B9" s="55"/>
    </row>
    <row r="10" spans="1:2" x14ac:dyDescent="0.25">
      <c r="A10" s="33" t="s">
        <v>108</v>
      </c>
      <c r="B10" s="55"/>
    </row>
    <row r="11" spans="1:2" x14ac:dyDescent="0.25">
      <c r="A11" s="33" t="s">
        <v>109</v>
      </c>
      <c r="B11" s="56"/>
    </row>
    <row r="12" spans="1:2" x14ac:dyDescent="0.25">
      <c r="A12" s="33" t="s">
        <v>110</v>
      </c>
      <c r="B12" s="55"/>
    </row>
    <row r="13" spans="1:2" x14ac:dyDescent="0.25">
      <c r="A13" s="74" t="s">
        <v>123</v>
      </c>
      <c r="B13" s="55"/>
    </row>
    <row r="14" spans="1:2" x14ac:dyDescent="0.25">
      <c r="A14" s="33" t="s">
        <v>111</v>
      </c>
      <c r="B14" s="55"/>
    </row>
    <row r="15" spans="1:2" x14ac:dyDescent="0.25">
      <c r="A15" s="33" t="s">
        <v>112</v>
      </c>
      <c r="B15" s="55"/>
    </row>
    <row r="16" spans="1:2" x14ac:dyDescent="0.25">
      <c r="A16" s="33" t="s">
        <v>113</v>
      </c>
      <c r="B16" s="55"/>
    </row>
    <row r="17" spans="1:2" x14ac:dyDescent="0.25">
      <c r="A17" s="33" t="s">
        <v>114</v>
      </c>
      <c r="B17" s="55"/>
    </row>
    <row r="18" spans="1:2" x14ac:dyDescent="0.25">
      <c r="A18" s="33" t="s">
        <v>115</v>
      </c>
      <c r="B18" s="55"/>
    </row>
    <row r="19" spans="1:2" x14ac:dyDescent="0.25">
      <c r="A19" s="33" t="s">
        <v>116</v>
      </c>
      <c r="B19" s="55"/>
    </row>
    <row r="20" spans="1:2" x14ac:dyDescent="0.25">
      <c r="A20" s="33" t="s">
        <v>117</v>
      </c>
      <c r="B20" s="55"/>
    </row>
    <row r="21" spans="1:2" x14ac:dyDescent="0.25">
      <c r="A21" s="33" t="s">
        <v>118</v>
      </c>
      <c r="B21" s="55"/>
    </row>
    <row r="22" spans="1:2" x14ac:dyDescent="0.25">
      <c r="A22" s="33" t="s">
        <v>119</v>
      </c>
      <c r="B22" s="55"/>
    </row>
    <row r="23" spans="1:2" x14ac:dyDescent="0.25">
      <c r="A23" s="33" t="s">
        <v>120</v>
      </c>
      <c r="B23" s="61"/>
    </row>
    <row r="24" spans="1:2" x14ac:dyDescent="0.25">
      <c r="A24" s="60" t="s">
        <v>122</v>
      </c>
      <c r="B24" s="73"/>
    </row>
    <row r="25" spans="1:2" x14ac:dyDescent="0.25">
      <c r="A25" s="63" t="s">
        <v>22</v>
      </c>
      <c r="B25" s="63"/>
    </row>
    <row r="26" spans="1:2" x14ac:dyDescent="0.25">
      <c r="A26" s="54"/>
      <c r="B26" s="53"/>
    </row>
    <row r="27" spans="1:2" x14ac:dyDescent="0.25">
      <c r="A27" s="54"/>
      <c r="B27" s="53"/>
    </row>
    <row r="28" spans="1:2" x14ac:dyDescent="0.25">
      <c r="A28" s="54"/>
      <c r="B28" s="53"/>
    </row>
    <row r="29" spans="1:2" x14ac:dyDescent="0.25">
      <c r="A29" s="54"/>
      <c r="B29" s="53"/>
    </row>
    <row r="30" spans="1:2" x14ac:dyDescent="0.25">
      <c r="A30" s="54"/>
      <c r="B30" s="53"/>
    </row>
    <row r="31" spans="1:2" x14ac:dyDescent="0.25">
      <c r="A31" s="54"/>
      <c r="B31" s="53"/>
    </row>
    <row r="32" spans="1:2" x14ac:dyDescent="0.25">
      <c r="A32" s="54"/>
      <c r="B32" s="53"/>
    </row>
    <row r="33" spans="1:2" x14ac:dyDescent="0.25">
      <c r="A33" s="54"/>
      <c r="B33" s="53"/>
    </row>
    <row r="34" spans="1:2" x14ac:dyDescent="0.25">
      <c r="A34" s="54"/>
      <c r="B34" s="53"/>
    </row>
    <row r="35" spans="1:2" x14ac:dyDescent="0.25">
      <c r="A35" s="54"/>
      <c r="B35" s="53"/>
    </row>
    <row r="36" spans="1:2" x14ac:dyDescent="0.25">
      <c r="A36" s="54"/>
      <c r="B36" s="53"/>
    </row>
    <row r="37" spans="1:2" x14ac:dyDescent="0.25">
      <c r="A37" s="54"/>
      <c r="B37" s="53"/>
    </row>
    <row r="38" spans="1:2" x14ac:dyDescent="0.25">
      <c r="A38" s="54"/>
      <c r="B38" s="53"/>
    </row>
    <row r="39" spans="1:2" x14ac:dyDescent="0.25">
      <c r="A39" s="54"/>
      <c r="B39" s="53"/>
    </row>
    <row r="40" spans="1:2" x14ac:dyDescent="0.25">
      <c r="A40" s="54"/>
      <c r="B40" s="53"/>
    </row>
    <row r="41" spans="1:2" x14ac:dyDescent="0.25">
      <c r="A41" s="54"/>
      <c r="B41" s="53"/>
    </row>
    <row r="42" spans="1:2" x14ac:dyDescent="0.25">
      <c r="A42" s="54"/>
      <c r="B42" s="53"/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Home</vt:lpstr>
      <vt:lpstr>Rooms_Rpt</vt:lpstr>
      <vt:lpstr>Groups-Layout</vt:lpstr>
      <vt:lpstr>Pivot_Tables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2023-09-11T18:46:51Z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